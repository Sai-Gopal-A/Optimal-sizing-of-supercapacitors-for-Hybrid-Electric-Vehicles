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herts365-my.sharepoint.com/personal/sa22abc_herts_ac_uk/Documents/MSc Project/Practical files/Excel files/"/>
    </mc:Choice>
  </mc:AlternateContent>
  <xr:revisionPtr revIDLastSave="6" documentId="13_ncr:1_{DF285448-C524-479E-99B0-CC16A2DA04B6}" xr6:coauthVersionLast="47" xr6:coauthVersionMax="47" xr10:uidLastSave="{E93B0900-0B75-42F9-A33A-0B51EB624AAC}"/>
  <bookViews>
    <workbookView xWindow="-108" yWindow="-108" windowWidth="23256" windowHeight="13176" tabRatio="592" xr2:uid="{00000000-000D-0000-FFFF-FFFF00000000}"/>
  </bookViews>
  <sheets>
    <sheet name="Non-ideal model" sheetId="9" r:id="rId1"/>
    <sheet name="Non-ideal validation" sheetId="25" r:id="rId2"/>
    <sheet name="Two branch validation" sheetId="24" r:id="rId3"/>
    <sheet name="Exp vs NI vs TB" sheetId="26" r:id="rId4"/>
    <sheet name="Non-ideal Compari. with MATLAB" sheetId="2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5" l="1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 l="1"/>
  <c r="H13" i="25"/>
  <c r="H12" i="25"/>
  <c r="H11" i="25"/>
  <c r="H10" i="25"/>
  <c r="H9" i="25"/>
  <c r="H8" i="25"/>
  <c r="H7" i="25"/>
  <c r="H6" i="25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4" i="24"/>
  <c r="B2" i="9" l="1"/>
  <c r="B1" i="9"/>
  <c r="B4" i="9"/>
  <c r="B8" i="9" s="1"/>
  <c r="F8" i="9" l="1"/>
  <c r="E8" i="9"/>
  <c r="C8" i="9"/>
  <c r="D8" i="9" s="1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E204" i="9" l="1"/>
  <c r="F67" i="9"/>
  <c r="E10" i="9"/>
  <c r="E21" i="9"/>
  <c r="E23" i="9"/>
  <c r="E40" i="9"/>
  <c r="E96" i="9"/>
  <c r="E140" i="9"/>
  <c r="E72" i="9"/>
  <c r="E239" i="9"/>
  <c r="F23" i="9"/>
  <c r="F54" i="9"/>
  <c r="E80" i="9"/>
  <c r="E143" i="9"/>
  <c r="E14" i="9"/>
  <c r="E16" i="9"/>
  <c r="F31" i="9"/>
  <c r="E45" i="9"/>
  <c r="E242" i="9"/>
  <c r="E27" i="9"/>
  <c r="F59" i="9"/>
  <c r="E146" i="9"/>
  <c r="F14" i="9"/>
  <c r="F16" i="9"/>
  <c r="F27" i="9"/>
  <c r="E34" i="9"/>
  <c r="E64" i="9"/>
  <c r="E172" i="9"/>
  <c r="E37" i="9"/>
  <c r="F46" i="9"/>
  <c r="F254" i="9"/>
  <c r="E69" i="9"/>
  <c r="E104" i="9"/>
  <c r="E175" i="9"/>
  <c r="E11" i="9"/>
  <c r="E32" i="9"/>
  <c r="F51" i="9"/>
  <c r="E18" i="9"/>
  <c r="F11" i="9"/>
  <c r="E22" i="9"/>
  <c r="E24" i="9"/>
  <c r="F32" i="9"/>
  <c r="E56" i="9"/>
  <c r="F75" i="9"/>
  <c r="E88" i="9"/>
  <c r="E178" i="9"/>
  <c r="E29" i="9"/>
  <c r="F1804" i="9"/>
  <c r="F1796" i="9"/>
  <c r="F1788" i="9"/>
  <c r="F1780" i="9"/>
  <c r="F1772" i="9"/>
  <c r="F1764" i="9"/>
  <c r="F1756" i="9"/>
  <c r="F1748" i="9"/>
  <c r="F1740" i="9"/>
  <c r="F1732" i="9"/>
  <c r="F1724" i="9"/>
  <c r="F1716" i="9"/>
  <c r="F1805" i="9"/>
  <c r="F1797" i="9"/>
  <c r="F1789" i="9"/>
  <c r="F1781" i="9"/>
  <c r="F1773" i="9"/>
  <c r="F1765" i="9"/>
  <c r="F1757" i="9"/>
  <c r="F1749" i="9"/>
  <c r="F1741" i="9"/>
  <c r="F1733" i="9"/>
  <c r="F1806" i="9"/>
  <c r="F1798" i="9"/>
  <c r="F1790" i="9"/>
  <c r="F1782" i="9"/>
  <c r="F1774" i="9"/>
  <c r="F1766" i="9"/>
  <c r="F1758" i="9"/>
  <c r="F1750" i="9"/>
  <c r="F1742" i="9"/>
  <c r="F1734" i="9"/>
  <c r="F1807" i="9"/>
  <c r="F1799" i="9"/>
  <c r="F1791" i="9"/>
  <c r="F1783" i="9"/>
  <c r="F1775" i="9"/>
  <c r="F1767" i="9"/>
  <c r="F1759" i="9"/>
  <c r="F1808" i="9"/>
  <c r="F1800" i="9"/>
  <c r="F1792" i="9"/>
  <c r="F1784" i="9"/>
  <c r="F1776" i="9"/>
  <c r="F1768" i="9"/>
  <c r="F1760" i="9"/>
  <c r="F1801" i="9"/>
  <c r="F1793" i="9"/>
  <c r="F1785" i="9"/>
  <c r="F1777" i="9"/>
  <c r="F1769" i="9"/>
  <c r="F1761" i="9"/>
  <c r="F1753" i="9"/>
  <c r="F1802" i="9"/>
  <c r="F1794" i="9"/>
  <c r="F1786" i="9"/>
  <c r="F1778" i="9"/>
  <c r="F1771" i="9"/>
  <c r="F1739" i="9"/>
  <c r="F1735" i="9"/>
  <c r="F1745" i="9"/>
  <c r="F1717" i="9"/>
  <c r="F1708" i="9"/>
  <c r="F1700" i="9"/>
  <c r="F1692" i="9"/>
  <c r="F1779" i="9"/>
  <c r="F1770" i="9"/>
  <c r="F1728" i="9"/>
  <c r="F1721" i="9"/>
  <c r="F1787" i="9"/>
  <c r="F1747" i="9"/>
  <c r="F1763" i="9"/>
  <c r="F1752" i="9"/>
  <c r="F1731" i="9"/>
  <c r="F1710" i="9"/>
  <c r="F1795" i="9"/>
  <c r="F1725" i="9"/>
  <c r="F1718" i="9"/>
  <c r="F1762" i="9"/>
  <c r="F1738" i="9"/>
  <c r="F1736" i="9"/>
  <c r="F1711" i="9"/>
  <c r="F1703" i="9"/>
  <c r="F1695" i="9"/>
  <c r="F1687" i="9"/>
  <c r="F1679" i="9"/>
  <c r="F1671" i="9"/>
  <c r="F1663" i="9"/>
  <c r="F1655" i="9"/>
  <c r="F1647" i="9"/>
  <c r="F1639" i="9"/>
  <c r="F1803" i="9"/>
  <c r="F1744" i="9"/>
  <c r="F1722" i="9"/>
  <c r="F1715" i="9"/>
  <c r="F1729" i="9"/>
  <c r="F1712" i="9"/>
  <c r="F1755" i="9"/>
  <c r="F1751" i="9"/>
  <c r="F1746" i="9"/>
  <c r="F1719" i="9"/>
  <c r="F1726" i="9"/>
  <c r="F1754" i="9"/>
  <c r="F1730" i="9"/>
  <c r="F1699" i="9"/>
  <c r="F1684" i="9"/>
  <c r="F1677" i="9"/>
  <c r="F1670" i="9"/>
  <c r="F1645" i="9"/>
  <c r="F1660" i="9"/>
  <c r="F1653" i="9"/>
  <c r="F1641" i="9"/>
  <c r="F1630" i="9"/>
  <c r="F1622" i="9"/>
  <c r="F1614" i="9"/>
  <c r="F1606" i="9"/>
  <c r="F1707" i="9"/>
  <c r="F1702" i="9"/>
  <c r="F1688" i="9"/>
  <c r="F1681" i="9"/>
  <c r="F1674" i="9"/>
  <c r="F1705" i="9"/>
  <c r="F1697" i="9"/>
  <c r="F1694" i="9"/>
  <c r="F1691" i="9"/>
  <c r="F1737" i="9"/>
  <c r="F1720" i="9"/>
  <c r="F1685" i="9"/>
  <c r="F1678" i="9"/>
  <c r="F1668" i="9"/>
  <c r="F1661" i="9"/>
  <c r="F1654" i="9"/>
  <c r="F1638" i="9"/>
  <c r="F1727" i="9"/>
  <c r="F1682" i="9"/>
  <c r="F1675" i="9"/>
  <c r="F1633" i="9"/>
  <c r="F1625" i="9"/>
  <c r="F1617" i="9"/>
  <c r="F1609" i="9"/>
  <c r="F1689" i="9"/>
  <c r="F1714" i="9"/>
  <c r="F1698" i="9"/>
  <c r="F1686" i="9"/>
  <c r="F1706" i="9"/>
  <c r="F1701" i="9"/>
  <c r="F1743" i="9"/>
  <c r="F1704" i="9"/>
  <c r="F1723" i="9"/>
  <c r="F1709" i="9"/>
  <c r="F1696" i="9"/>
  <c r="F1693" i="9"/>
  <c r="F1690" i="9"/>
  <c r="F1656" i="9"/>
  <c r="F1629" i="9"/>
  <c r="F1594" i="9"/>
  <c r="F1583" i="9"/>
  <c r="F1560" i="9"/>
  <c r="F1552" i="9"/>
  <c r="F1544" i="9"/>
  <c r="F1536" i="9"/>
  <c r="F1528" i="9"/>
  <c r="F1520" i="9"/>
  <c r="F1512" i="9"/>
  <c r="F1504" i="9"/>
  <c r="F1496" i="9"/>
  <c r="F1488" i="9"/>
  <c r="F1676" i="9"/>
  <c r="F1669" i="9"/>
  <c r="F1626" i="9"/>
  <c r="F1619" i="9"/>
  <c r="F1612" i="9"/>
  <c r="F1605" i="9"/>
  <c r="F1600" i="9"/>
  <c r="F1572" i="9"/>
  <c r="F1667" i="9"/>
  <c r="F1665" i="9"/>
  <c r="F1652" i="9"/>
  <c r="F1650" i="9"/>
  <c r="F1643" i="9"/>
  <c r="F1623" i="9"/>
  <c r="F1616" i="9"/>
  <c r="F1713" i="9"/>
  <c r="F1673" i="9"/>
  <c r="F1636" i="9"/>
  <c r="F1648" i="9"/>
  <c r="F1627" i="9"/>
  <c r="F1620" i="9"/>
  <c r="F1613" i="9"/>
  <c r="F1596" i="9"/>
  <c r="F1585" i="9"/>
  <c r="F1574" i="9"/>
  <c r="F1555" i="9"/>
  <c r="F1659" i="9"/>
  <c r="F1657" i="9"/>
  <c r="F1634" i="9"/>
  <c r="F1610" i="9"/>
  <c r="F1646" i="9"/>
  <c r="F1631" i="9"/>
  <c r="F1624" i="9"/>
  <c r="F1580" i="9"/>
  <c r="F1569" i="9"/>
  <c r="F1672" i="9"/>
  <c r="F1607" i="9"/>
  <c r="F1651" i="9"/>
  <c r="F1644" i="9"/>
  <c r="F1637" i="9"/>
  <c r="F1683" i="9"/>
  <c r="F1680" i="9"/>
  <c r="F1666" i="9"/>
  <c r="F1664" i="9"/>
  <c r="F1628" i="9"/>
  <c r="F1658" i="9"/>
  <c r="F1615" i="9"/>
  <c r="F1608" i="9"/>
  <c r="F1592" i="9"/>
  <c r="F1571" i="9"/>
  <c r="F1557" i="9"/>
  <c r="F1534" i="9"/>
  <c r="F1523" i="9"/>
  <c r="F1495" i="9"/>
  <c r="F1483" i="9"/>
  <c r="F1475" i="9"/>
  <c r="F1467" i="9"/>
  <c r="F1459" i="9"/>
  <c r="F1451" i="9"/>
  <c r="F1443" i="9"/>
  <c r="F1435" i="9"/>
  <c r="F1427" i="9"/>
  <c r="F1419" i="9"/>
  <c r="F1411" i="9"/>
  <c r="F1403" i="9"/>
  <c r="F1640" i="9"/>
  <c r="F1618" i="9"/>
  <c r="F1579" i="9"/>
  <c r="F1566" i="9"/>
  <c r="F1540" i="9"/>
  <c r="F1529" i="9"/>
  <c r="F1501" i="9"/>
  <c r="F1490" i="9"/>
  <c r="F1587" i="9"/>
  <c r="F1561" i="9"/>
  <c r="F1554" i="9"/>
  <c r="F1595" i="9"/>
  <c r="F1582" i="9"/>
  <c r="F1550" i="9"/>
  <c r="F1546" i="9"/>
  <c r="F1590" i="9"/>
  <c r="F1564" i="9"/>
  <c r="F1541" i="9"/>
  <c r="F1604" i="9"/>
  <c r="F1602" i="9"/>
  <c r="F1598" i="9"/>
  <c r="F1577" i="9"/>
  <c r="F1558" i="9"/>
  <c r="F1649" i="9"/>
  <c r="F1635" i="9"/>
  <c r="F1567" i="9"/>
  <c r="F1525" i="9"/>
  <c r="F1514" i="9"/>
  <c r="F1486" i="9"/>
  <c r="F1478" i="9"/>
  <c r="F1593" i="9"/>
  <c r="F1575" i="9"/>
  <c r="F1551" i="9"/>
  <c r="F1547" i="9"/>
  <c r="F1542" i="9"/>
  <c r="F1531" i="9"/>
  <c r="F1503" i="9"/>
  <c r="F1662" i="9"/>
  <c r="F1562" i="9"/>
  <c r="F1537" i="9"/>
  <c r="F1509" i="9"/>
  <c r="F1498" i="9"/>
  <c r="F1479" i="9"/>
  <c r="F1588" i="9"/>
  <c r="F1570" i="9"/>
  <c r="F1632" i="9"/>
  <c r="F1621" i="9"/>
  <c r="F1611" i="9"/>
  <c r="F1591" i="9"/>
  <c r="F1578" i="9"/>
  <c r="F1559" i="9"/>
  <c r="F1543" i="9"/>
  <c r="F1586" i="9"/>
  <c r="F1565" i="9"/>
  <c r="F1556" i="9"/>
  <c r="F1548" i="9"/>
  <c r="F1603" i="9"/>
  <c r="F1573" i="9"/>
  <c r="F1642" i="9"/>
  <c r="F1601" i="9"/>
  <c r="F1599" i="9"/>
  <c r="F1589" i="9"/>
  <c r="F1576" i="9"/>
  <c r="F1563" i="9"/>
  <c r="F1553" i="9"/>
  <c r="F1526" i="9"/>
  <c r="F1493" i="9"/>
  <c r="F1485" i="9"/>
  <c r="F1482" i="9"/>
  <c r="F1473" i="9"/>
  <c r="F1469" i="9"/>
  <c r="F1442" i="9"/>
  <c r="F1431" i="9"/>
  <c r="F1420" i="9"/>
  <c r="F1396" i="9"/>
  <c r="F1388" i="9"/>
  <c r="F1380" i="9"/>
  <c r="F1372" i="9"/>
  <c r="F1519" i="9"/>
  <c r="F1510" i="9"/>
  <c r="F1448" i="9"/>
  <c r="F1437" i="9"/>
  <c r="F1409" i="9"/>
  <c r="F1465" i="9"/>
  <c r="F1454" i="9"/>
  <c r="F1426" i="9"/>
  <c r="F1524" i="9"/>
  <c r="F1517" i="9"/>
  <c r="F1515" i="9"/>
  <c r="F1460" i="9"/>
  <c r="F1432" i="9"/>
  <c r="F1508" i="9"/>
  <c r="F1491" i="9"/>
  <c r="F1480" i="9"/>
  <c r="F1477" i="9"/>
  <c r="F1474" i="9"/>
  <c r="F1470" i="9"/>
  <c r="F1449" i="9"/>
  <c r="F1438" i="9"/>
  <c r="F1522" i="9"/>
  <c r="F1499" i="9"/>
  <c r="F1455" i="9"/>
  <c r="F1444" i="9"/>
  <c r="F1416" i="9"/>
  <c r="F1405" i="9"/>
  <c r="F1539" i="9"/>
  <c r="F1513" i="9"/>
  <c r="F1506" i="9"/>
  <c r="F1466" i="9"/>
  <c r="F1461" i="9"/>
  <c r="F1433" i="9"/>
  <c r="F1422" i="9"/>
  <c r="F1399" i="9"/>
  <c r="F1391" i="9"/>
  <c r="F1383" i="9"/>
  <c r="F1375" i="9"/>
  <c r="F1549" i="9"/>
  <c r="F1494" i="9"/>
  <c r="F1450" i="9"/>
  <c r="F1439" i="9"/>
  <c r="F1428" i="9"/>
  <c r="F1533" i="9"/>
  <c r="F1527" i="9"/>
  <c r="F1489" i="9"/>
  <c r="F1471" i="9"/>
  <c r="F1456" i="9"/>
  <c r="F1445" i="9"/>
  <c r="F1597" i="9"/>
  <c r="F1584" i="9"/>
  <c r="F1518" i="9"/>
  <c r="F1511" i="9"/>
  <c r="F1497" i="9"/>
  <c r="F1462" i="9"/>
  <c r="F1538" i="9"/>
  <c r="F1502" i="9"/>
  <c r="F1492" i="9"/>
  <c r="F1484" i="9"/>
  <c r="F1481" i="9"/>
  <c r="F1440" i="9"/>
  <c r="F1429" i="9"/>
  <c r="F1516" i="9"/>
  <c r="F1487" i="9"/>
  <c r="F1457" i="9"/>
  <c r="F1446" i="9"/>
  <c r="F1581" i="9"/>
  <c r="F1568" i="9"/>
  <c r="F1507" i="9"/>
  <c r="F1500" i="9"/>
  <c r="F1472" i="9"/>
  <c r="F1468" i="9"/>
  <c r="F1463" i="9"/>
  <c r="F1545" i="9"/>
  <c r="F1535" i="9"/>
  <c r="F1521" i="9"/>
  <c r="F1505" i="9"/>
  <c r="F1452" i="9"/>
  <c r="F1392" i="9"/>
  <c r="F1360" i="9"/>
  <c r="F1352" i="9"/>
  <c r="F1344" i="9"/>
  <c r="F1336" i="9"/>
  <c r="F1328" i="9"/>
  <c r="F1320" i="9"/>
  <c r="F1312" i="9"/>
  <c r="F1418" i="9"/>
  <c r="F1397" i="9"/>
  <c r="F1377" i="9"/>
  <c r="F1532" i="9"/>
  <c r="F1447" i="9"/>
  <c r="F1476" i="9"/>
  <c r="F1407" i="9"/>
  <c r="F1385" i="9"/>
  <c r="F1362" i="9"/>
  <c r="F1354" i="9"/>
  <c r="F1346" i="9"/>
  <c r="F1338" i="9"/>
  <c r="F1330" i="9"/>
  <c r="F1530" i="9"/>
  <c r="F1441" i="9"/>
  <c r="F1425" i="9"/>
  <c r="F1421" i="9"/>
  <c r="F1414" i="9"/>
  <c r="F1412" i="9"/>
  <c r="F1363" i="9"/>
  <c r="F1430" i="9"/>
  <c r="F1393" i="9"/>
  <c r="F1417" i="9"/>
  <c r="F1436" i="9"/>
  <c r="F1458" i="9"/>
  <c r="F1366" i="9"/>
  <c r="F1395" i="9"/>
  <c r="F1387" i="9"/>
  <c r="F1382" i="9"/>
  <c r="F1368" i="9"/>
  <c r="F1359" i="9"/>
  <c r="F1333" i="9"/>
  <c r="F1327" i="9"/>
  <c r="F1315" i="9"/>
  <c r="F1309" i="9"/>
  <c r="F1301" i="9"/>
  <c r="F1293" i="9"/>
  <c r="F1285" i="9"/>
  <c r="F1277" i="9"/>
  <c r="F1269" i="9"/>
  <c r="F1261" i="9"/>
  <c r="F1253" i="9"/>
  <c r="F1245" i="9"/>
  <c r="F1237" i="9"/>
  <c r="F1229" i="9"/>
  <c r="F1221" i="9"/>
  <c r="F1213" i="9"/>
  <c r="F1205" i="9"/>
  <c r="F1197" i="9"/>
  <c r="F1400" i="9"/>
  <c r="F1370" i="9"/>
  <c r="F1464" i="9"/>
  <c r="F1384" i="9"/>
  <c r="F1348" i="9"/>
  <c r="F1316" i="9"/>
  <c r="F1408" i="9"/>
  <c r="F1389" i="9"/>
  <c r="F1357" i="9"/>
  <c r="F1351" i="9"/>
  <c r="F1424" i="9"/>
  <c r="F1386" i="9"/>
  <c r="F1379" i="9"/>
  <c r="F1331" i="9"/>
  <c r="F1311" i="9"/>
  <c r="F1402" i="9"/>
  <c r="F1394" i="9"/>
  <c r="F1381" i="9"/>
  <c r="F1376" i="9"/>
  <c r="F1374" i="9"/>
  <c r="F1367" i="9"/>
  <c r="F1365" i="9"/>
  <c r="F1340" i="9"/>
  <c r="F1337" i="9"/>
  <c r="F1334" i="9"/>
  <c r="F1325" i="9"/>
  <c r="F1317" i="9"/>
  <c r="F1304" i="9"/>
  <c r="F1296" i="9"/>
  <c r="F1288" i="9"/>
  <c r="F1280" i="9"/>
  <c r="F1272" i="9"/>
  <c r="F1264" i="9"/>
  <c r="F1256" i="9"/>
  <c r="F1248" i="9"/>
  <c r="F1240" i="9"/>
  <c r="F1232" i="9"/>
  <c r="F1224" i="9"/>
  <c r="F1216" i="9"/>
  <c r="F1208" i="9"/>
  <c r="F1200" i="9"/>
  <c r="F1192" i="9"/>
  <c r="F1413" i="9"/>
  <c r="F1410" i="9"/>
  <c r="F1378" i="9"/>
  <c r="F1369" i="9"/>
  <c r="F1355" i="9"/>
  <c r="F1423" i="9"/>
  <c r="F1401" i="9"/>
  <c r="F1361" i="9"/>
  <c r="F1358" i="9"/>
  <c r="F1453" i="9"/>
  <c r="F1404" i="9"/>
  <c r="F1373" i="9"/>
  <c r="F1371" i="9"/>
  <c r="F1347" i="9"/>
  <c r="F1284" i="9"/>
  <c r="F1282" i="9"/>
  <c r="F1262" i="9"/>
  <c r="F1251" i="9"/>
  <c r="F1249" i="9"/>
  <c r="F1226" i="9"/>
  <c r="F1220" i="9"/>
  <c r="F1194" i="9"/>
  <c r="F1271" i="9"/>
  <c r="F1187" i="9"/>
  <c r="F1179" i="9"/>
  <c r="F1171" i="9"/>
  <c r="F1163" i="9"/>
  <c r="F1155" i="9"/>
  <c r="F1147" i="9"/>
  <c r="F1139" i="9"/>
  <c r="F1131" i="9"/>
  <c r="F1123" i="9"/>
  <c r="F1115" i="9"/>
  <c r="F1107" i="9"/>
  <c r="F1313" i="9"/>
  <c r="F1302" i="9"/>
  <c r="F1291" i="9"/>
  <c r="F1289" i="9"/>
  <c r="F1260" i="9"/>
  <c r="F1406" i="9"/>
  <c r="F1356" i="9"/>
  <c r="F1321" i="9"/>
  <c r="F1434" i="9"/>
  <c r="F1335" i="9"/>
  <c r="F1319" i="9"/>
  <c r="F1300" i="9"/>
  <c r="F1298" i="9"/>
  <c r="F1278" i="9"/>
  <c r="F1267" i="9"/>
  <c r="F1265" i="9"/>
  <c r="F1218" i="9"/>
  <c r="F1212" i="9"/>
  <c r="F1323" i="9"/>
  <c r="F1287" i="9"/>
  <c r="F1342" i="9"/>
  <c r="F1332" i="9"/>
  <c r="F1307" i="9"/>
  <c r="F1305" i="9"/>
  <c r="F1276" i="9"/>
  <c r="F1274" i="9"/>
  <c r="F1254" i="9"/>
  <c r="F1243" i="9"/>
  <c r="F1241" i="9"/>
  <c r="F1233" i="9"/>
  <c r="F1230" i="9"/>
  <c r="F1227" i="9"/>
  <c r="F1201" i="9"/>
  <c r="F1198" i="9"/>
  <c r="F1195" i="9"/>
  <c r="F1350" i="9"/>
  <c r="F1263" i="9"/>
  <c r="F1207" i="9"/>
  <c r="F1182" i="9"/>
  <c r="F1174" i="9"/>
  <c r="F1166" i="9"/>
  <c r="F1158" i="9"/>
  <c r="F1150" i="9"/>
  <c r="F1142" i="9"/>
  <c r="F1134" i="9"/>
  <c r="F1126" i="9"/>
  <c r="F1118" i="9"/>
  <c r="F1110" i="9"/>
  <c r="F1102" i="9"/>
  <c r="F1398" i="9"/>
  <c r="F1349" i="9"/>
  <c r="F1345" i="9"/>
  <c r="F1294" i="9"/>
  <c r="F1283" i="9"/>
  <c r="F1281" i="9"/>
  <c r="F1252" i="9"/>
  <c r="F1250" i="9"/>
  <c r="F1236" i="9"/>
  <c r="F1210" i="9"/>
  <c r="F1204" i="9"/>
  <c r="F1364" i="9"/>
  <c r="F1339" i="9"/>
  <c r="F1303" i="9"/>
  <c r="F1329" i="9"/>
  <c r="F1322" i="9"/>
  <c r="F1318" i="9"/>
  <c r="F1292" i="9"/>
  <c r="F1290" i="9"/>
  <c r="F1270" i="9"/>
  <c r="F1314" i="9"/>
  <c r="F1279" i="9"/>
  <c r="F1341" i="9"/>
  <c r="F1310" i="9"/>
  <c r="F1299" i="9"/>
  <c r="F1297" i="9"/>
  <c r="F1268" i="9"/>
  <c r="F1266" i="9"/>
  <c r="F1415" i="9"/>
  <c r="F1353" i="9"/>
  <c r="F1324" i="9"/>
  <c r="F1306" i="9"/>
  <c r="F1295" i="9"/>
  <c r="F1275" i="9"/>
  <c r="F1258" i="9"/>
  <c r="F1255" i="9"/>
  <c r="F1223" i="9"/>
  <c r="F1178" i="9"/>
  <c r="F1176" i="9"/>
  <c r="F1156" i="9"/>
  <c r="F1145" i="9"/>
  <c r="F1143" i="9"/>
  <c r="F1136" i="9"/>
  <c r="F1111" i="9"/>
  <c r="F1099" i="9"/>
  <c r="F1091" i="9"/>
  <c r="F1083" i="9"/>
  <c r="F1075" i="9"/>
  <c r="F1067" i="9"/>
  <c r="F1059" i="9"/>
  <c r="F1051" i="9"/>
  <c r="F1043" i="9"/>
  <c r="F1035" i="9"/>
  <c r="F1027" i="9"/>
  <c r="F1019" i="9"/>
  <c r="F1011" i="9"/>
  <c r="F1003" i="9"/>
  <c r="F995" i="9"/>
  <c r="F987" i="9"/>
  <c r="F979" i="9"/>
  <c r="F1246" i="9"/>
  <c r="F1235" i="9"/>
  <c r="F1225" i="9"/>
  <c r="F1196" i="9"/>
  <c r="F1165" i="9"/>
  <c r="F1121" i="9"/>
  <c r="F1116" i="9"/>
  <c r="F1191" i="9"/>
  <c r="F1185" i="9"/>
  <c r="F1183" i="9"/>
  <c r="F1390" i="9"/>
  <c r="F1273" i="9"/>
  <c r="F1257" i="9"/>
  <c r="F1203" i="9"/>
  <c r="F1193" i="9"/>
  <c r="F1215" i="9"/>
  <c r="F1172" i="9"/>
  <c r="F1161" i="9"/>
  <c r="F1159" i="9"/>
  <c r="F1129" i="9"/>
  <c r="F1124" i="9"/>
  <c r="F1109" i="9"/>
  <c r="F1104" i="9"/>
  <c r="F1101" i="9"/>
  <c r="F1093" i="9"/>
  <c r="F1085" i="9"/>
  <c r="F1077" i="9"/>
  <c r="F1069" i="9"/>
  <c r="F1061" i="9"/>
  <c r="F1053" i="9"/>
  <c r="F1045" i="9"/>
  <c r="F1037" i="9"/>
  <c r="F1029" i="9"/>
  <c r="F1021" i="9"/>
  <c r="F1013" i="9"/>
  <c r="F1005" i="9"/>
  <c r="F997" i="9"/>
  <c r="F989" i="9"/>
  <c r="F981" i="9"/>
  <c r="F1222" i="9"/>
  <c r="F1181" i="9"/>
  <c r="F1239" i="9"/>
  <c r="F1170" i="9"/>
  <c r="F1168" i="9"/>
  <c r="F1148" i="9"/>
  <c r="F1127" i="9"/>
  <c r="F1094" i="9"/>
  <c r="F1086" i="9"/>
  <c r="F1078" i="9"/>
  <c r="F1070" i="9"/>
  <c r="F1062" i="9"/>
  <c r="F1054" i="9"/>
  <c r="F1046" i="9"/>
  <c r="F1038" i="9"/>
  <c r="F1030" i="9"/>
  <c r="F1022" i="9"/>
  <c r="F1014" i="9"/>
  <c r="F1006" i="9"/>
  <c r="F1242" i="9"/>
  <c r="F1234" i="9"/>
  <c r="F1217" i="9"/>
  <c r="F1190" i="9"/>
  <c r="F1157" i="9"/>
  <c r="F1137" i="9"/>
  <c r="F1132" i="9"/>
  <c r="F1117" i="9"/>
  <c r="F1112" i="9"/>
  <c r="F1188" i="9"/>
  <c r="F1177" i="9"/>
  <c r="F1175" i="9"/>
  <c r="F1146" i="9"/>
  <c r="F1144" i="9"/>
  <c r="F1122" i="9"/>
  <c r="F1095" i="9"/>
  <c r="F1087" i="9"/>
  <c r="F1079" i="9"/>
  <c r="F1071" i="9"/>
  <c r="F1063" i="9"/>
  <c r="F1055" i="9"/>
  <c r="F1047" i="9"/>
  <c r="F1039" i="9"/>
  <c r="F1031" i="9"/>
  <c r="F1023" i="9"/>
  <c r="F1015" i="9"/>
  <c r="F1007" i="9"/>
  <c r="F999" i="9"/>
  <c r="F991" i="9"/>
  <c r="F983" i="9"/>
  <c r="F1259" i="9"/>
  <c r="F1231" i="9"/>
  <c r="F1186" i="9"/>
  <c r="F1184" i="9"/>
  <c r="F1214" i="9"/>
  <c r="F1209" i="9"/>
  <c r="F1247" i="9"/>
  <c r="F1199" i="9"/>
  <c r="F1326" i="9"/>
  <c r="F1244" i="9"/>
  <c r="F1152" i="9"/>
  <c r="F1097" i="9"/>
  <c r="F1066" i="9"/>
  <c r="F1064" i="9"/>
  <c r="F1044" i="9"/>
  <c r="F1033" i="9"/>
  <c r="F976" i="9"/>
  <c r="F1343" i="9"/>
  <c r="F1202" i="9"/>
  <c r="F1149" i="9"/>
  <c r="F1140" i="9"/>
  <c r="F1108" i="9"/>
  <c r="F1084" i="9"/>
  <c r="F1105" i="9"/>
  <c r="F1308" i="9"/>
  <c r="F1169" i="9"/>
  <c r="F1160" i="9"/>
  <c r="F1151" i="9"/>
  <c r="F1113" i="9"/>
  <c r="F1082" i="9"/>
  <c r="F1080" i="9"/>
  <c r="F1060" i="9"/>
  <c r="F1049" i="9"/>
  <c r="F1018" i="9"/>
  <c r="F1016" i="9"/>
  <c r="F1000" i="9"/>
  <c r="F1228" i="9"/>
  <c r="F990" i="9"/>
  <c r="F985" i="9"/>
  <c r="F972" i="9"/>
  <c r="F964" i="9"/>
  <c r="F956" i="9"/>
  <c r="F948" i="9"/>
  <c r="F940" i="9"/>
  <c r="F932" i="9"/>
  <c r="F924" i="9"/>
  <c r="F916" i="9"/>
  <c r="F908" i="9"/>
  <c r="F1189" i="9"/>
  <c r="F1154" i="9"/>
  <c r="F1100" i="9"/>
  <c r="F1089" i="9"/>
  <c r="F1058" i="9"/>
  <c r="F1056" i="9"/>
  <c r="F1036" i="9"/>
  <c r="F1025" i="9"/>
  <c r="F980" i="9"/>
  <c r="F977" i="9"/>
  <c r="F1211" i="9"/>
  <c r="F973" i="9"/>
  <c r="F965" i="9"/>
  <c r="F957" i="9"/>
  <c r="F949" i="9"/>
  <c r="F941" i="9"/>
  <c r="F933" i="9"/>
  <c r="F925" i="9"/>
  <c r="F917" i="9"/>
  <c r="F909" i="9"/>
  <c r="F901" i="9"/>
  <c r="F1286" i="9"/>
  <c r="F1128" i="9"/>
  <c r="F1162" i="9"/>
  <c r="F1153" i="9"/>
  <c r="F1125" i="9"/>
  <c r="F1133" i="9"/>
  <c r="F1173" i="9"/>
  <c r="F1167" i="9"/>
  <c r="F1164" i="9"/>
  <c r="F1138" i="9"/>
  <c r="F1114" i="9"/>
  <c r="F1106" i="9"/>
  <c r="F1120" i="9"/>
  <c r="F1042" i="9"/>
  <c r="F1026" i="9"/>
  <c r="F974" i="9"/>
  <c r="F931" i="9"/>
  <c r="F906" i="9"/>
  <c r="F959" i="9"/>
  <c r="F934" i="9"/>
  <c r="F918" i="9"/>
  <c r="F912" i="9"/>
  <c r="F895" i="9"/>
  <c r="F887" i="9"/>
  <c r="F879" i="9"/>
  <c r="F871" i="9"/>
  <c r="F863" i="9"/>
  <c r="F855" i="9"/>
  <c r="F847" i="9"/>
  <c r="F839" i="9"/>
  <c r="F831" i="9"/>
  <c r="F823" i="9"/>
  <c r="F815" i="9"/>
  <c r="F807" i="9"/>
  <c r="F799" i="9"/>
  <c r="F791" i="9"/>
  <c r="F783" i="9"/>
  <c r="F775" i="9"/>
  <c r="F767" i="9"/>
  <c r="F759" i="9"/>
  <c r="F751" i="9"/>
  <c r="F743" i="9"/>
  <c r="F735" i="9"/>
  <c r="F727" i="9"/>
  <c r="F719" i="9"/>
  <c r="F711" i="9"/>
  <c r="F1180" i="9"/>
  <c r="F1141" i="9"/>
  <c r="F1130" i="9"/>
  <c r="F1052" i="9"/>
  <c r="F1012" i="9"/>
  <c r="F1002" i="9"/>
  <c r="F978" i="9"/>
  <c r="F969" i="9"/>
  <c r="F954" i="9"/>
  <c r="F944" i="9"/>
  <c r="F1238" i="9"/>
  <c r="F1119" i="9"/>
  <c r="F1088" i="9"/>
  <c r="F1076" i="9"/>
  <c r="F1068" i="9"/>
  <c r="F1065" i="9"/>
  <c r="F1028" i="9"/>
  <c r="F992" i="9"/>
  <c r="F939" i="9"/>
  <c r="F929" i="9"/>
  <c r="F1041" i="9"/>
  <c r="F1020" i="9"/>
  <c r="F1004" i="9"/>
  <c r="F967" i="9"/>
  <c r="F942" i="9"/>
  <c r="F1081" i="9"/>
  <c r="F1073" i="9"/>
  <c r="F1057" i="9"/>
  <c r="F1017" i="9"/>
  <c r="F962" i="9"/>
  <c r="F952" i="9"/>
  <c r="F927" i="9"/>
  <c r="F1219" i="9"/>
  <c r="F1009" i="9"/>
  <c r="F982" i="9"/>
  <c r="F947" i="9"/>
  <c r="F937" i="9"/>
  <c r="F907" i="9"/>
  <c r="F1098" i="9"/>
  <c r="F1092" i="9"/>
  <c r="F1001" i="9"/>
  <c r="F994" i="9"/>
  <c r="F975" i="9"/>
  <c r="F950" i="9"/>
  <c r="F919" i="9"/>
  <c r="F913" i="9"/>
  <c r="F898" i="9"/>
  <c r="F890" i="9"/>
  <c r="F882" i="9"/>
  <c r="F874" i="9"/>
  <c r="F866" i="9"/>
  <c r="F858" i="9"/>
  <c r="F850" i="9"/>
  <c r="F842" i="9"/>
  <c r="F834" i="9"/>
  <c r="F826" i="9"/>
  <c r="F818" i="9"/>
  <c r="F810" i="9"/>
  <c r="F802" i="9"/>
  <c r="F794" i="9"/>
  <c r="F786" i="9"/>
  <c r="F778" i="9"/>
  <c r="F770" i="9"/>
  <c r="F762" i="9"/>
  <c r="F754" i="9"/>
  <c r="F746" i="9"/>
  <c r="F738" i="9"/>
  <c r="F730" i="9"/>
  <c r="F722" i="9"/>
  <c r="F714" i="9"/>
  <c r="F996" i="9"/>
  <c r="F984" i="9"/>
  <c r="F970" i="9"/>
  <c r="F960" i="9"/>
  <c r="F935" i="9"/>
  <c r="F1072" i="9"/>
  <c r="F1032" i="9"/>
  <c r="F955" i="9"/>
  <c r="F945" i="9"/>
  <c r="F930" i="9"/>
  <c r="F1206" i="9"/>
  <c r="F1135" i="9"/>
  <c r="F1048" i="9"/>
  <c r="F1008" i="9"/>
  <c r="F998" i="9"/>
  <c r="F958" i="9"/>
  <c r="F1040" i="9"/>
  <c r="F1024" i="9"/>
  <c r="F993" i="9"/>
  <c r="F986" i="9"/>
  <c r="F968" i="9"/>
  <c r="F943" i="9"/>
  <c r="F1103" i="9"/>
  <c r="F1096" i="9"/>
  <c r="F988" i="9"/>
  <c r="F963" i="9"/>
  <c r="F953" i="9"/>
  <c r="F966" i="9"/>
  <c r="F920" i="9"/>
  <c r="F1090" i="9"/>
  <c r="F1074" i="9"/>
  <c r="F1034" i="9"/>
  <c r="F951" i="9"/>
  <c r="F709" i="9"/>
  <c r="F896" i="9"/>
  <c r="F893" i="9"/>
  <c r="F867" i="9"/>
  <c r="F864" i="9"/>
  <c r="F861" i="9"/>
  <c r="F835" i="9"/>
  <c r="F832" i="9"/>
  <c r="F829" i="9"/>
  <c r="F803" i="9"/>
  <c r="F800" i="9"/>
  <c r="F797" i="9"/>
  <c r="F771" i="9"/>
  <c r="F768" i="9"/>
  <c r="F765" i="9"/>
  <c r="F739" i="9"/>
  <c r="F736" i="9"/>
  <c r="F733" i="9"/>
  <c r="F702" i="9"/>
  <c r="F694" i="9"/>
  <c r="F686" i="9"/>
  <c r="F678" i="9"/>
  <c r="F670" i="9"/>
  <c r="F662" i="9"/>
  <c r="F654" i="9"/>
  <c r="F923" i="9"/>
  <c r="F936" i="9"/>
  <c r="F911" i="9"/>
  <c r="F905" i="9"/>
  <c r="F903" i="9"/>
  <c r="F899" i="9"/>
  <c r="F876" i="9"/>
  <c r="F873" i="9"/>
  <c r="F870" i="9"/>
  <c r="F844" i="9"/>
  <c r="F841" i="9"/>
  <c r="F838" i="9"/>
  <c r="F812" i="9"/>
  <c r="F809" i="9"/>
  <c r="F806" i="9"/>
  <c r="F1050" i="9"/>
  <c r="F971" i="9"/>
  <c r="F928" i="9"/>
  <c r="F891" i="9"/>
  <c r="F888" i="9"/>
  <c r="F885" i="9"/>
  <c r="F859" i="9"/>
  <c r="F856" i="9"/>
  <c r="F853" i="9"/>
  <c r="F827" i="9"/>
  <c r="F824" i="9"/>
  <c r="F821" i="9"/>
  <c r="F897" i="9"/>
  <c r="F894" i="9"/>
  <c r="F868" i="9"/>
  <c r="F865" i="9"/>
  <c r="F862" i="9"/>
  <c r="F836" i="9"/>
  <c r="F833" i="9"/>
  <c r="F830" i="9"/>
  <c r="F804" i="9"/>
  <c r="F801" i="9"/>
  <c r="F798" i="9"/>
  <c r="F772" i="9"/>
  <c r="F769" i="9"/>
  <c r="F766" i="9"/>
  <c r="F740" i="9"/>
  <c r="F737" i="9"/>
  <c r="F734" i="9"/>
  <c r="F705" i="9"/>
  <c r="F697" i="9"/>
  <c r="F689" i="9"/>
  <c r="F681" i="9"/>
  <c r="F673" i="9"/>
  <c r="F665" i="9"/>
  <c r="F657" i="9"/>
  <c r="F902" i="9"/>
  <c r="F883" i="9"/>
  <c r="F880" i="9"/>
  <c r="F877" i="9"/>
  <c r="F851" i="9"/>
  <c r="F848" i="9"/>
  <c r="F845" i="9"/>
  <c r="F819" i="9"/>
  <c r="F816" i="9"/>
  <c r="F813" i="9"/>
  <c r="F926" i="9"/>
  <c r="F921" i="9"/>
  <c r="F961" i="9"/>
  <c r="F946" i="9"/>
  <c r="F910" i="9"/>
  <c r="F904" i="9"/>
  <c r="F900" i="9"/>
  <c r="F892" i="9"/>
  <c r="F889" i="9"/>
  <c r="F886" i="9"/>
  <c r="F860" i="9"/>
  <c r="F857" i="9"/>
  <c r="F854" i="9"/>
  <c r="F828" i="9"/>
  <c r="F825" i="9"/>
  <c r="F822" i="9"/>
  <c r="F914" i="9"/>
  <c r="F938" i="9"/>
  <c r="F875" i="9"/>
  <c r="F872" i="9"/>
  <c r="F869" i="9"/>
  <c r="F843" i="9"/>
  <c r="F840" i="9"/>
  <c r="F837" i="9"/>
  <c r="F811" i="9"/>
  <c r="F808" i="9"/>
  <c r="F805" i="9"/>
  <c r="F922" i="9"/>
  <c r="F792" i="9"/>
  <c r="F752" i="9"/>
  <c r="F750" i="9"/>
  <c r="F741" i="9"/>
  <c r="F732" i="9"/>
  <c r="F671" i="9"/>
  <c r="F664" i="9"/>
  <c r="F653" i="9"/>
  <c r="F649" i="9"/>
  <c r="F638" i="9"/>
  <c r="F621" i="9"/>
  <c r="F609" i="9"/>
  <c r="F601" i="9"/>
  <c r="F593" i="9"/>
  <c r="F585" i="9"/>
  <c r="F577" i="9"/>
  <c r="F569" i="9"/>
  <c r="F561" i="9"/>
  <c r="F878" i="9"/>
  <c r="F763" i="9"/>
  <c r="F723" i="9"/>
  <c r="F721" i="9"/>
  <c r="F627" i="9"/>
  <c r="F616" i="9"/>
  <c r="F796" i="9"/>
  <c r="F774" i="9"/>
  <c r="F852" i="9"/>
  <c r="F787" i="9"/>
  <c r="F785" i="9"/>
  <c r="F776" i="9"/>
  <c r="F1010" i="9"/>
  <c r="F756" i="9"/>
  <c r="F758" i="9"/>
  <c r="F915" i="9"/>
  <c r="F817" i="9"/>
  <c r="F789" i="9"/>
  <c r="F780" i="9"/>
  <c r="F749" i="9"/>
  <c r="F729" i="9"/>
  <c r="F655" i="9"/>
  <c r="F640" i="9"/>
  <c r="F612" i="9"/>
  <c r="F849" i="9"/>
  <c r="F760" i="9"/>
  <c r="F720" i="9"/>
  <c r="F718" i="9"/>
  <c r="F710" i="9"/>
  <c r="F707" i="9"/>
  <c r="F700" i="9"/>
  <c r="F693" i="9"/>
  <c r="F646" i="9"/>
  <c r="F629" i="9"/>
  <c r="F618" i="9"/>
  <c r="F793" i="9"/>
  <c r="F884" i="9"/>
  <c r="F784" i="9"/>
  <c r="F782" i="9"/>
  <c r="F773" i="9"/>
  <c r="F764" i="9"/>
  <c r="F742" i="9"/>
  <c r="F704" i="9"/>
  <c r="F795" i="9"/>
  <c r="F755" i="9"/>
  <c r="F753" i="9"/>
  <c r="F744" i="9"/>
  <c r="F687" i="9"/>
  <c r="F680" i="9"/>
  <c r="F647" i="9"/>
  <c r="F846" i="9"/>
  <c r="F777" i="9"/>
  <c r="F881" i="9"/>
  <c r="F788" i="9"/>
  <c r="F779" i="9"/>
  <c r="F757" i="9"/>
  <c r="F748" i="9"/>
  <c r="F820" i="9"/>
  <c r="F814" i="9"/>
  <c r="F790" i="9"/>
  <c r="F715" i="9"/>
  <c r="F712" i="9"/>
  <c r="F691" i="9"/>
  <c r="F682" i="9"/>
  <c r="F617" i="9"/>
  <c r="F606" i="9"/>
  <c r="F599" i="9"/>
  <c r="F592" i="9"/>
  <c r="F656" i="9"/>
  <c r="F645" i="9"/>
  <c r="F636" i="9"/>
  <c r="F589" i="9"/>
  <c r="F582" i="9"/>
  <c r="F575" i="9"/>
  <c r="F568" i="9"/>
  <c r="F548" i="9"/>
  <c r="F540" i="9"/>
  <c r="F532" i="9"/>
  <c r="F524" i="9"/>
  <c r="F516" i="9"/>
  <c r="F508" i="9"/>
  <c r="F500" i="9"/>
  <c r="F492" i="9"/>
  <c r="F484" i="9"/>
  <c r="F476" i="9"/>
  <c r="F468" i="9"/>
  <c r="F460" i="9"/>
  <c r="F452" i="9"/>
  <c r="F444" i="9"/>
  <c r="F436" i="9"/>
  <c r="F428" i="9"/>
  <c r="F420" i="9"/>
  <c r="F412" i="9"/>
  <c r="F404" i="9"/>
  <c r="F396" i="9"/>
  <c r="F747" i="9"/>
  <c r="F684" i="9"/>
  <c r="F675" i="9"/>
  <c r="F658" i="9"/>
  <c r="F603" i="9"/>
  <c r="F596" i="9"/>
  <c r="F725" i="9"/>
  <c r="F666" i="9"/>
  <c r="F660" i="9"/>
  <c r="F652" i="9"/>
  <c r="F643" i="9"/>
  <c r="F620" i="9"/>
  <c r="F586" i="9"/>
  <c r="F695" i="9"/>
  <c r="F677" i="9"/>
  <c r="F668" i="9"/>
  <c r="F650" i="9"/>
  <c r="F641" i="9"/>
  <c r="F634" i="9"/>
  <c r="F625" i="9"/>
  <c r="F615" i="9"/>
  <c r="F761" i="9"/>
  <c r="F728" i="9"/>
  <c r="F706" i="9"/>
  <c r="F648" i="9"/>
  <c r="F600" i="9"/>
  <c r="F781" i="9"/>
  <c r="F724" i="9"/>
  <c r="F717" i="9"/>
  <c r="F688" i="9"/>
  <c r="F679" i="9"/>
  <c r="F639" i="9"/>
  <c r="F632" i="9"/>
  <c r="F610" i="9"/>
  <c r="F607" i="9"/>
  <c r="F597" i="9"/>
  <c r="F590" i="9"/>
  <c r="F583" i="9"/>
  <c r="F576" i="9"/>
  <c r="F731" i="9"/>
  <c r="F708" i="9"/>
  <c r="F699" i="9"/>
  <c r="F690" i="9"/>
  <c r="F630" i="9"/>
  <c r="F623" i="9"/>
  <c r="F613" i="9"/>
  <c r="F604" i="9"/>
  <c r="F573" i="9"/>
  <c r="F566" i="9"/>
  <c r="F559" i="9"/>
  <c r="F551" i="9"/>
  <c r="F543" i="9"/>
  <c r="F535" i="9"/>
  <c r="F527" i="9"/>
  <c r="F519" i="9"/>
  <c r="F511" i="9"/>
  <c r="F503" i="9"/>
  <c r="F495" i="9"/>
  <c r="F487" i="9"/>
  <c r="F479" i="9"/>
  <c r="F471" i="9"/>
  <c r="F463" i="9"/>
  <c r="F455" i="9"/>
  <c r="F447" i="9"/>
  <c r="F439" i="9"/>
  <c r="F431" i="9"/>
  <c r="F423" i="9"/>
  <c r="F415" i="9"/>
  <c r="F407" i="9"/>
  <c r="F399" i="9"/>
  <c r="F745" i="9"/>
  <c r="F672" i="9"/>
  <c r="F594" i="9"/>
  <c r="F587" i="9"/>
  <c r="F701" i="9"/>
  <c r="F692" i="9"/>
  <c r="F683" i="9"/>
  <c r="F674" i="9"/>
  <c r="F644" i="9"/>
  <c r="F637" i="9"/>
  <c r="F713" i="9"/>
  <c r="F663" i="9"/>
  <c r="F659" i="9"/>
  <c r="F635" i="9"/>
  <c r="F628" i="9"/>
  <c r="F703" i="9"/>
  <c r="F685" i="9"/>
  <c r="F676" i="9"/>
  <c r="F661" i="9"/>
  <c r="F651" i="9"/>
  <c r="F642" i="9"/>
  <c r="F605" i="9"/>
  <c r="F598" i="9"/>
  <c r="F591" i="9"/>
  <c r="F584" i="9"/>
  <c r="F716" i="9"/>
  <c r="F667" i="9"/>
  <c r="F633" i="9"/>
  <c r="F626" i="9"/>
  <c r="F619" i="9"/>
  <c r="F611" i="9"/>
  <c r="F608" i="9"/>
  <c r="F581" i="9"/>
  <c r="F726" i="9"/>
  <c r="F696" i="9"/>
  <c r="F669" i="9"/>
  <c r="F624" i="9"/>
  <c r="F614" i="9"/>
  <c r="F602" i="9"/>
  <c r="F595" i="9"/>
  <c r="F588" i="9"/>
  <c r="F698" i="9"/>
  <c r="F631" i="9"/>
  <c r="F556" i="9"/>
  <c r="F528" i="9"/>
  <c r="F525" i="9"/>
  <c r="F522" i="9"/>
  <c r="F496" i="9"/>
  <c r="F493" i="9"/>
  <c r="F490" i="9"/>
  <c r="F464" i="9"/>
  <c r="F461" i="9"/>
  <c r="F458" i="9"/>
  <c r="F432" i="9"/>
  <c r="F429" i="9"/>
  <c r="F426" i="9"/>
  <c r="F571" i="9"/>
  <c r="F554" i="9"/>
  <c r="F537" i="9"/>
  <c r="F534" i="9"/>
  <c r="F531" i="9"/>
  <c r="F505" i="9"/>
  <c r="F502" i="9"/>
  <c r="F499" i="9"/>
  <c r="F473" i="9"/>
  <c r="F470" i="9"/>
  <c r="F467" i="9"/>
  <c r="F441" i="9"/>
  <c r="F438" i="9"/>
  <c r="F435" i="9"/>
  <c r="F580" i="9"/>
  <c r="F567" i="9"/>
  <c r="F565" i="9"/>
  <c r="F563" i="9"/>
  <c r="F552" i="9"/>
  <c r="F549" i="9"/>
  <c r="F546" i="9"/>
  <c r="F520" i="9"/>
  <c r="F517" i="9"/>
  <c r="F514" i="9"/>
  <c r="F488" i="9"/>
  <c r="F485" i="9"/>
  <c r="F482" i="9"/>
  <c r="F456" i="9"/>
  <c r="F453" i="9"/>
  <c r="F450" i="9"/>
  <c r="F578" i="9"/>
  <c r="F529" i="9"/>
  <c r="F526" i="9"/>
  <c r="F523" i="9"/>
  <c r="F497" i="9"/>
  <c r="F494" i="9"/>
  <c r="F491" i="9"/>
  <c r="F465" i="9"/>
  <c r="F462" i="9"/>
  <c r="F459" i="9"/>
  <c r="F574" i="9"/>
  <c r="F622" i="9"/>
  <c r="F572" i="9"/>
  <c r="F570" i="9"/>
  <c r="F557" i="9"/>
  <c r="F544" i="9"/>
  <c r="F541" i="9"/>
  <c r="F538" i="9"/>
  <c r="F512" i="9"/>
  <c r="F509" i="9"/>
  <c r="F506" i="9"/>
  <c r="F480" i="9"/>
  <c r="F477" i="9"/>
  <c r="F474" i="9"/>
  <c r="F448" i="9"/>
  <c r="F445" i="9"/>
  <c r="F442" i="9"/>
  <c r="F555" i="9"/>
  <c r="F550" i="9"/>
  <c r="F547" i="9"/>
  <c r="F521" i="9"/>
  <c r="F518" i="9"/>
  <c r="F515" i="9"/>
  <c r="F489" i="9"/>
  <c r="F486" i="9"/>
  <c r="F483" i="9"/>
  <c r="F457" i="9"/>
  <c r="F454" i="9"/>
  <c r="F451" i="9"/>
  <c r="F425" i="9"/>
  <c r="F422" i="9"/>
  <c r="F419" i="9"/>
  <c r="F553" i="9"/>
  <c r="F579" i="9"/>
  <c r="F536" i="9"/>
  <c r="F533" i="9"/>
  <c r="F530" i="9"/>
  <c r="F504" i="9"/>
  <c r="F501" i="9"/>
  <c r="F498" i="9"/>
  <c r="F472" i="9"/>
  <c r="F469" i="9"/>
  <c r="F466" i="9"/>
  <c r="F545" i="9"/>
  <c r="F542" i="9"/>
  <c r="F539" i="9"/>
  <c r="F513" i="9"/>
  <c r="F510" i="9"/>
  <c r="F507" i="9"/>
  <c r="F481" i="9"/>
  <c r="F478" i="9"/>
  <c r="F475" i="9"/>
  <c r="F562" i="9"/>
  <c r="F433" i="9"/>
  <c r="F413" i="9"/>
  <c r="F411" i="9"/>
  <c r="F409" i="9"/>
  <c r="F403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7" i="9"/>
  <c r="F279" i="9"/>
  <c r="F271" i="9"/>
  <c r="F263" i="9"/>
  <c r="F255" i="9"/>
  <c r="F247" i="9"/>
  <c r="F239" i="9"/>
  <c r="F231" i="9"/>
  <c r="F223" i="9"/>
  <c r="F215" i="9"/>
  <c r="F207" i="9"/>
  <c r="F199" i="9"/>
  <c r="F191" i="9"/>
  <c r="F183" i="9"/>
  <c r="F175" i="9"/>
  <c r="F167" i="9"/>
  <c r="F159" i="9"/>
  <c r="F151" i="9"/>
  <c r="F143" i="9"/>
  <c r="F135" i="9"/>
  <c r="F127" i="9"/>
  <c r="F119" i="9"/>
  <c r="F111" i="9"/>
  <c r="F417" i="9"/>
  <c r="F400" i="9"/>
  <c r="F560" i="9"/>
  <c r="F43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8" i="9"/>
  <c r="F280" i="9"/>
  <c r="F272" i="9"/>
  <c r="F264" i="9"/>
  <c r="F256" i="9"/>
  <c r="F397" i="9"/>
  <c r="F558" i="9"/>
  <c r="F427" i="9"/>
  <c r="F424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9" i="9"/>
  <c r="F281" i="9"/>
  <c r="F273" i="9"/>
  <c r="F265" i="9"/>
  <c r="F257" i="9"/>
  <c r="F421" i="9"/>
  <c r="F401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90" i="9"/>
  <c r="F282" i="9"/>
  <c r="F274" i="9"/>
  <c r="F266" i="9"/>
  <c r="F258" i="9"/>
  <c r="F250" i="9"/>
  <c r="F242" i="9"/>
  <c r="F234" i="9"/>
  <c r="F226" i="9"/>
  <c r="F218" i="9"/>
  <c r="F210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416" i="9"/>
  <c r="F414" i="9"/>
  <c r="F405" i="9"/>
  <c r="F398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1" i="9"/>
  <c r="F283" i="9"/>
  <c r="F275" i="9"/>
  <c r="F267" i="9"/>
  <c r="F259" i="9"/>
  <c r="F440" i="9"/>
  <c r="F437" i="9"/>
  <c r="F418" i="9"/>
  <c r="F410" i="9"/>
  <c r="F408" i="9"/>
  <c r="F434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2" i="9"/>
  <c r="F284" i="9"/>
  <c r="F276" i="9"/>
  <c r="F268" i="9"/>
  <c r="F260" i="9"/>
  <c r="F252" i="9"/>
  <c r="F449" i="9"/>
  <c r="F446" i="9"/>
  <c r="F443" i="9"/>
  <c r="F402" i="9"/>
  <c r="F395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5" i="9"/>
  <c r="F277" i="9"/>
  <c r="F269" i="9"/>
  <c r="F261" i="9"/>
  <c r="F253" i="9"/>
  <c r="F245" i="9"/>
  <c r="F564" i="9"/>
  <c r="F406" i="9"/>
  <c r="F326" i="9"/>
  <c r="F219" i="9"/>
  <c r="F216" i="9"/>
  <c r="F213" i="9"/>
  <c r="F187" i="9"/>
  <c r="F184" i="9"/>
  <c r="F181" i="9"/>
  <c r="F155" i="9"/>
  <c r="F152" i="9"/>
  <c r="F149" i="9"/>
  <c r="F123" i="9"/>
  <c r="F120" i="9"/>
  <c r="F117" i="9"/>
  <c r="F105" i="9"/>
  <c r="F97" i="9"/>
  <c r="F89" i="9"/>
  <c r="F81" i="9"/>
  <c r="F73" i="9"/>
  <c r="F65" i="9"/>
  <c r="F57" i="9"/>
  <c r="F49" i="9"/>
  <c r="F41" i="9"/>
  <c r="F33" i="9"/>
  <c r="F25" i="9"/>
  <c r="F17" i="9"/>
  <c r="F9" i="9"/>
  <c r="F74" i="9"/>
  <c r="F10" i="9"/>
  <c r="F270" i="9"/>
  <c r="F246" i="9"/>
  <c r="F58" i="9"/>
  <c r="F50" i="9"/>
  <c r="F42" i="9"/>
  <c r="F34" i="9"/>
  <c r="F26" i="9"/>
  <c r="F18" i="9"/>
  <c r="F342" i="9"/>
  <c r="F251" i="9"/>
  <c r="F228" i="9"/>
  <c r="F225" i="9"/>
  <c r="F222" i="9"/>
  <c r="F196" i="9"/>
  <c r="F193" i="9"/>
  <c r="F190" i="9"/>
  <c r="F164" i="9"/>
  <c r="F161" i="9"/>
  <c r="F158" i="9"/>
  <c r="F132" i="9"/>
  <c r="F129" i="9"/>
  <c r="F126" i="9"/>
  <c r="F106" i="9"/>
  <c r="F98" i="9"/>
  <c r="F90" i="9"/>
  <c r="F82" i="9"/>
  <c r="F66" i="9"/>
  <c r="F286" i="9"/>
  <c r="F358" i="9"/>
  <c r="F243" i="9"/>
  <c r="F240" i="9"/>
  <c r="F237" i="9"/>
  <c r="F211" i="9"/>
  <c r="F208" i="9"/>
  <c r="F205" i="9"/>
  <c r="F179" i="9"/>
  <c r="F176" i="9"/>
  <c r="F173" i="9"/>
  <c r="F147" i="9"/>
  <c r="F144" i="9"/>
  <c r="F141" i="9"/>
  <c r="F115" i="9"/>
  <c r="F112" i="9"/>
  <c r="F107" i="9"/>
  <c r="F99" i="9"/>
  <c r="F91" i="9"/>
  <c r="F83" i="9"/>
  <c r="F302" i="9"/>
  <c r="F374" i="9"/>
  <c r="F220" i="9"/>
  <c r="F217" i="9"/>
  <c r="F214" i="9"/>
  <c r="F188" i="9"/>
  <c r="F185" i="9"/>
  <c r="F182" i="9"/>
  <c r="F156" i="9"/>
  <c r="F153" i="9"/>
  <c r="F150" i="9"/>
  <c r="F124" i="9"/>
  <c r="F121" i="9"/>
  <c r="F118" i="9"/>
  <c r="F108" i="9"/>
  <c r="F100" i="9"/>
  <c r="F92" i="9"/>
  <c r="F84" i="9"/>
  <c r="F76" i="9"/>
  <c r="F68" i="9"/>
  <c r="F60" i="9"/>
  <c r="F52" i="9"/>
  <c r="F44" i="9"/>
  <c r="F36" i="9"/>
  <c r="F28" i="9"/>
  <c r="F20" i="9"/>
  <c r="F12" i="9"/>
  <c r="F53" i="9"/>
  <c r="F13" i="9"/>
  <c r="F318" i="9"/>
  <c r="F249" i="9"/>
  <c r="F69" i="9"/>
  <c r="F45" i="9"/>
  <c r="F37" i="9"/>
  <c r="F21" i="9"/>
  <c r="F390" i="9"/>
  <c r="F262" i="9"/>
  <c r="F235" i="9"/>
  <c r="F232" i="9"/>
  <c r="F229" i="9"/>
  <c r="F203" i="9"/>
  <c r="F200" i="9"/>
  <c r="F197" i="9"/>
  <c r="F171" i="9"/>
  <c r="F168" i="9"/>
  <c r="F165" i="9"/>
  <c r="F139" i="9"/>
  <c r="F136" i="9"/>
  <c r="F133" i="9"/>
  <c r="F109" i="9"/>
  <c r="F101" i="9"/>
  <c r="F93" i="9"/>
  <c r="F85" i="9"/>
  <c r="F77" i="9"/>
  <c r="F61" i="9"/>
  <c r="F29" i="9"/>
  <c r="F334" i="9"/>
  <c r="F278" i="9"/>
  <c r="F248" i="9"/>
  <c r="F241" i="9"/>
  <c r="F238" i="9"/>
  <c r="F212" i="9"/>
  <c r="F209" i="9"/>
  <c r="F206" i="9"/>
  <c r="F180" i="9"/>
  <c r="F177" i="9"/>
  <c r="F174" i="9"/>
  <c r="F148" i="9"/>
  <c r="F145" i="9"/>
  <c r="F142" i="9"/>
  <c r="F116" i="9"/>
  <c r="F113" i="9"/>
  <c r="F110" i="9"/>
  <c r="F102" i="9"/>
  <c r="F94" i="9"/>
  <c r="F86" i="9"/>
  <c r="F78" i="9"/>
  <c r="F350" i="9"/>
  <c r="F294" i="9"/>
  <c r="F244" i="9"/>
  <c r="F227" i="9"/>
  <c r="F224" i="9"/>
  <c r="F221" i="9"/>
  <c r="F195" i="9"/>
  <c r="F192" i="9"/>
  <c r="F189" i="9"/>
  <c r="F163" i="9"/>
  <c r="F160" i="9"/>
  <c r="F157" i="9"/>
  <c r="F131" i="9"/>
  <c r="F128" i="9"/>
  <c r="F125" i="9"/>
  <c r="F103" i="9"/>
  <c r="F95" i="9"/>
  <c r="F87" i="9"/>
  <c r="F79" i="9"/>
  <c r="F71" i="9"/>
  <c r="F63" i="9"/>
  <c r="F55" i="9"/>
  <c r="F47" i="9"/>
  <c r="F39" i="9"/>
  <c r="F366" i="9"/>
  <c r="F310" i="9"/>
  <c r="F236" i="9"/>
  <c r="F233" i="9"/>
  <c r="F230" i="9"/>
  <c r="F204" i="9"/>
  <c r="F201" i="9"/>
  <c r="F198" i="9"/>
  <c r="F172" i="9"/>
  <c r="F169" i="9"/>
  <c r="F166" i="9"/>
  <c r="F140" i="9"/>
  <c r="F137" i="9"/>
  <c r="F134" i="9"/>
  <c r="F104" i="9"/>
  <c r="F96" i="9"/>
  <c r="F88" i="9"/>
  <c r="F80" i="9"/>
  <c r="F72" i="9"/>
  <c r="F64" i="9"/>
  <c r="F56" i="9"/>
  <c r="F48" i="9"/>
  <c r="F40" i="9"/>
  <c r="F22" i="9"/>
  <c r="F24" i="9"/>
  <c r="F38" i="9"/>
  <c r="F70" i="9"/>
  <c r="E1804" i="9"/>
  <c r="E1796" i="9"/>
  <c r="E1788" i="9"/>
  <c r="E1780" i="9"/>
  <c r="E1772" i="9"/>
  <c r="E1764" i="9"/>
  <c r="E1756" i="9"/>
  <c r="E1748" i="9"/>
  <c r="E1740" i="9"/>
  <c r="E1805" i="9"/>
  <c r="E1797" i="9"/>
  <c r="E1789" i="9"/>
  <c r="E1781" i="9"/>
  <c r="E1773" i="9"/>
  <c r="E1765" i="9"/>
  <c r="E1757" i="9"/>
  <c r="E1749" i="9"/>
  <c r="E1806" i="9"/>
  <c r="E1798" i="9"/>
  <c r="E1790" i="9"/>
  <c r="E1782" i="9"/>
  <c r="E1774" i="9"/>
  <c r="E1766" i="9"/>
  <c r="E1758" i="9"/>
  <c r="E1750" i="9"/>
  <c r="E1742" i="9"/>
  <c r="E1734" i="9"/>
  <c r="E1726" i="9"/>
  <c r="E1718" i="9"/>
  <c r="E1807" i="9"/>
  <c r="E1799" i="9"/>
  <c r="E1791" i="9"/>
  <c r="E1783" i="9"/>
  <c r="E1775" i="9"/>
  <c r="E1767" i="9"/>
  <c r="E1759" i="9"/>
  <c r="E1751" i="9"/>
  <c r="E1743" i="9"/>
  <c r="E1735" i="9"/>
  <c r="E1727" i="9"/>
  <c r="E1719" i="9"/>
  <c r="E1808" i="9"/>
  <c r="E1800" i="9"/>
  <c r="E1792" i="9"/>
  <c r="E1784" i="9"/>
  <c r="E1776" i="9"/>
  <c r="E1768" i="9"/>
  <c r="E1760" i="9"/>
  <c r="E1752" i="9"/>
  <c r="E1744" i="9"/>
  <c r="E1801" i="9"/>
  <c r="E1793" i="9"/>
  <c r="E1785" i="9"/>
  <c r="E1777" i="9"/>
  <c r="E1769" i="9"/>
  <c r="E1761" i="9"/>
  <c r="E1753" i="9"/>
  <c r="E1745" i="9"/>
  <c r="E1737" i="9"/>
  <c r="E1729" i="9"/>
  <c r="E1802" i="9"/>
  <c r="E1794" i="9"/>
  <c r="E1786" i="9"/>
  <c r="E1778" i="9"/>
  <c r="E1770" i="9"/>
  <c r="E1762" i="9"/>
  <c r="E1754" i="9"/>
  <c r="E1741" i="9"/>
  <c r="E1707" i="9"/>
  <c r="E1699" i="9"/>
  <c r="E1691" i="9"/>
  <c r="E1683" i="9"/>
  <c r="E1675" i="9"/>
  <c r="E1667" i="9"/>
  <c r="E1659" i="9"/>
  <c r="E1651" i="9"/>
  <c r="E1643" i="9"/>
  <c r="E1771" i="9"/>
  <c r="E1739" i="9"/>
  <c r="E1724" i="9"/>
  <c r="E1717" i="9"/>
  <c r="E1779" i="9"/>
  <c r="E1733" i="9"/>
  <c r="E1728" i="9"/>
  <c r="E1721" i="9"/>
  <c r="E1787" i="9"/>
  <c r="E1747" i="9"/>
  <c r="E1763" i="9"/>
  <c r="E1731" i="9"/>
  <c r="E1710" i="9"/>
  <c r="E1702" i="9"/>
  <c r="E1694" i="9"/>
  <c r="E1686" i="9"/>
  <c r="E1678" i="9"/>
  <c r="E1670" i="9"/>
  <c r="E1662" i="9"/>
  <c r="E1654" i="9"/>
  <c r="E1795" i="9"/>
  <c r="E1725" i="9"/>
  <c r="E1738" i="9"/>
  <c r="E1736" i="9"/>
  <c r="E1711" i="9"/>
  <c r="E1703" i="9"/>
  <c r="E1803" i="9"/>
  <c r="E1722" i="9"/>
  <c r="E1715" i="9"/>
  <c r="E1755" i="9"/>
  <c r="E1746" i="9"/>
  <c r="E1732" i="9"/>
  <c r="E1716" i="9"/>
  <c r="E1713" i="9"/>
  <c r="E1649" i="9"/>
  <c r="E1629" i="9"/>
  <c r="E1621" i="9"/>
  <c r="E1613" i="9"/>
  <c r="E1605" i="9"/>
  <c r="E1597" i="9"/>
  <c r="E1589" i="9"/>
  <c r="E1581" i="9"/>
  <c r="E1573" i="9"/>
  <c r="E1565" i="9"/>
  <c r="E1730" i="9"/>
  <c r="E1684" i="9"/>
  <c r="E1677" i="9"/>
  <c r="E1645" i="9"/>
  <c r="E1688" i="9"/>
  <c r="E1681" i="9"/>
  <c r="E1712" i="9"/>
  <c r="E1705" i="9"/>
  <c r="E1700" i="9"/>
  <c r="E1697" i="9"/>
  <c r="E1720" i="9"/>
  <c r="E1685" i="9"/>
  <c r="E1642" i="9"/>
  <c r="E1668" i="9"/>
  <c r="E1661" i="9"/>
  <c r="E1638" i="9"/>
  <c r="E1708" i="9"/>
  <c r="E1682" i="9"/>
  <c r="E1695" i="9"/>
  <c r="E1692" i="9"/>
  <c r="E1689" i="9"/>
  <c r="E1679" i="9"/>
  <c r="E1714" i="9"/>
  <c r="E1698" i="9"/>
  <c r="E1706" i="9"/>
  <c r="E1701" i="9"/>
  <c r="E1704" i="9"/>
  <c r="E1696" i="9"/>
  <c r="E1640" i="9"/>
  <c r="E1588" i="9"/>
  <c r="E1577" i="9"/>
  <c r="E1566" i="9"/>
  <c r="E1690" i="9"/>
  <c r="E1656" i="9"/>
  <c r="E1594" i="9"/>
  <c r="E1583" i="9"/>
  <c r="E1560" i="9"/>
  <c r="E1552" i="9"/>
  <c r="E1723" i="9"/>
  <c r="E1676" i="9"/>
  <c r="E1671" i="9"/>
  <c r="E1669" i="9"/>
  <c r="E1633" i="9"/>
  <c r="E1626" i="9"/>
  <c r="E1619" i="9"/>
  <c r="E1612" i="9"/>
  <c r="E1665" i="9"/>
  <c r="E1652" i="9"/>
  <c r="E1650" i="9"/>
  <c r="E1630" i="9"/>
  <c r="E1623" i="9"/>
  <c r="E1673" i="9"/>
  <c r="E1663" i="9"/>
  <c r="E1636" i="9"/>
  <c r="E1606" i="9"/>
  <c r="E1601" i="9"/>
  <c r="E1709" i="9"/>
  <c r="E1648" i="9"/>
  <c r="E1641" i="9"/>
  <c r="E1579" i="9"/>
  <c r="E1568" i="9"/>
  <c r="E1627" i="9"/>
  <c r="E1620" i="9"/>
  <c r="E1693" i="9"/>
  <c r="E1657" i="9"/>
  <c r="E1655" i="9"/>
  <c r="E1639" i="9"/>
  <c r="E1634" i="9"/>
  <c r="E1617" i="9"/>
  <c r="E1610" i="9"/>
  <c r="E1602" i="9"/>
  <c r="E1591" i="9"/>
  <c r="E1563" i="9"/>
  <c r="E1646" i="9"/>
  <c r="E1631" i="9"/>
  <c r="E1624" i="9"/>
  <c r="E1687" i="9"/>
  <c r="E1672" i="9"/>
  <c r="E1653" i="9"/>
  <c r="E1614" i="9"/>
  <c r="E1644" i="9"/>
  <c r="E1637" i="9"/>
  <c r="E1680" i="9"/>
  <c r="E1666" i="9"/>
  <c r="E1664" i="9"/>
  <c r="E1628" i="9"/>
  <c r="E1674" i="9"/>
  <c r="E1660" i="9"/>
  <c r="E1647" i="9"/>
  <c r="E1635" i="9"/>
  <c r="E1632" i="9"/>
  <c r="E1584" i="9"/>
  <c r="E1549" i="9"/>
  <c r="E1545" i="9"/>
  <c r="E1517" i="9"/>
  <c r="E1506" i="9"/>
  <c r="E1592" i="9"/>
  <c r="E1571" i="9"/>
  <c r="E1557" i="9"/>
  <c r="E1534" i="9"/>
  <c r="E1523" i="9"/>
  <c r="E1512" i="9"/>
  <c r="E1495" i="9"/>
  <c r="E1483" i="9"/>
  <c r="E1475" i="9"/>
  <c r="E1467" i="9"/>
  <c r="E1618" i="9"/>
  <c r="E1609" i="9"/>
  <c r="E1574" i="9"/>
  <c r="E1540" i="9"/>
  <c r="E1587" i="9"/>
  <c r="E1569" i="9"/>
  <c r="E1561" i="9"/>
  <c r="E1554" i="9"/>
  <c r="E1625" i="9"/>
  <c r="E1595" i="9"/>
  <c r="E1582" i="9"/>
  <c r="E1550" i="9"/>
  <c r="E1546" i="9"/>
  <c r="E1535" i="9"/>
  <c r="E1590" i="9"/>
  <c r="E1564" i="9"/>
  <c r="E1604" i="9"/>
  <c r="E1600" i="9"/>
  <c r="E1598" i="9"/>
  <c r="E1585" i="9"/>
  <c r="E1572" i="9"/>
  <c r="E1558" i="9"/>
  <c r="E1536" i="9"/>
  <c r="E1519" i="9"/>
  <c r="E1508" i="9"/>
  <c r="E1497" i="9"/>
  <c r="E1580" i="9"/>
  <c r="E1567" i="9"/>
  <c r="E1555" i="9"/>
  <c r="E1525" i="9"/>
  <c r="E1514" i="9"/>
  <c r="E1593" i="9"/>
  <c r="E1575" i="9"/>
  <c r="E1551" i="9"/>
  <c r="E1547" i="9"/>
  <c r="E1542" i="9"/>
  <c r="E1531" i="9"/>
  <c r="E1520" i="9"/>
  <c r="E1503" i="9"/>
  <c r="E1492" i="9"/>
  <c r="E1622" i="9"/>
  <c r="E1616" i="9"/>
  <c r="E1608" i="9"/>
  <c r="E1562" i="9"/>
  <c r="E1537" i="9"/>
  <c r="E1596" i="9"/>
  <c r="E1570" i="9"/>
  <c r="E1611" i="9"/>
  <c r="E1578" i="9"/>
  <c r="E1559" i="9"/>
  <c r="E1543" i="9"/>
  <c r="E1586" i="9"/>
  <c r="E1556" i="9"/>
  <c r="E1548" i="9"/>
  <c r="E1607" i="9"/>
  <c r="E1553" i="9"/>
  <c r="E1530" i="9"/>
  <c r="E1528" i="9"/>
  <c r="E1464" i="9"/>
  <c r="E1453" i="9"/>
  <c r="E1425" i="9"/>
  <c r="E1414" i="9"/>
  <c r="E1403" i="9"/>
  <c r="E1526" i="9"/>
  <c r="E1493" i="9"/>
  <c r="E1485" i="9"/>
  <c r="E1482" i="9"/>
  <c r="E1473" i="9"/>
  <c r="E1469" i="9"/>
  <c r="E1459" i="9"/>
  <c r="E1442" i="9"/>
  <c r="E1431" i="9"/>
  <c r="E1420" i="9"/>
  <c r="E1396" i="9"/>
  <c r="E1388" i="9"/>
  <c r="E1380" i="9"/>
  <c r="E1372" i="9"/>
  <c r="E1364" i="9"/>
  <c r="E1658" i="9"/>
  <c r="E1603" i="9"/>
  <c r="E1510" i="9"/>
  <c r="E1488" i="9"/>
  <c r="E1448" i="9"/>
  <c r="E1437" i="9"/>
  <c r="E1576" i="9"/>
  <c r="E1501" i="9"/>
  <c r="E1496" i="9"/>
  <c r="E1465" i="9"/>
  <c r="E1454" i="9"/>
  <c r="E1443" i="9"/>
  <c r="E1524" i="9"/>
  <c r="E1515" i="9"/>
  <c r="E1460" i="9"/>
  <c r="E1491" i="9"/>
  <c r="E1480" i="9"/>
  <c r="E1477" i="9"/>
  <c r="E1474" i="9"/>
  <c r="E1470" i="9"/>
  <c r="E1449" i="9"/>
  <c r="E1438" i="9"/>
  <c r="E1427" i="9"/>
  <c r="E1410" i="9"/>
  <c r="E1398" i="9"/>
  <c r="E1390" i="9"/>
  <c r="E1382" i="9"/>
  <c r="E1374" i="9"/>
  <c r="E1366" i="9"/>
  <c r="E1522" i="9"/>
  <c r="E1499" i="9"/>
  <c r="E1486" i="9"/>
  <c r="E1455" i="9"/>
  <c r="E1444" i="9"/>
  <c r="E1416" i="9"/>
  <c r="E1405" i="9"/>
  <c r="E1599" i="9"/>
  <c r="E1539" i="9"/>
  <c r="E1529" i="9"/>
  <c r="E1513" i="9"/>
  <c r="E1504" i="9"/>
  <c r="E1466" i="9"/>
  <c r="E1461" i="9"/>
  <c r="E1433" i="9"/>
  <c r="E1422" i="9"/>
  <c r="E1411" i="9"/>
  <c r="E1399" i="9"/>
  <c r="E1391" i="9"/>
  <c r="E1383" i="9"/>
  <c r="E1375" i="9"/>
  <c r="E1367" i="9"/>
  <c r="E1494" i="9"/>
  <c r="E1450" i="9"/>
  <c r="E1439" i="9"/>
  <c r="E1428" i="9"/>
  <c r="E1533" i="9"/>
  <c r="E1527" i="9"/>
  <c r="E1489" i="9"/>
  <c r="E1471" i="9"/>
  <c r="E1456" i="9"/>
  <c r="E1445" i="9"/>
  <c r="E1615" i="9"/>
  <c r="E1518" i="9"/>
  <c r="E1511" i="9"/>
  <c r="E1509" i="9"/>
  <c r="E1478" i="9"/>
  <c r="E1462" i="9"/>
  <c r="E1451" i="9"/>
  <c r="E1434" i="9"/>
  <c r="E1541" i="9"/>
  <c r="E1538" i="9"/>
  <c r="E1502" i="9"/>
  <c r="E1484" i="9"/>
  <c r="E1481" i="9"/>
  <c r="E1440" i="9"/>
  <c r="E1429" i="9"/>
  <c r="E1516" i="9"/>
  <c r="E1487" i="9"/>
  <c r="E1507" i="9"/>
  <c r="E1500" i="9"/>
  <c r="E1472" i="9"/>
  <c r="E1457" i="9"/>
  <c r="E1404" i="9"/>
  <c r="E1379" i="9"/>
  <c r="E1371" i="9"/>
  <c r="E1505" i="9"/>
  <c r="E1479" i="9"/>
  <c r="E1452" i="9"/>
  <c r="E1392" i="9"/>
  <c r="E1360" i="9"/>
  <c r="E1352" i="9"/>
  <c r="E1344" i="9"/>
  <c r="E1336" i="9"/>
  <c r="E1328" i="9"/>
  <c r="E1320" i="9"/>
  <c r="E1490" i="9"/>
  <c r="E1468" i="9"/>
  <c r="E1418" i="9"/>
  <c r="E1532" i="9"/>
  <c r="E1447" i="9"/>
  <c r="E1446" i="9"/>
  <c r="E1423" i="9"/>
  <c r="E1400" i="9"/>
  <c r="E1369" i="9"/>
  <c r="E1476" i="9"/>
  <c r="E1441" i="9"/>
  <c r="E1395" i="9"/>
  <c r="E1421" i="9"/>
  <c r="E1412" i="9"/>
  <c r="E1363" i="9"/>
  <c r="E1355" i="9"/>
  <c r="E1347" i="9"/>
  <c r="E1339" i="9"/>
  <c r="E1331" i="9"/>
  <c r="E1323" i="9"/>
  <c r="E1498" i="9"/>
  <c r="E1419" i="9"/>
  <c r="E1544" i="9"/>
  <c r="E1436" i="9"/>
  <c r="E1521" i="9"/>
  <c r="E1463" i="9"/>
  <c r="E1435" i="9"/>
  <c r="E1432" i="9"/>
  <c r="E1415" i="9"/>
  <c r="E1409" i="9"/>
  <c r="E1406" i="9"/>
  <c r="E1356" i="9"/>
  <c r="E1353" i="9"/>
  <c r="E1350" i="9"/>
  <c r="E1319" i="9"/>
  <c r="E1308" i="9"/>
  <c r="E1300" i="9"/>
  <c r="E1292" i="9"/>
  <c r="E1284" i="9"/>
  <c r="E1276" i="9"/>
  <c r="E1268" i="9"/>
  <c r="E1260" i="9"/>
  <c r="E1252" i="9"/>
  <c r="E1244" i="9"/>
  <c r="E1236" i="9"/>
  <c r="E1228" i="9"/>
  <c r="E1220" i="9"/>
  <c r="E1212" i="9"/>
  <c r="E1204" i="9"/>
  <c r="E1196" i="9"/>
  <c r="E1330" i="9"/>
  <c r="E1426" i="9"/>
  <c r="E1387" i="9"/>
  <c r="E1377" i="9"/>
  <c r="E1368" i="9"/>
  <c r="E1362" i="9"/>
  <c r="E1359" i="9"/>
  <c r="E1370" i="9"/>
  <c r="E1430" i="9"/>
  <c r="E1384" i="9"/>
  <c r="E1348" i="9"/>
  <c r="E1345" i="9"/>
  <c r="E1342" i="9"/>
  <c r="E1310" i="9"/>
  <c r="E1302" i="9"/>
  <c r="E1294" i="9"/>
  <c r="E1286" i="9"/>
  <c r="E1278" i="9"/>
  <c r="E1270" i="9"/>
  <c r="E1262" i="9"/>
  <c r="E1254" i="9"/>
  <c r="E1246" i="9"/>
  <c r="E1238" i="9"/>
  <c r="E1230" i="9"/>
  <c r="E1222" i="9"/>
  <c r="E1214" i="9"/>
  <c r="E1206" i="9"/>
  <c r="E1198" i="9"/>
  <c r="E1190" i="9"/>
  <c r="E1417" i="9"/>
  <c r="E1397" i="9"/>
  <c r="E1354" i="9"/>
  <c r="E1408" i="9"/>
  <c r="E1389" i="9"/>
  <c r="E1357" i="9"/>
  <c r="E1351" i="9"/>
  <c r="E1321" i="9"/>
  <c r="E1303" i="9"/>
  <c r="E1295" i="9"/>
  <c r="E1287" i="9"/>
  <c r="E1279" i="9"/>
  <c r="E1271" i="9"/>
  <c r="E1263" i="9"/>
  <c r="E1255" i="9"/>
  <c r="E1247" i="9"/>
  <c r="E1424" i="9"/>
  <c r="E1386" i="9"/>
  <c r="E1311" i="9"/>
  <c r="E1458" i="9"/>
  <c r="E1402" i="9"/>
  <c r="E1394" i="9"/>
  <c r="E1381" i="9"/>
  <c r="E1376" i="9"/>
  <c r="E1365" i="9"/>
  <c r="E1340" i="9"/>
  <c r="E1337" i="9"/>
  <c r="E1334" i="9"/>
  <c r="E1325" i="9"/>
  <c r="E1317" i="9"/>
  <c r="E1304" i="9"/>
  <c r="E1296" i="9"/>
  <c r="E1288" i="9"/>
  <c r="E1280" i="9"/>
  <c r="E1272" i="9"/>
  <c r="E1264" i="9"/>
  <c r="E1256" i="9"/>
  <c r="E1248" i="9"/>
  <c r="E1240" i="9"/>
  <c r="E1413" i="9"/>
  <c r="E1349" i="9"/>
  <c r="E1343" i="9"/>
  <c r="E1407" i="9"/>
  <c r="E1378" i="9"/>
  <c r="E1401" i="9"/>
  <c r="E1393" i="9"/>
  <c r="E1385" i="9"/>
  <c r="E1373" i="9"/>
  <c r="E1338" i="9"/>
  <c r="E1326" i="9"/>
  <c r="E1223" i="9"/>
  <c r="E1191" i="9"/>
  <c r="E1186" i="9"/>
  <c r="E1178" i="9"/>
  <c r="E1170" i="9"/>
  <c r="E1162" i="9"/>
  <c r="E1154" i="9"/>
  <c r="E1146" i="9"/>
  <c r="E1138" i="9"/>
  <c r="E1130" i="9"/>
  <c r="E1122" i="9"/>
  <c r="E1114" i="9"/>
  <c r="E1106" i="9"/>
  <c r="E1361" i="9"/>
  <c r="E1333" i="9"/>
  <c r="E1293" i="9"/>
  <c r="E1282" i="9"/>
  <c r="E1251" i="9"/>
  <c r="E1249" i="9"/>
  <c r="E1232" i="9"/>
  <c r="E1229" i="9"/>
  <c r="E1226" i="9"/>
  <c r="E1200" i="9"/>
  <c r="E1197" i="9"/>
  <c r="E1194" i="9"/>
  <c r="E1346" i="9"/>
  <c r="E1315" i="9"/>
  <c r="E1313" i="9"/>
  <c r="E1291" i="9"/>
  <c r="E1289" i="9"/>
  <c r="E1269" i="9"/>
  <c r="E1215" i="9"/>
  <c r="E1188" i="9"/>
  <c r="E1180" i="9"/>
  <c r="E1172" i="9"/>
  <c r="E1164" i="9"/>
  <c r="E1156" i="9"/>
  <c r="E1148" i="9"/>
  <c r="E1140" i="9"/>
  <c r="E1132" i="9"/>
  <c r="E1124" i="9"/>
  <c r="E1116" i="9"/>
  <c r="E1108" i="9"/>
  <c r="E1335" i="9"/>
  <c r="E1309" i="9"/>
  <c r="E1298" i="9"/>
  <c r="E1267" i="9"/>
  <c r="E1265" i="9"/>
  <c r="E1189" i="9"/>
  <c r="E1181" i="9"/>
  <c r="E1173" i="9"/>
  <c r="E1165" i="9"/>
  <c r="E1157" i="9"/>
  <c r="E1149" i="9"/>
  <c r="E1141" i="9"/>
  <c r="E1332" i="9"/>
  <c r="E1307" i="9"/>
  <c r="E1305" i="9"/>
  <c r="E1285" i="9"/>
  <c r="E1274" i="9"/>
  <c r="E1243" i="9"/>
  <c r="E1241" i="9"/>
  <c r="E1233" i="9"/>
  <c r="E1227" i="9"/>
  <c r="E1201" i="9"/>
  <c r="E1195" i="9"/>
  <c r="E1207" i="9"/>
  <c r="E1182" i="9"/>
  <c r="E1174" i="9"/>
  <c r="E1166" i="9"/>
  <c r="E1158" i="9"/>
  <c r="E1150" i="9"/>
  <c r="E1142" i="9"/>
  <c r="E1134" i="9"/>
  <c r="E1126" i="9"/>
  <c r="E1118" i="9"/>
  <c r="E1110" i="9"/>
  <c r="E1327" i="9"/>
  <c r="E1283" i="9"/>
  <c r="E1281" i="9"/>
  <c r="E1261" i="9"/>
  <c r="E1312" i="9"/>
  <c r="E1358" i="9"/>
  <c r="E1329" i="9"/>
  <c r="E1322" i="9"/>
  <c r="E1318" i="9"/>
  <c r="E1316" i="9"/>
  <c r="E1301" i="9"/>
  <c r="E1290" i="9"/>
  <c r="E1314" i="9"/>
  <c r="E1341" i="9"/>
  <c r="E1213" i="9"/>
  <c r="E1211" i="9"/>
  <c r="E1306" i="9"/>
  <c r="E1275" i="9"/>
  <c r="E1258" i="9"/>
  <c r="E1218" i="9"/>
  <c r="E1187" i="9"/>
  <c r="E1176" i="9"/>
  <c r="E1145" i="9"/>
  <c r="E1143" i="9"/>
  <c r="E1136" i="9"/>
  <c r="E1131" i="9"/>
  <c r="E1111" i="9"/>
  <c r="E1099" i="9"/>
  <c r="E1091" i="9"/>
  <c r="E1083" i="9"/>
  <c r="E1075" i="9"/>
  <c r="E1067" i="9"/>
  <c r="E1059" i="9"/>
  <c r="E1051" i="9"/>
  <c r="E1043" i="9"/>
  <c r="E1035" i="9"/>
  <c r="E1027" i="9"/>
  <c r="E1019" i="9"/>
  <c r="E1011" i="9"/>
  <c r="E1003" i="9"/>
  <c r="E995" i="9"/>
  <c r="E987" i="9"/>
  <c r="E979" i="9"/>
  <c r="E1235" i="9"/>
  <c r="E1225" i="9"/>
  <c r="E1208" i="9"/>
  <c r="E1185" i="9"/>
  <c r="E1183" i="9"/>
  <c r="E1273" i="9"/>
  <c r="E1257" i="9"/>
  <c r="E1237" i="9"/>
  <c r="E1210" i="9"/>
  <c r="E1203" i="9"/>
  <c r="E1193" i="9"/>
  <c r="E1119" i="9"/>
  <c r="E1205" i="9"/>
  <c r="E1245" i="9"/>
  <c r="E1239" i="9"/>
  <c r="E1179" i="9"/>
  <c r="E1168" i="9"/>
  <c r="E1127" i="9"/>
  <c r="E1094" i="9"/>
  <c r="E1086" i="9"/>
  <c r="E1078" i="9"/>
  <c r="E1070" i="9"/>
  <c r="E1062" i="9"/>
  <c r="E1054" i="9"/>
  <c r="E1046" i="9"/>
  <c r="E1038" i="9"/>
  <c r="E1030" i="9"/>
  <c r="E1022" i="9"/>
  <c r="E1014" i="9"/>
  <c r="E1006" i="9"/>
  <c r="E998" i="9"/>
  <c r="E990" i="9"/>
  <c r="E982" i="9"/>
  <c r="E1299" i="9"/>
  <c r="E1242" i="9"/>
  <c r="E1234" i="9"/>
  <c r="E1217" i="9"/>
  <c r="E1137" i="9"/>
  <c r="E1117" i="9"/>
  <c r="E1112" i="9"/>
  <c r="E1107" i="9"/>
  <c r="E1102" i="9"/>
  <c r="E1224" i="9"/>
  <c r="E1250" i="9"/>
  <c r="E1219" i="9"/>
  <c r="E1202" i="9"/>
  <c r="E1297" i="9"/>
  <c r="E1259" i="9"/>
  <c r="E1231" i="9"/>
  <c r="E1192" i="9"/>
  <c r="E1184" i="9"/>
  <c r="E1277" i="9"/>
  <c r="E1253" i="9"/>
  <c r="E1216" i="9"/>
  <c r="E1209" i="9"/>
  <c r="E1221" i="9"/>
  <c r="E1199" i="9"/>
  <c r="E1161" i="9"/>
  <c r="E1103" i="9"/>
  <c r="E1077" i="9"/>
  <c r="E1013" i="9"/>
  <c r="E994" i="9"/>
  <c r="E969" i="9"/>
  <c r="E961" i="9"/>
  <c r="E953" i="9"/>
  <c r="E945" i="9"/>
  <c r="E937" i="9"/>
  <c r="E929" i="9"/>
  <c r="E921" i="9"/>
  <c r="E913" i="9"/>
  <c r="E905" i="9"/>
  <c r="E1152" i="9"/>
  <c r="E1097" i="9"/>
  <c r="E1095" i="9"/>
  <c r="E1324" i="9"/>
  <c r="E1177" i="9"/>
  <c r="E1084" i="9"/>
  <c r="E1129" i="9"/>
  <c r="E1121" i="9"/>
  <c r="E1105" i="9"/>
  <c r="E1093" i="9"/>
  <c r="E1029" i="9"/>
  <c r="E971" i="9"/>
  <c r="E963" i="9"/>
  <c r="E955" i="9"/>
  <c r="E947" i="9"/>
  <c r="E939" i="9"/>
  <c r="E931" i="9"/>
  <c r="E923" i="9"/>
  <c r="E915" i="9"/>
  <c r="E907" i="9"/>
  <c r="E899" i="9"/>
  <c r="E1169" i="9"/>
  <c r="E1163" i="9"/>
  <c r="E1160" i="9"/>
  <c r="E1151" i="9"/>
  <c r="E1113" i="9"/>
  <c r="E1082" i="9"/>
  <c r="E1080" i="9"/>
  <c r="E1060" i="9"/>
  <c r="E1049" i="9"/>
  <c r="E1047" i="9"/>
  <c r="E1018" i="9"/>
  <c r="E1016" i="9"/>
  <c r="E1000" i="9"/>
  <c r="E1069" i="9"/>
  <c r="E1005" i="9"/>
  <c r="E985" i="9"/>
  <c r="E972" i="9"/>
  <c r="E964" i="9"/>
  <c r="E956" i="9"/>
  <c r="E948" i="9"/>
  <c r="E940" i="9"/>
  <c r="E932" i="9"/>
  <c r="E1115" i="9"/>
  <c r="E1100" i="9"/>
  <c r="E1089" i="9"/>
  <c r="E1087" i="9"/>
  <c r="E1058" i="9"/>
  <c r="E1056" i="9"/>
  <c r="E1036" i="9"/>
  <c r="E1025" i="9"/>
  <c r="E1023" i="9"/>
  <c r="E980" i="9"/>
  <c r="E977" i="9"/>
  <c r="E1175" i="9"/>
  <c r="E1171" i="9"/>
  <c r="E1120" i="9"/>
  <c r="E1098" i="9"/>
  <c r="E1096" i="9"/>
  <c r="E1076" i="9"/>
  <c r="E1159" i="9"/>
  <c r="E1128" i="9"/>
  <c r="E1104" i="9"/>
  <c r="E1085" i="9"/>
  <c r="E1153" i="9"/>
  <c r="E1144" i="9"/>
  <c r="E1125" i="9"/>
  <c r="E1135" i="9"/>
  <c r="E1266" i="9"/>
  <c r="E1101" i="9"/>
  <c r="E1066" i="9"/>
  <c r="E1050" i="9"/>
  <c r="E1039" i="9"/>
  <c r="E1010" i="9"/>
  <c r="E946" i="9"/>
  <c r="E936" i="9"/>
  <c r="E909" i="9"/>
  <c r="E903" i="9"/>
  <c r="E900" i="9"/>
  <c r="E894" i="9"/>
  <c r="E886" i="9"/>
  <c r="E878" i="9"/>
  <c r="E870" i="9"/>
  <c r="E862" i="9"/>
  <c r="E854" i="9"/>
  <c r="E846" i="9"/>
  <c r="E838" i="9"/>
  <c r="E830" i="9"/>
  <c r="E822" i="9"/>
  <c r="E814" i="9"/>
  <c r="E806" i="9"/>
  <c r="E798" i="9"/>
  <c r="E790" i="9"/>
  <c r="E782" i="9"/>
  <c r="E774" i="9"/>
  <c r="E766" i="9"/>
  <c r="E758" i="9"/>
  <c r="E750" i="9"/>
  <c r="E742" i="9"/>
  <c r="E734" i="9"/>
  <c r="E726" i="9"/>
  <c r="E718" i="9"/>
  <c r="E710" i="9"/>
  <c r="E1109" i="9"/>
  <c r="E1071" i="9"/>
  <c r="E1055" i="9"/>
  <c r="E1042" i="9"/>
  <c r="E1031" i="9"/>
  <c r="E1026" i="9"/>
  <c r="E1015" i="9"/>
  <c r="E976" i="9"/>
  <c r="E974" i="9"/>
  <c r="E949" i="9"/>
  <c r="E906" i="9"/>
  <c r="E1007" i="9"/>
  <c r="E959" i="9"/>
  <c r="E934" i="9"/>
  <c r="E1052" i="9"/>
  <c r="E1012" i="9"/>
  <c r="E1002" i="9"/>
  <c r="E997" i="9"/>
  <c r="E978" i="9"/>
  <c r="E954" i="9"/>
  <c r="E944" i="9"/>
  <c r="E924" i="9"/>
  <c r="E1139" i="9"/>
  <c r="E1088" i="9"/>
  <c r="E1068" i="9"/>
  <c r="E1065" i="9"/>
  <c r="E1044" i="9"/>
  <c r="E1028" i="9"/>
  <c r="E992" i="9"/>
  <c r="E957" i="9"/>
  <c r="E1041" i="9"/>
  <c r="E1020" i="9"/>
  <c r="E1004" i="9"/>
  <c r="E999" i="9"/>
  <c r="E967" i="9"/>
  <c r="E942" i="9"/>
  <c r="E1081" i="9"/>
  <c r="E1073" i="9"/>
  <c r="E1057" i="9"/>
  <c r="E1033" i="9"/>
  <c r="E1017" i="9"/>
  <c r="E962" i="9"/>
  <c r="E952" i="9"/>
  <c r="E927" i="9"/>
  <c r="E910" i="9"/>
  <c r="E904" i="9"/>
  <c r="E897" i="9"/>
  <c r="E889" i="9"/>
  <c r="E881" i="9"/>
  <c r="E873" i="9"/>
  <c r="E865" i="9"/>
  <c r="E857" i="9"/>
  <c r="E849" i="9"/>
  <c r="E841" i="9"/>
  <c r="E833" i="9"/>
  <c r="E825" i="9"/>
  <c r="E817" i="9"/>
  <c r="E809" i="9"/>
  <c r="E801" i="9"/>
  <c r="E793" i="9"/>
  <c r="E785" i="9"/>
  <c r="E777" i="9"/>
  <c r="E769" i="9"/>
  <c r="E761" i="9"/>
  <c r="E753" i="9"/>
  <c r="E745" i="9"/>
  <c r="E737" i="9"/>
  <c r="E729" i="9"/>
  <c r="E721" i="9"/>
  <c r="E713" i="9"/>
  <c r="E1009" i="9"/>
  <c r="E965" i="9"/>
  <c r="E916" i="9"/>
  <c r="E1092" i="9"/>
  <c r="E1001" i="9"/>
  <c r="E989" i="9"/>
  <c r="E975" i="9"/>
  <c r="E950" i="9"/>
  <c r="E925" i="9"/>
  <c r="E996" i="9"/>
  <c r="E991" i="9"/>
  <c r="E984" i="9"/>
  <c r="E970" i="9"/>
  <c r="E960" i="9"/>
  <c r="E935" i="9"/>
  <c r="E1147" i="9"/>
  <c r="E1072" i="9"/>
  <c r="E1032" i="9"/>
  <c r="E973" i="9"/>
  <c r="E1079" i="9"/>
  <c r="E1064" i="9"/>
  <c r="E1048" i="9"/>
  <c r="E1008" i="9"/>
  <c r="E958" i="9"/>
  <c r="E933" i="9"/>
  <c r="E1123" i="9"/>
  <c r="E1045" i="9"/>
  <c r="E1040" i="9"/>
  <c r="E1024" i="9"/>
  <c r="E993" i="9"/>
  <c r="E986" i="9"/>
  <c r="E981" i="9"/>
  <c r="E968" i="9"/>
  <c r="E1133" i="9"/>
  <c r="E1061" i="9"/>
  <c r="E1021" i="9"/>
  <c r="E988" i="9"/>
  <c r="E983" i="9"/>
  <c r="E938" i="9"/>
  <c r="E928" i="9"/>
  <c r="E1053" i="9"/>
  <c r="E1037" i="9"/>
  <c r="E966" i="9"/>
  <c r="E1063" i="9"/>
  <c r="E930" i="9"/>
  <c r="E890" i="9"/>
  <c r="E887" i="9"/>
  <c r="E884" i="9"/>
  <c r="E858" i="9"/>
  <c r="E855" i="9"/>
  <c r="E852" i="9"/>
  <c r="E826" i="9"/>
  <c r="E823" i="9"/>
  <c r="E820" i="9"/>
  <c r="E794" i="9"/>
  <c r="E791" i="9"/>
  <c r="E788" i="9"/>
  <c r="E762" i="9"/>
  <c r="E759" i="9"/>
  <c r="E756" i="9"/>
  <c r="E730" i="9"/>
  <c r="E727" i="9"/>
  <c r="E724" i="9"/>
  <c r="E701" i="9"/>
  <c r="E693" i="9"/>
  <c r="E685" i="9"/>
  <c r="E677" i="9"/>
  <c r="E669" i="9"/>
  <c r="E661" i="9"/>
  <c r="E653" i="9"/>
  <c r="E645" i="9"/>
  <c r="E637" i="9"/>
  <c r="E629" i="9"/>
  <c r="E621" i="9"/>
  <c r="E613" i="9"/>
  <c r="E1167" i="9"/>
  <c r="E951" i="9"/>
  <c r="E943" i="9"/>
  <c r="E709" i="9"/>
  <c r="E1155" i="9"/>
  <c r="E901" i="9"/>
  <c r="E896" i="9"/>
  <c r="E893" i="9"/>
  <c r="E867" i="9"/>
  <c r="E864" i="9"/>
  <c r="E861" i="9"/>
  <c r="E835" i="9"/>
  <c r="E832" i="9"/>
  <c r="E829" i="9"/>
  <c r="E803" i="9"/>
  <c r="E800" i="9"/>
  <c r="E922" i="9"/>
  <c r="E941" i="9"/>
  <c r="E891" i="9"/>
  <c r="E888" i="9"/>
  <c r="E885" i="9"/>
  <c r="E859" i="9"/>
  <c r="E856" i="9"/>
  <c r="E853" i="9"/>
  <c r="E827" i="9"/>
  <c r="E824" i="9"/>
  <c r="E821" i="9"/>
  <c r="E795" i="9"/>
  <c r="E792" i="9"/>
  <c r="E789" i="9"/>
  <c r="E763" i="9"/>
  <c r="E760" i="9"/>
  <c r="E757" i="9"/>
  <c r="E731" i="9"/>
  <c r="E728" i="9"/>
  <c r="E725" i="9"/>
  <c r="E874" i="9"/>
  <c r="E871" i="9"/>
  <c r="E868" i="9"/>
  <c r="E842" i="9"/>
  <c r="E839" i="9"/>
  <c r="E836" i="9"/>
  <c r="E810" i="9"/>
  <c r="E1090" i="9"/>
  <c r="E902" i="9"/>
  <c r="E883" i="9"/>
  <c r="E880" i="9"/>
  <c r="E877" i="9"/>
  <c r="E851" i="9"/>
  <c r="E848" i="9"/>
  <c r="E845" i="9"/>
  <c r="E819" i="9"/>
  <c r="E816" i="9"/>
  <c r="E813" i="9"/>
  <c r="E787" i="9"/>
  <c r="E784" i="9"/>
  <c r="E781" i="9"/>
  <c r="E755" i="9"/>
  <c r="E752" i="9"/>
  <c r="E749" i="9"/>
  <c r="E723" i="9"/>
  <c r="E720" i="9"/>
  <c r="E1034" i="9"/>
  <c r="E926" i="9"/>
  <c r="E908" i="9"/>
  <c r="E1074" i="9"/>
  <c r="E918" i="9"/>
  <c r="E912" i="9"/>
  <c r="E898" i="9"/>
  <c r="E895" i="9"/>
  <c r="E892" i="9"/>
  <c r="E866" i="9"/>
  <c r="E863" i="9"/>
  <c r="E860" i="9"/>
  <c r="E914" i="9"/>
  <c r="E875" i="9"/>
  <c r="E872" i="9"/>
  <c r="E869" i="9"/>
  <c r="E879" i="9"/>
  <c r="E831" i="9"/>
  <c r="E799" i="9"/>
  <c r="E772" i="9"/>
  <c r="E702" i="9"/>
  <c r="E695" i="9"/>
  <c r="E688" i="9"/>
  <c r="E657" i="9"/>
  <c r="E643" i="9"/>
  <c r="E632" i="9"/>
  <c r="E920" i="9"/>
  <c r="E843" i="9"/>
  <c r="E837" i="9"/>
  <c r="E807" i="9"/>
  <c r="E783" i="9"/>
  <c r="E743" i="9"/>
  <c r="E741" i="9"/>
  <c r="E732" i="9"/>
  <c r="E678" i="9"/>
  <c r="E671" i="9"/>
  <c r="E664" i="9"/>
  <c r="E649" i="9"/>
  <c r="E638" i="9"/>
  <c r="E609" i="9"/>
  <c r="E601" i="9"/>
  <c r="E593" i="9"/>
  <c r="E585" i="9"/>
  <c r="E577" i="9"/>
  <c r="E569" i="9"/>
  <c r="E561" i="9"/>
  <c r="E553" i="9"/>
  <c r="E919" i="9"/>
  <c r="E754" i="9"/>
  <c r="E818" i="9"/>
  <c r="E812" i="9"/>
  <c r="E796" i="9"/>
  <c r="E765" i="9"/>
  <c r="E917" i="9"/>
  <c r="E876" i="9"/>
  <c r="E802" i="9"/>
  <c r="E778" i="9"/>
  <c r="E776" i="9"/>
  <c r="E767" i="9"/>
  <c r="E811" i="9"/>
  <c r="E747" i="9"/>
  <c r="E850" i="9"/>
  <c r="E716" i="9"/>
  <c r="E712" i="9"/>
  <c r="E686" i="9"/>
  <c r="E679" i="9"/>
  <c r="E672" i="9"/>
  <c r="E634" i="9"/>
  <c r="E623" i="9"/>
  <c r="E780" i="9"/>
  <c r="E771" i="9"/>
  <c r="E740" i="9"/>
  <c r="E662" i="9"/>
  <c r="E655" i="9"/>
  <c r="E640" i="9"/>
  <c r="E612" i="9"/>
  <c r="E604" i="9"/>
  <c r="E596" i="9"/>
  <c r="E588" i="9"/>
  <c r="E580" i="9"/>
  <c r="E572" i="9"/>
  <c r="E564" i="9"/>
  <c r="E556" i="9"/>
  <c r="E834" i="9"/>
  <c r="E828" i="9"/>
  <c r="E751" i="9"/>
  <c r="E840" i="9"/>
  <c r="E805" i="9"/>
  <c r="E722" i="9"/>
  <c r="E697" i="9"/>
  <c r="E690" i="9"/>
  <c r="E683" i="9"/>
  <c r="E676" i="9"/>
  <c r="E911" i="9"/>
  <c r="E847" i="9"/>
  <c r="E775" i="9"/>
  <c r="E773" i="9"/>
  <c r="E764" i="9"/>
  <c r="E733" i="9"/>
  <c r="E704" i="9"/>
  <c r="E673" i="9"/>
  <c r="E666" i="9"/>
  <c r="E659" i="9"/>
  <c r="E641" i="9"/>
  <c r="E630" i="9"/>
  <c r="E815" i="9"/>
  <c r="E786" i="9"/>
  <c r="E746" i="9"/>
  <c r="E882" i="9"/>
  <c r="E804" i="9"/>
  <c r="E797" i="9"/>
  <c r="E768" i="9"/>
  <c r="E808" i="9"/>
  <c r="E779" i="9"/>
  <c r="E748" i="9"/>
  <c r="E622" i="9"/>
  <c r="E554" i="9"/>
  <c r="E547" i="9"/>
  <c r="E539" i="9"/>
  <c r="E531" i="9"/>
  <c r="E523" i="9"/>
  <c r="E515" i="9"/>
  <c r="E507" i="9"/>
  <c r="E499" i="9"/>
  <c r="E491" i="9"/>
  <c r="E483" i="9"/>
  <c r="E475" i="9"/>
  <c r="E467" i="9"/>
  <c r="E459" i="9"/>
  <c r="E451" i="9"/>
  <c r="E443" i="9"/>
  <c r="E435" i="9"/>
  <c r="E427" i="9"/>
  <c r="E419" i="9"/>
  <c r="E411" i="9"/>
  <c r="E403" i="9"/>
  <c r="E395" i="9"/>
  <c r="E736" i="9"/>
  <c r="E715" i="9"/>
  <c r="E700" i="9"/>
  <c r="E691" i="9"/>
  <c r="E682" i="9"/>
  <c r="E617" i="9"/>
  <c r="E606" i="9"/>
  <c r="E599" i="9"/>
  <c r="E592" i="9"/>
  <c r="E656" i="9"/>
  <c r="E654" i="9"/>
  <c r="E636" i="9"/>
  <c r="E589" i="9"/>
  <c r="E582" i="9"/>
  <c r="E739" i="9"/>
  <c r="E684" i="9"/>
  <c r="E675" i="9"/>
  <c r="E658" i="9"/>
  <c r="E627" i="9"/>
  <c r="E603" i="9"/>
  <c r="E735" i="9"/>
  <c r="E711" i="9"/>
  <c r="E660" i="9"/>
  <c r="E652" i="9"/>
  <c r="E620" i="9"/>
  <c r="E586" i="9"/>
  <c r="E714" i="9"/>
  <c r="E670" i="9"/>
  <c r="E668" i="9"/>
  <c r="E650" i="9"/>
  <c r="E625" i="9"/>
  <c r="E615" i="9"/>
  <c r="E844" i="9"/>
  <c r="E706" i="9"/>
  <c r="E648" i="9"/>
  <c r="E618" i="9"/>
  <c r="E600" i="9"/>
  <c r="E550" i="9"/>
  <c r="E542" i="9"/>
  <c r="E534" i="9"/>
  <c r="E526" i="9"/>
  <c r="E518" i="9"/>
  <c r="E510" i="9"/>
  <c r="E502" i="9"/>
  <c r="E494" i="9"/>
  <c r="E486" i="9"/>
  <c r="E478" i="9"/>
  <c r="E470" i="9"/>
  <c r="E462" i="9"/>
  <c r="E454" i="9"/>
  <c r="E446" i="9"/>
  <c r="E438" i="9"/>
  <c r="E430" i="9"/>
  <c r="E422" i="9"/>
  <c r="E414" i="9"/>
  <c r="E717" i="9"/>
  <c r="E646" i="9"/>
  <c r="E639" i="9"/>
  <c r="E610" i="9"/>
  <c r="E607" i="9"/>
  <c r="E597" i="9"/>
  <c r="E590" i="9"/>
  <c r="E583" i="9"/>
  <c r="E576" i="9"/>
  <c r="E738" i="9"/>
  <c r="E708" i="9"/>
  <c r="E699" i="9"/>
  <c r="E681" i="9"/>
  <c r="E694" i="9"/>
  <c r="E692" i="9"/>
  <c r="E674" i="9"/>
  <c r="E644" i="9"/>
  <c r="E616" i="9"/>
  <c r="E663" i="9"/>
  <c r="E635" i="9"/>
  <c r="E628" i="9"/>
  <c r="E770" i="9"/>
  <c r="E744" i="9"/>
  <c r="E703" i="9"/>
  <c r="E687" i="9"/>
  <c r="E665" i="9"/>
  <c r="E651" i="9"/>
  <c r="E642" i="9"/>
  <c r="E605" i="9"/>
  <c r="E598" i="9"/>
  <c r="E591" i="9"/>
  <c r="E584" i="9"/>
  <c r="E705" i="9"/>
  <c r="E667" i="9"/>
  <c r="E633" i="9"/>
  <c r="E626" i="9"/>
  <c r="E619" i="9"/>
  <c r="E611" i="9"/>
  <c r="E608" i="9"/>
  <c r="E581" i="9"/>
  <c r="E719" i="9"/>
  <c r="E696" i="9"/>
  <c r="E680" i="9"/>
  <c r="E647" i="9"/>
  <c r="E624" i="9"/>
  <c r="E614" i="9"/>
  <c r="E602" i="9"/>
  <c r="E595" i="9"/>
  <c r="E560" i="9"/>
  <c r="E558" i="9"/>
  <c r="E528" i="9"/>
  <c r="E525" i="9"/>
  <c r="E522" i="9"/>
  <c r="E496" i="9"/>
  <c r="E493" i="9"/>
  <c r="E490" i="9"/>
  <c r="E464" i="9"/>
  <c r="E461" i="9"/>
  <c r="E458" i="9"/>
  <c r="E432" i="9"/>
  <c r="E429" i="9"/>
  <c r="E426" i="9"/>
  <c r="E698" i="9"/>
  <c r="E571" i="9"/>
  <c r="E631" i="9"/>
  <c r="E543" i="9"/>
  <c r="E540" i="9"/>
  <c r="E537" i="9"/>
  <c r="E511" i="9"/>
  <c r="E508" i="9"/>
  <c r="E505" i="9"/>
  <c r="E479" i="9"/>
  <c r="E476" i="9"/>
  <c r="E473" i="9"/>
  <c r="E447" i="9"/>
  <c r="E444" i="9"/>
  <c r="E441" i="9"/>
  <c r="E567" i="9"/>
  <c r="E565" i="9"/>
  <c r="E563" i="9"/>
  <c r="E552" i="9"/>
  <c r="E549" i="9"/>
  <c r="E546" i="9"/>
  <c r="E520" i="9"/>
  <c r="E517" i="9"/>
  <c r="E514" i="9"/>
  <c r="E488" i="9"/>
  <c r="E485" i="9"/>
  <c r="E482" i="9"/>
  <c r="E456" i="9"/>
  <c r="E453" i="9"/>
  <c r="E689" i="9"/>
  <c r="E578" i="9"/>
  <c r="E559" i="9"/>
  <c r="E535" i="9"/>
  <c r="E532" i="9"/>
  <c r="E529" i="9"/>
  <c r="E503" i="9"/>
  <c r="E500" i="9"/>
  <c r="E497" i="9"/>
  <c r="E471" i="9"/>
  <c r="E468" i="9"/>
  <c r="E465" i="9"/>
  <c r="E574" i="9"/>
  <c r="E570" i="9"/>
  <c r="E557" i="9"/>
  <c r="E544" i="9"/>
  <c r="E541" i="9"/>
  <c r="E538" i="9"/>
  <c r="E512" i="9"/>
  <c r="E509" i="9"/>
  <c r="E506" i="9"/>
  <c r="E480" i="9"/>
  <c r="E477" i="9"/>
  <c r="E474" i="9"/>
  <c r="E448" i="9"/>
  <c r="E445" i="9"/>
  <c r="E442" i="9"/>
  <c r="E555" i="9"/>
  <c r="E410" i="9"/>
  <c r="E594" i="9"/>
  <c r="E568" i="9"/>
  <c r="E566" i="9"/>
  <c r="E527" i="9"/>
  <c r="E524" i="9"/>
  <c r="E521" i="9"/>
  <c r="E495" i="9"/>
  <c r="E492" i="9"/>
  <c r="E489" i="9"/>
  <c r="E463" i="9"/>
  <c r="E460" i="9"/>
  <c r="E457" i="9"/>
  <c r="E431" i="9"/>
  <c r="E428" i="9"/>
  <c r="E425" i="9"/>
  <c r="E707" i="9"/>
  <c r="E562" i="9"/>
  <c r="E536" i="9"/>
  <c r="E415" i="9"/>
  <c r="E396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6" i="9"/>
  <c r="E278" i="9"/>
  <c r="E270" i="9"/>
  <c r="E262" i="9"/>
  <c r="E254" i="9"/>
  <c r="E246" i="9"/>
  <c r="E238" i="9"/>
  <c r="E230" i="9"/>
  <c r="E222" i="9"/>
  <c r="E214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548" i="9"/>
  <c r="E487" i="9"/>
  <c r="E439" i="9"/>
  <c r="E436" i="9"/>
  <c r="E498" i="9"/>
  <c r="E452" i="9"/>
  <c r="E433" i="9"/>
  <c r="E413" i="9"/>
  <c r="E40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7" i="9"/>
  <c r="E279" i="9"/>
  <c r="E271" i="9"/>
  <c r="E263" i="9"/>
  <c r="E255" i="9"/>
  <c r="E247" i="9"/>
  <c r="E575" i="9"/>
  <c r="E417" i="9"/>
  <c r="E407" i="9"/>
  <c r="E400" i="9"/>
  <c r="E533" i="9"/>
  <c r="E472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8" i="9"/>
  <c r="E280" i="9"/>
  <c r="E272" i="9"/>
  <c r="E264" i="9"/>
  <c r="E256" i="9"/>
  <c r="E248" i="9"/>
  <c r="E573" i="9"/>
  <c r="E545" i="9"/>
  <c r="E484" i="9"/>
  <c r="E404" i="9"/>
  <c r="E397" i="9"/>
  <c r="E424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9" i="9"/>
  <c r="E281" i="9"/>
  <c r="E273" i="9"/>
  <c r="E265" i="9"/>
  <c r="E257" i="9"/>
  <c r="E249" i="9"/>
  <c r="E241" i="9"/>
  <c r="E233" i="9"/>
  <c r="E225" i="9"/>
  <c r="E217" i="9"/>
  <c r="E209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519" i="9"/>
  <c r="E530" i="9"/>
  <c r="E469" i="9"/>
  <c r="E450" i="9"/>
  <c r="E421" i="9"/>
  <c r="E412" i="9"/>
  <c r="E401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90" i="9"/>
  <c r="E282" i="9"/>
  <c r="E274" i="9"/>
  <c r="E266" i="9"/>
  <c r="E258" i="9"/>
  <c r="E250" i="9"/>
  <c r="E481" i="9"/>
  <c r="E504" i="9"/>
  <c r="E416" i="9"/>
  <c r="E405" i="9"/>
  <c r="E398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1" i="9"/>
  <c r="E283" i="9"/>
  <c r="E275" i="9"/>
  <c r="E267" i="9"/>
  <c r="E259" i="9"/>
  <c r="E251" i="9"/>
  <c r="E587" i="9"/>
  <c r="E516" i="9"/>
  <c r="E440" i="9"/>
  <c r="E437" i="9"/>
  <c r="E418" i="9"/>
  <c r="E408" i="9"/>
  <c r="E466" i="9"/>
  <c r="E455" i="9"/>
  <c r="E434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2" i="9"/>
  <c r="E284" i="9"/>
  <c r="E276" i="9"/>
  <c r="E268" i="9"/>
  <c r="E260" i="9"/>
  <c r="E252" i="9"/>
  <c r="E244" i="9"/>
  <c r="E551" i="9"/>
  <c r="E449" i="9"/>
  <c r="E423" i="9"/>
  <c r="E402" i="9"/>
  <c r="E579" i="9"/>
  <c r="E501" i="9"/>
  <c r="E399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5" i="9"/>
  <c r="E277" i="9"/>
  <c r="E269" i="9"/>
  <c r="E261" i="9"/>
  <c r="E253" i="9"/>
  <c r="E245" i="9"/>
  <c r="E50" i="9"/>
  <c r="E219" i="9"/>
  <c r="E216" i="9"/>
  <c r="E213" i="9"/>
  <c r="E187" i="9"/>
  <c r="E184" i="9"/>
  <c r="E181" i="9"/>
  <c r="E155" i="9"/>
  <c r="E152" i="9"/>
  <c r="E149" i="9"/>
  <c r="E123" i="9"/>
  <c r="E120" i="9"/>
  <c r="E117" i="9"/>
  <c r="E105" i="9"/>
  <c r="E97" i="9"/>
  <c r="E89" i="9"/>
  <c r="E81" i="9"/>
  <c r="E73" i="9"/>
  <c r="E65" i="9"/>
  <c r="E57" i="9"/>
  <c r="E49" i="9"/>
  <c r="E41" i="9"/>
  <c r="E33" i="9"/>
  <c r="E25" i="9"/>
  <c r="E17" i="9"/>
  <c r="E9" i="9"/>
  <c r="E234" i="9"/>
  <c r="E231" i="9"/>
  <c r="E228" i="9"/>
  <c r="E202" i="9"/>
  <c r="E199" i="9"/>
  <c r="E196" i="9"/>
  <c r="E170" i="9"/>
  <c r="E167" i="9"/>
  <c r="E164" i="9"/>
  <c r="E138" i="9"/>
  <c r="E135" i="9"/>
  <c r="E132" i="9"/>
  <c r="E106" i="9"/>
  <c r="E98" i="9"/>
  <c r="E90" i="9"/>
  <c r="E82" i="9"/>
  <c r="E74" i="9"/>
  <c r="E66" i="9"/>
  <c r="E58" i="9"/>
  <c r="E42" i="9"/>
  <c r="E513" i="9"/>
  <c r="E420" i="9"/>
  <c r="E243" i="9"/>
  <c r="E240" i="9"/>
  <c r="E237" i="9"/>
  <c r="E211" i="9"/>
  <c r="E208" i="9"/>
  <c r="E205" i="9"/>
  <c r="E179" i="9"/>
  <c r="E176" i="9"/>
  <c r="E173" i="9"/>
  <c r="E147" i="9"/>
  <c r="E144" i="9"/>
  <c r="E141" i="9"/>
  <c r="E115" i="9"/>
  <c r="E112" i="9"/>
  <c r="E107" i="9"/>
  <c r="E99" i="9"/>
  <c r="E91" i="9"/>
  <c r="E83" i="9"/>
  <c r="E75" i="9"/>
  <c r="E67" i="9"/>
  <c r="E59" i="9"/>
  <c r="E51" i="9"/>
  <c r="E43" i="9"/>
  <c r="E35" i="9"/>
  <c r="E226" i="9"/>
  <c r="E223" i="9"/>
  <c r="E220" i="9"/>
  <c r="E194" i="9"/>
  <c r="E191" i="9"/>
  <c r="E188" i="9"/>
  <c r="E162" i="9"/>
  <c r="E159" i="9"/>
  <c r="E156" i="9"/>
  <c r="E130" i="9"/>
  <c r="E127" i="9"/>
  <c r="E124" i="9"/>
  <c r="E108" i="9"/>
  <c r="E100" i="9"/>
  <c r="E92" i="9"/>
  <c r="E84" i="9"/>
  <c r="E76" i="9"/>
  <c r="E68" i="9"/>
  <c r="E60" i="9"/>
  <c r="E52" i="9"/>
  <c r="E44" i="9"/>
  <c r="E36" i="9"/>
  <c r="E28" i="9"/>
  <c r="E20" i="9"/>
  <c r="E12" i="9"/>
  <c r="E235" i="9"/>
  <c r="E232" i="9"/>
  <c r="E229" i="9"/>
  <c r="E203" i="9"/>
  <c r="E200" i="9"/>
  <c r="E197" i="9"/>
  <c r="E171" i="9"/>
  <c r="E168" i="9"/>
  <c r="E165" i="9"/>
  <c r="E139" i="9"/>
  <c r="E136" i="9"/>
  <c r="E133" i="9"/>
  <c r="E109" i="9"/>
  <c r="E101" i="9"/>
  <c r="E93" i="9"/>
  <c r="E85" i="9"/>
  <c r="E218" i="9"/>
  <c r="E215" i="9"/>
  <c r="E212" i="9"/>
  <c r="E186" i="9"/>
  <c r="E183" i="9"/>
  <c r="E180" i="9"/>
  <c r="E154" i="9"/>
  <c r="E151" i="9"/>
  <c r="E148" i="9"/>
  <c r="E122" i="9"/>
  <c r="E119" i="9"/>
  <c r="E116" i="9"/>
  <c r="E110" i="9"/>
  <c r="E102" i="9"/>
  <c r="E94" i="9"/>
  <c r="E86" i="9"/>
  <c r="E78" i="9"/>
  <c r="E70" i="9"/>
  <c r="E62" i="9"/>
  <c r="E54" i="9"/>
  <c r="E46" i="9"/>
  <c r="E38" i="9"/>
  <c r="E30" i="9"/>
  <c r="E406" i="9"/>
  <c r="E227" i="9"/>
  <c r="E224" i="9"/>
  <c r="E221" i="9"/>
  <c r="E195" i="9"/>
  <c r="E192" i="9"/>
  <c r="E189" i="9"/>
  <c r="E163" i="9"/>
  <c r="E160" i="9"/>
  <c r="E157" i="9"/>
  <c r="E131" i="9"/>
  <c r="E128" i="9"/>
  <c r="E125" i="9"/>
  <c r="E103" i="9"/>
  <c r="E95" i="9"/>
  <c r="E87" i="9"/>
  <c r="E79" i="9"/>
  <c r="E71" i="9"/>
  <c r="E63" i="9"/>
  <c r="E55" i="9"/>
  <c r="E47" i="9"/>
  <c r="E39" i="9"/>
  <c r="E31" i="9"/>
  <c r="E13" i="9"/>
  <c r="E15" i="9"/>
  <c r="F35" i="9"/>
  <c r="E61" i="9"/>
  <c r="E26" i="9"/>
  <c r="F43" i="9"/>
  <c r="E207" i="9"/>
  <c r="E111" i="9"/>
  <c r="F382" i="9"/>
  <c r="E210" i="9"/>
  <c r="F15" i="9"/>
  <c r="F30" i="9"/>
  <c r="E48" i="9"/>
  <c r="E19" i="9"/>
  <c r="F62" i="9"/>
  <c r="E77" i="9"/>
  <c r="F19" i="9"/>
  <c r="E53" i="9"/>
  <c r="E114" i="9"/>
  <c r="E236" i="9"/>
  <c r="G8" i="9" l="1"/>
  <c r="H8" i="9" s="1"/>
  <c r="J8" i="9" l="1"/>
  <c r="I8" i="9"/>
  <c r="B9" i="9" l="1"/>
  <c r="C9" i="9" s="1"/>
  <c r="K8" i="9"/>
  <c r="O8" i="9" s="1"/>
  <c r="L8" i="9" l="1"/>
  <c r="M8" i="9" s="1"/>
  <c r="N8" i="9" s="1"/>
  <c r="D9" i="9"/>
  <c r="G9" i="9" s="1"/>
  <c r="H9" i="9" s="1"/>
  <c r="J9" i="9" s="1"/>
  <c r="I9" i="9" l="1"/>
  <c r="B10" i="9" s="1"/>
  <c r="K9" i="9" l="1"/>
  <c r="O9" i="9" s="1"/>
  <c r="C10" i="9"/>
  <c r="L9" i="9" l="1"/>
  <c r="D10" i="9"/>
  <c r="G10" i="9" s="1"/>
  <c r="H10" i="9" s="1"/>
  <c r="J10" i="9" s="1"/>
  <c r="I10" i="9" l="1"/>
  <c r="B11" i="9" s="1"/>
  <c r="M9" i="9"/>
  <c r="N9" i="9" s="1"/>
  <c r="K10" i="9" l="1"/>
  <c r="C11" i="9"/>
  <c r="L10" i="9" l="1"/>
  <c r="M10" i="9" s="1"/>
  <c r="N10" i="9" s="1"/>
  <c r="O10" i="9"/>
  <c r="D11" i="9"/>
  <c r="G11" i="9" s="1"/>
  <c r="H11" i="9" s="1"/>
  <c r="J11" i="9" s="1"/>
  <c r="I11" i="9" l="1"/>
  <c r="K11" i="9" l="1"/>
  <c r="O11" i="9" s="1"/>
  <c r="B12" i="9"/>
  <c r="C12" i="9" l="1"/>
  <c r="L11" i="9"/>
  <c r="M11" i="9" s="1"/>
  <c r="N11" i="9" s="1"/>
  <c r="D12" i="9" l="1"/>
  <c r="G12" i="9" s="1"/>
  <c r="H12" i="9" s="1"/>
  <c r="J12" i="9" s="1"/>
  <c r="I12" i="9" l="1"/>
  <c r="B13" i="9" l="1"/>
  <c r="K12" i="9"/>
  <c r="O12" i="9" s="1"/>
  <c r="L12" i="9" l="1"/>
  <c r="M12" i="9" s="1"/>
  <c r="N12" i="9" s="1"/>
  <c r="C13" i="9"/>
  <c r="D13" i="9" l="1"/>
  <c r="G13" i="9" s="1"/>
  <c r="H13" i="9" s="1"/>
  <c r="J13" i="9" s="1"/>
  <c r="I13" i="9" l="1"/>
  <c r="B14" i="9" l="1"/>
  <c r="K13" i="9"/>
  <c r="O13" i="9" s="1"/>
  <c r="L13" i="9" l="1"/>
  <c r="M13" i="9" s="1"/>
  <c r="N13" i="9" s="1"/>
  <c r="C14" i="9"/>
  <c r="D14" i="9" l="1"/>
  <c r="G14" i="9" s="1"/>
  <c r="H14" i="9" s="1"/>
  <c r="J14" i="9" s="1"/>
  <c r="I14" i="9" l="1"/>
  <c r="B15" i="9" l="1"/>
  <c r="K14" i="9"/>
  <c r="O14" i="9" s="1"/>
  <c r="L14" i="9" l="1"/>
  <c r="M14" i="9" s="1"/>
  <c r="N14" i="9" s="1"/>
  <c r="C15" i="9"/>
  <c r="D15" i="9" l="1"/>
  <c r="G15" i="9" s="1"/>
  <c r="H15" i="9" s="1"/>
  <c r="J15" i="9" s="1"/>
  <c r="I15" i="9" l="1"/>
  <c r="B16" i="9" l="1"/>
  <c r="K15" i="9"/>
  <c r="O15" i="9" s="1"/>
  <c r="L15" i="9" l="1"/>
  <c r="M15" i="9" s="1"/>
  <c r="N15" i="9" s="1"/>
  <c r="C16" i="9"/>
  <c r="D16" i="9" l="1"/>
  <c r="G16" i="9" s="1"/>
  <c r="H16" i="9" s="1"/>
  <c r="J16" i="9" s="1"/>
  <c r="I16" i="9" l="1"/>
  <c r="B17" i="9" l="1"/>
  <c r="K16" i="9"/>
  <c r="O16" i="9" s="1"/>
  <c r="L16" i="9" l="1"/>
  <c r="M16" i="9" s="1"/>
  <c r="N16" i="9" s="1"/>
  <c r="C17" i="9"/>
  <c r="D17" i="9" l="1"/>
  <c r="G17" i="9" s="1"/>
  <c r="H17" i="9" s="1"/>
  <c r="I17" i="9" s="1"/>
  <c r="B18" i="9" l="1"/>
  <c r="K17" i="9"/>
  <c r="O17" i="9" s="1"/>
  <c r="J17" i="9"/>
  <c r="L17" i="9" l="1"/>
  <c r="M17" i="9" s="1"/>
  <c r="N17" i="9" s="1"/>
  <c r="C18" i="9"/>
  <c r="D18" i="9" l="1"/>
  <c r="G18" i="9" s="1"/>
  <c r="H18" i="9" s="1"/>
  <c r="J18" i="9" s="1"/>
  <c r="I18" i="9" l="1"/>
  <c r="B19" i="9" l="1"/>
  <c r="K18" i="9"/>
  <c r="O18" i="9" s="1"/>
  <c r="L18" i="9" l="1"/>
  <c r="M18" i="9" s="1"/>
  <c r="N18" i="9" s="1"/>
  <c r="C19" i="9"/>
  <c r="D19" i="9" l="1"/>
  <c r="G19" i="9" s="1"/>
  <c r="H19" i="9" s="1"/>
  <c r="J19" i="9" s="1"/>
  <c r="I19" i="9" l="1"/>
  <c r="B20" i="9" l="1"/>
  <c r="K19" i="9"/>
  <c r="O19" i="9" s="1"/>
  <c r="L19" i="9" l="1"/>
  <c r="M19" i="9" s="1"/>
  <c r="N19" i="9" s="1"/>
  <c r="C20" i="9"/>
  <c r="D20" i="9" l="1"/>
  <c r="G20" i="9" s="1"/>
  <c r="H20" i="9" s="1"/>
  <c r="J20" i="9" s="1"/>
  <c r="I20" i="9" l="1"/>
  <c r="B21" i="9" l="1"/>
  <c r="K20" i="9"/>
  <c r="O20" i="9" s="1"/>
  <c r="L20" i="9" l="1"/>
  <c r="M20" i="9" s="1"/>
  <c r="N20" i="9" s="1"/>
  <c r="C21" i="9"/>
  <c r="D21" i="9" l="1"/>
  <c r="G21" i="9" s="1"/>
  <c r="H21" i="9" s="1"/>
  <c r="J21" i="9" s="1"/>
  <c r="I21" i="9" l="1"/>
  <c r="B22" i="9" l="1"/>
  <c r="K21" i="9"/>
  <c r="O21" i="9" s="1"/>
  <c r="L21" i="9" l="1"/>
  <c r="M21" i="9" s="1"/>
  <c r="N21" i="9" s="1"/>
  <c r="C22" i="9"/>
  <c r="D22" i="9" l="1"/>
  <c r="G22" i="9" s="1"/>
  <c r="H22" i="9" s="1"/>
  <c r="J22" i="9" s="1"/>
  <c r="I22" i="9" l="1"/>
  <c r="B23" i="9" l="1"/>
  <c r="K22" i="9"/>
  <c r="O22" i="9" s="1"/>
  <c r="L22" i="9" l="1"/>
  <c r="M22" i="9" s="1"/>
  <c r="N22" i="9" s="1"/>
  <c r="C23" i="9"/>
  <c r="D23" i="9" l="1"/>
  <c r="G23" i="9" s="1"/>
  <c r="H23" i="9" s="1"/>
  <c r="J23" i="9" s="1"/>
  <c r="I23" i="9" l="1"/>
  <c r="B24" i="9" l="1"/>
  <c r="K23" i="9"/>
  <c r="O23" i="9" s="1"/>
  <c r="L23" i="9" l="1"/>
  <c r="M23" i="9" s="1"/>
  <c r="N23" i="9" s="1"/>
  <c r="C24" i="9"/>
  <c r="D24" i="9" l="1"/>
  <c r="G24" i="9" s="1"/>
  <c r="H24" i="9" s="1"/>
  <c r="J24" i="9" s="1"/>
  <c r="I24" i="9" l="1"/>
  <c r="B25" i="9" l="1"/>
  <c r="K24" i="9"/>
  <c r="O24" i="9" s="1"/>
  <c r="L24" i="9" l="1"/>
  <c r="M24" i="9" s="1"/>
  <c r="N24" i="9" s="1"/>
  <c r="C25" i="9"/>
  <c r="D25" i="9" l="1"/>
  <c r="G25" i="9" s="1"/>
  <c r="H25" i="9" s="1"/>
  <c r="J25" i="9" s="1"/>
  <c r="I25" i="9" l="1"/>
  <c r="B26" i="9" l="1"/>
  <c r="K25" i="9"/>
  <c r="O25" i="9" s="1"/>
  <c r="L25" i="9" l="1"/>
  <c r="M25" i="9" s="1"/>
  <c r="N25" i="9" s="1"/>
  <c r="C26" i="9"/>
  <c r="D26" i="9" l="1"/>
  <c r="G26" i="9" s="1"/>
  <c r="H26" i="9" s="1"/>
  <c r="J26" i="9" s="1"/>
  <c r="I26" i="9" l="1"/>
  <c r="B27" i="9" l="1"/>
  <c r="K26" i="9"/>
  <c r="O26" i="9" s="1"/>
  <c r="L26" i="9" l="1"/>
  <c r="M26" i="9" s="1"/>
  <c r="N26" i="9" s="1"/>
  <c r="C27" i="9"/>
  <c r="D27" i="9" l="1"/>
  <c r="G27" i="9" s="1"/>
  <c r="H27" i="9" s="1"/>
  <c r="J27" i="9" s="1"/>
  <c r="I27" i="9" l="1"/>
  <c r="B28" i="9" l="1"/>
  <c r="K27" i="9"/>
  <c r="O27" i="9" s="1"/>
  <c r="L27" i="9" l="1"/>
  <c r="M27" i="9" s="1"/>
  <c r="N27" i="9" s="1"/>
  <c r="C28" i="9"/>
  <c r="D28" i="9" l="1"/>
  <c r="G28" i="9" s="1"/>
  <c r="H28" i="9" s="1"/>
  <c r="J28" i="9" s="1"/>
  <c r="I28" i="9" l="1"/>
  <c r="B29" i="9" l="1"/>
  <c r="K28" i="9"/>
  <c r="O28" i="9" s="1"/>
  <c r="L28" i="9" l="1"/>
  <c r="M28" i="9" s="1"/>
  <c r="N28" i="9" s="1"/>
  <c r="C29" i="9"/>
  <c r="D29" i="9" l="1"/>
  <c r="G29" i="9" s="1"/>
  <c r="H29" i="9" s="1"/>
  <c r="I29" i="9" s="1"/>
  <c r="B30" i="9" l="1"/>
  <c r="K29" i="9"/>
  <c r="O29" i="9" s="1"/>
  <c r="J29" i="9"/>
  <c r="L29" i="9" l="1"/>
  <c r="M29" i="9" s="1"/>
  <c r="N29" i="9" s="1"/>
  <c r="C30" i="9"/>
  <c r="D30" i="9" l="1"/>
  <c r="G30" i="9" s="1"/>
  <c r="H30" i="9" s="1"/>
  <c r="J30" i="9" s="1"/>
  <c r="I30" i="9" l="1"/>
  <c r="B31" i="9" l="1"/>
  <c r="K30" i="9"/>
  <c r="O30" i="9" s="1"/>
  <c r="L30" i="9" l="1"/>
  <c r="M30" i="9" s="1"/>
  <c r="N30" i="9" s="1"/>
  <c r="C31" i="9"/>
  <c r="D31" i="9" l="1"/>
  <c r="G31" i="9" s="1"/>
  <c r="H31" i="9" s="1"/>
  <c r="J31" i="9" s="1"/>
  <c r="I31" i="9" l="1"/>
  <c r="B32" i="9" l="1"/>
  <c r="K31" i="9"/>
  <c r="O31" i="9" s="1"/>
  <c r="L31" i="9" l="1"/>
  <c r="M31" i="9" s="1"/>
  <c r="N31" i="9" s="1"/>
  <c r="C32" i="9"/>
  <c r="D32" i="9" l="1"/>
  <c r="G32" i="9" s="1"/>
  <c r="H32" i="9" s="1"/>
  <c r="I32" i="9" s="1"/>
  <c r="B33" i="9" l="1"/>
  <c r="K32" i="9"/>
  <c r="O32" i="9" s="1"/>
  <c r="J32" i="9"/>
  <c r="L32" i="9" l="1"/>
  <c r="M32" i="9" s="1"/>
  <c r="N32" i="9" s="1"/>
  <c r="C33" i="9"/>
  <c r="D33" i="9" l="1"/>
  <c r="G33" i="9" s="1"/>
  <c r="H33" i="9" s="1"/>
  <c r="I33" i="9" s="1"/>
  <c r="B34" i="9" l="1"/>
  <c r="K33" i="9"/>
  <c r="O33" i="9" s="1"/>
  <c r="J33" i="9"/>
  <c r="L33" i="9" l="1"/>
  <c r="M33" i="9" s="1"/>
  <c r="N33" i="9" s="1"/>
  <c r="C34" i="9"/>
  <c r="D34" i="9" l="1"/>
  <c r="G34" i="9" s="1"/>
  <c r="H34" i="9" s="1"/>
  <c r="J34" i="9" s="1"/>
  <c r="I34" i="9" l="1"/>
  <c r="B35" i="9" l="1"/>
  <c r="K34" i="9"/>
  <c r="O34" i="9" s="1"/>
  <c r="L34" i="9" l="1"/>
  <c r="M34" i="9" s="1"/>
  <c r="N34" i="9" s="1"/>
  <c r="C35" i="9"/>
  <c r="D35" i="9" l="1"/>
  <c r="G35" i="9" s="1"/>
  <c r="H35" i="9" s="1"/>
  <c r="J35" i="9" s="1"/>
  <c r="I35" i="9" l="1"/>
  <c r="B36" i="9" l="1"/>
  <c r="K35" i="9"/>
  <c r="O35" i="9" s="1"/>
  <c r="L35" i="9" l="1"/>
  <c r="M35" i="9" s="1"/>
  <c r="N35" i="9" s="1"/>
  <c r="C36" i="9"/>
  <c r="D36" i="9" l="1"/>
  <c r="G36" i="9" s="1"/>
  <c r="H36" i="9" s="1"/>
  <c r="J36" i="9" s="1"/>
  <c r="I36" i="9" l="1"/>
  <c r="B37" i="9" s="1"/>
  <c r="K36" i="9" l="1"/>
  <c r="C37" i="9"/>
  <c r="L36" i="9" l="1"/>
  <c r="M36" i="9" s="1"/>
  <c r="N36" i="9" s="1"/>
  <c r="O36" i="9"/>
  <c r="D37" i="9"/>
  <c r="G37" i="9" s="1"/>
  <c r="H37" i="9" s="1"/>
  <c r="I37" i="9" s="1"/>
  <c r="B38" i="9" l="1"/>
  <c r="K37" i="9"/>
  <c r="O37" i="9" s="1"/>
  <c r="J37" i="9"/>
  <c r="L37" i="9" l="1"/>
  <c r="M37" i="9" s="1"/>
  <c r="N37" i="9" s="1"/>
  <c r="C38" i="9"/>
  <c r="D38" i="9" l="1"/>
  <c r="G38" i="9" s="1"/>
  <c r="H38" i="9" s="1"/>
  <c r="J38" i="9" s="1"/>
  <c r="I38" i="9" l="1"/>
  <c r="B39" i="9" l="1"/>
  <c r="K38" i="9"/>
  <c r="O38" i="9" s="1"/>
  <c r="L38" i="9" l="1"/>
  <c r="M38" i="9" s="1"/>
  <c r="N38" i="9" s="1"/>
  <c r="C39" i="9"/>
  <c r="D39" i="9" l="1"/>
  <c r="G39" i="9" s="1"/>
  <c r="H39" i="9" s="1"/>
  <c r="J39" i="9" s="1"/>
  <c r="I39" i="9" l="1"/>
  <c r="B40" i="9" l="1"/>
  <c r="K39" i="9"/>
  <c r="O39" i="9" s="1"/>
  <c r="L39" i="9" l="1"/>
  <c r="M39" i="9" s="1"/>
  <c r="N39" i="9" s="1"/>
  <c r="C40" i="9"/>
  <c r="D40" i="9" l="1"/>
  <c r="G40" i="9" s="1"/>
  <c r="H40" i="9" s="1"/>
  <c r="I40" i="9" s="1"/>
  <c r="B41" i="9" l="1"/>
  <c r="K40" i="9"/>
  <c r="O40" i="9" s="1"/>
  <c r="J40" i="9"/>
  <c r="L40" i="9" l="1"/>
  <c r="M40" i="9" s="1"/>
  <c r="N40" i="9" s="1"/>
  <c r="C41" i="9"/>
  <c r="D41" i="9" l="1"/>
  <c r="G41" i="9" s="1"/>
  <c r="H41" i="9" s="1"/>
  <c r="J41" i="9" s="1"/>
  <c r="I41" i="9" l="1"/>
  <c r="B42" i="9" s="1"/>
  <c r="K41" i="9" l="1"/>
  <c r="O41" i="9" s="1"/>
  <c r="C42" i="9"/>
  <c r="L41" i="9" l="1"/>
  <c r="M41" i="9" s="1"/>
  <c r="N41" i="9" s="1"/>
  <c r="D42" i="9"/>
  <c r="G42" i="9" s="1"/>
  <c r="H42" i="9" s="1"/>
  <c r="J42" i="9" s="1"/>
  <c r="I42" i="9" l="1"/>
  <c r="B43" i="9" l="1"/>
  <c r="K42" i="9"/>
  <c r="O42" i="9" s="1"/>
  <c r="L42" i="9" l="1"/>
  <c r="M42" i="9" s="1"/>
  <c r="N42" i="9" s="1"/>
  <c r="C43" i="9"/>
  <c r="D43" i="9" l="1"/>
  <c r="G43" i="9" s="1"/>
  <c r="H43" i="9" s="1"/>
  <c r="J43" i="9" s="1"/>
  <c r="I43" i="9" l="1"/>
  <c r="B44" i="9" l="1"/>
  <c r="K43" i="9"/>
  <c r="O43" i="9" s="1"/>
  <c r="L43" i="9" l="1"/>
  <c r="M43" i="9" s="1"/>
  <c r="N43" i="9" s="1"/>
  <c r="C44" i="9"/>
  <c r="D44" i="9" l="1"/>
  <c r="G44" i="9" s="1"/>
  <c r="H44" i="9" s="1"/>
  <c r="J44" i="9" s="1"/>
  <c r="I44" i="9" l="1"/>
  <c r="B45" i="9" l="1"/>
  <c r="K44" i="9"/>
  <c r="O44" i="9" s="1"/>
  <c r="L44" i="9" l="1"/>
  <c r="M44" i="9" s="1"/>
  <c r="N44" i="9" s="1"/>
  <c r="C45" i="9"/>
  <c r="D45" i="9" l="1"/>
  <c r="G45" i="9" s="1"/>
  <c r="H45" i="9" s="1"/>
  <c r="I45" i="9" s="1"/>
  <c r="B46" i="9" l="1"/>
  <c r="K45" i="9"/>
  <c r="O45" i="9" s="1"/>
  <c r="J45" i="9"/>
  <c r="L45" i="9" l="1"/>
  <c r="M45" i="9" s="1"/>
  <c r="N45" i="9" s="1"/>
  <c r="C46" i="9"/>
  <c r="D46" i="9" l="1"/>
  <c r="G46" i="9" s="1"/>
  <c r="H46" i="9" s="1"/>
  <c r="J46" i="9" s="1"/>
  <c r="I46" i="9" l="1"/>
  <c r="B47" i="9" l="1"/>
  <c r="K46" i="9"/>
  <c r="O46" i="9" s="1"/>
  <c r="L46" i="9" l="1"/>
  <c r="M46" i="9" s="1"/>
  <c r="N46" i="9" s="1"/>
  <c r="C47" i="9"/>
  <c r="D47" i="9" l="1"/>
  <c r="G47" i="9" s="1"/>
  <c r="H47" i="9" s="1"/>
  <c r="J47" i="9" s="1"/>
  <c r="I47" i="9" l="1"/>
  <c r="B48" i="9" l="1"/>
  <c r="K47" i="9"/>
  <c r="O47" i="9" s="1"/>
  <c r="L47" i="9" l="1"/>
  <c r="M47" i="9" s="1"/>
  <c r="N47" i="9" s="1"/>
  <c r="C48" i="9"/>
  <c r="D48" i="9" l="1"/>
  <c r="G48" i="9" s="1"/>
  <c r="H48" i="9" s="1"/>
  <c r="I48" i="9" s="1"/>
  <c r="B49" i="9" l="1"/>
  <c r="K48" i="9"/>
  <c r="O48" i="9" s="1"/>
  <c r="J48" i="9"/>
  <c r="L48" i="9" l="1"/>
  <c r="M48" i="9" s="1"/>
  <c r="N48" i="9" s="1"/>
  <c r="C49" i="9"/>
  <c r="D49" i="9" l="1"/>
  <c r="G49" i="9" s="1"/>
  <c r="H49" i="9" s="1"/>
  <c r="J49" i="9" s="1"/>
  <c r="I49" i="9" l="1"/>
  <c r="B50" i="9" s="1"/>
  <c r="K49" i="9" l="1"/>
  <c r="C50" i="9"/>
  <c r="L49" i="9" l="1"/>
  <c r="M49" i="9" s="1"/>
  <c r="N49" i="9" s="1"/>
  <c r="O49" i="9"/>
  <c r="D50" i="9"/>
  <c r="G50" i="9" s="1"/>
  <c r="H50" i="9" s="1"/>
  <c r="J50" i="9" s="1"/>
  <c r="I50" i="9" l="1"/>
  <c r="B51" i="9" l="1"/>
  <c r="K50" i="9"/>
  <c r="O50" i="9" s="1"/>
  <c r="L50" i="9" l="1"/>
  <c r="M50" i="9" s="1"/>
  <c r="N50" i="9" s="1"/>
  <c r="C51" i="9"/>
  <c r="D51" i="9" l="1"/>
  <c r="G51" i="9" s="1"/>
  <c r="H51" i="9" s="1"/>
  <c r="J51" i="9" s="1"/>
  <c r="I51" i="9" l="1"/>
  <c r="B52" i="9" l="1"/>
  <c r="K51" i="9"/>
  <c r="O51" i="9" s="1"/>
  <c r="L51" i="9" l="1"/>
  <c r="M51" i="9" s="1"/>
  <c r="N51" i="9" s="1"/>
  <c r="C52" i="9"/>
  <c r="D52" i="9" l="1"/>
  <c r="G52" i="9" s="1"/>
  <c r="H52" i="9" s="1"/>
  <c r="J52" i="9" s="1"/>
  <c r="I52" i="9" l="1"/>
  <c r="B53" i="9" l="1"/>
  <c r="K52" i="9"/>
  <c r="O52" i="9" s="1"/>
  <c r="L52" i="9" l="1"/>
  <c r="M52" i="9" s="1"/>
  <c r="N52" i="9" s="1"/>
  <c r="C53" i="9"/>
  <c r="D53" i="9" l="1"/>
  <c r="G53" i="9" s="1"/>
  <c r="H53" i="9" s="1"/>
  <c r="I53" i="9" s="1"/>
  <c r="B54" i="9" l="1"/>
  <c r="K53" i="9"/>
  <c r="O53" i="9" s="1"/>
  <c r="J53" i="9"/>
  <c r="L53" i="9" l="1"/>
  <c r="M53" i="9" s="1"/>
  <c r="N53" i="9" s="1"/>
  <c r="C54" i="9"/>
  <c r="D54" i="9" l="1"/>
  <c r="G54" i="9" s="1"/>
  <c r="H54" i="9" s="1"/>
  <c r="J54" i="9" s="1"/>
  <c r="I54" i="9" l="1"/>
  <c r="B55" i="9" l="1"/>
  <c r="K54" i="9"/>
  <c r="O54" i="9" s="1"/>
  <c r="L54" i="9" l="1"/>
  <c r="M54" i="9" s="1"/>
  <c r="N54" i="9" s="1"/>
  <c r="C55" i="9"/>
  <c r="D55" i="9" l="1"/>
  <c r="G55" i="9" s="1"/>
  <c r="H55" i="9" s="1"/>
  <c r="J55" i="9" s="1"/>
  <c r="I55" i="9" l="1"/>
  <c r="B56" i="9" l="1"/>
  <c r="K55" i="9"/>
  <c r="O55" i="9" s="1"/>
  <c r="L55" i="9" l="1"/>
  <c r="M55" i="9" s="1"/>
  <c r="N55" i="9" s="1"/>
  <c r="C56" i="9"/>
  <c r="D56" i="9" l="1"/>
  <c r="G56" i="9" s="1"/>
  <c r="H56" i="9" s="1"/>
  <c r="I56" i="9" s="1"/>
  <c r="B57" i="9" l="1"/>
  <c r="K56" i="9"/>
  <c r="O56" i="9" s="1"/>
  <c r="J56" i="9"/>
  <c r="L56" i="9" l="1"/>
  <c r="M56" i="9" s="1"/>
  <c r="N56" i="9" s="1"/>
  <c r="C57" i="9"/>
  <c r="D57" i="9" l="1"/>
  <c r="G57" i="9" s="1"/>
  <c r="H57" i="9" s="1"/>
  <c r="J57" i="9" s="1"/>
  <c r="I57" i="9" l="1"/>
  <c r="B58" i="9" l="1"/>
  <c r="K57" i="9"/>
  <c r="O57" i="9" s="1"/>
  <c r="L57" i="9" l="1"/>
  <c r="M57" i="9" s="1"/>
  <c r="N57" i="9" s="1"/>
  <c r="C58" i="9"/>
  <c r="D58" i="9" l="1"/>
  <c r="G58" i="9" s="1"/>
  <c r="H58" i="9" s="1"/>
  <c r="J58" i="9" s="1"/>
  <c r="I58" i="9" l="1"/>
  <c r="B59" i="9" l="1"/>
  <c r="K58" i="9"/>
  <c r="O58" i="9" s="1"/>
  <c r="L58" i="9" l="1"/>
  <c r="M58" i="9" s="1"/>
  <c r="N58" i="9" s="1"/>
  <c r="C59" i="9"/>
  <c r="D59" i="9" l="1"/>
  <c r="G59" i="9" s="1"/>
  <c r="H59" i="9" s="1"/>
  <c r="J59" i="9" s="1"/>
  <c r="I59" i="9" l="1"/>
  <c r="B60" i="9" l="1"/>
  <c r="K59" i="9"/>
  <c r="O59" i="9" s="1"/>
  <c r="L59" i="9" l="1"/>
  <c r="M59" i="9" s="1"/>
  <c r="N59" i="9" s="1"/>
  <c r="C60" i="9"/>
  <c r="D60" i="9" l="1"/>
  <c r="G60" i="9" s="1"/>
  <c r="H60" i="9" s="1"/>
  <c r="J60" i="9" s="1"/>
  <c r="I60" i="9" l="1"/>
  <c r="B61" i="9" l="1"/>
  <c r="K60" i="9"/>
  <c r="O60" i="9" s="1"/>
  <c r="L60" i="9" l="1"/>
  <c r="M60" i="9" s="1"/>
  <c r="N60" i="9" s="1"/>
  <c r="C61" i="9"/>
  <c r="D61" i="9" l="1"/>
  <c r="G61" i="9" s="1"/>
  <c r="H61" i="9" s="1"/>
  <c r="I61" i="9" s="1"/>
  <c r="B62" i="9" l="1"/>
  <c r="K61" i="9"/>
  <c r="O61" i="9" s="1"/>
  <c r="J61" i="9"/>
  <c r="L61" i="9" l="1"/>
  <c r="M61" i="9" s="1"/>
  <c r="N61" i="9" s="1"/>
  <c r="C62" i="9"/>
  <c r="D62" i="9" l="1"/>
  <c r="G62" i="9" s="1"/>
  <c r="H62" i="9" s="1"/>
  <c r="J62" i="9" s="1"/>
  <c r="I62" i="9" l="1"/>
  <c r="B63" i="9" l="1"/>
  <c r="K62" i="9"/>
  <c r="O62" i="9" s="1"/>
  <c r="L62" i="9" l="1"/>
  <c r="M62" i="9" s="1"/>
  <c r="N62" i="9" s="1"/>
  <c r="C63" i="9"/>
  <c r="D63" i="9" l="1"/>
  <c r="G63" i="9" s="1"/>
  <c r="H63" i="9" s="1"/>
  <c r="J63" i="9" s="1"/>
  <c r="I63" i="9" l="1"/>
  <c r="B64" i="9" l="1"/>
  <c r="K63" i="9"/>
  <c r="O63" i="9" s="1"/>
  <c r="L63" i="9" l="1"/>
  <c r="M63" i="9" s="1"/>
  <c r="N63" i="9" s="1"/>
  <c r="C64" i="9"/>
  <c r="D64" i="9" l="1"/>
  <c r="G64" i="9" s="1"/>
  <c r="H64" i="9" s="1"/>
  <c r="I64" i="9" s="1"/>
  <c r="B65" i="9" l="1"/>
  <c r="K64" i="9"/>
  <c r="O64" i="9" s="1"/>
  <c r="J64" i="9"/>
  <c r="L64" i="9" l="1"/>
  <c r="M64" i="9" s="1"/>
  <c r="N64" i="9" s="1"/>
  <c r="C65" i="9"/>
  <c r="D65" i="9" l="1"/>
  <c r="G65" i="9" s="1"/>
  <c r="H65" i="9" s="1"/>
  <c r="J65" i="9" s="1"/>
  <c r="I65" i="9" l="1"/>
  <c r="B66" i="9" l="1"/>
  <c r="K65" i="9"/>
  <c r="O65" i="9" s="1"/>
  <c r="L65" i="9" l="1"/>
  <c r="M65" i="9" s="1"/>
  <c r="N65" i="9" s="1"/>
  <c r="C66" i="9"/>
  <c r="D66" i="9" l="1"/>
  <c r="G66" i="9" s="1"/>
  <c r="H66" i="9" s="1"/>
  <c r="J66" i="9" s="1"/>
  <c r="I66" i="9" l="1"/>
  <c r="B67" i="9" l="1"/>
  <c r="K66" i="9"/>
  <c r="O66" i="9" s="1"/>
  <c r="L66" i="9" l="1"/>
  <c r="M66" i="9" s="1"/>
  <c r="N66" i="9" s="1"/>
  <c r="C67" i="9"/>
  <c r="D67" i="9" l="1"/>
  <c r="G67" i="9" s="1"/>
  <c r="H67" i="9" s="1"/>
  <c r="J67" i="9" s="1"/>
  <c r="I67" i="9" l="1"/>
  <c r="B68" i="9" l="1"/>
  <c r="K67" i="9"/>
  <c r="O67" i="9" s="1"/>
  <c r="L67" i="9" l="1"/>
  <c r="M67" i="9" s="1"/>
  <c r="N67" i="9" s="1"/>
  <c r="C68" i="9"/>
  <c r="D68" i="9" l="1"/>
  <c r="G68" i="9" s="1"/>
  <c r="H68" i="9" s="1"/>
  <c r="J68" i="9" s="1"/>
  <c r="I68" i="9" l="1"/>
  <c r="B69" i="9" l="1"/>
  <c r="K68" i="9"/>
  <c r="O68" i="9" s="1"/>
  <c r="L68" i="9" l="1"/>
  <c r="M68" i="9" s="1"/>
  <c r="N68" i="9" s="1"/>
  <c r="C69" i="9"/>
  <c r="D69" i="9" l="1"/>
  <c r="G69" i="9" s="1"/>
  <c r="H69" i="9" s="1"/>
  <c r="I69" i="9" s="1"/>
  <c r="B70" i="9" l="1"/>
  <c r="K69" i="9"/>
  <c r="O69" i="9" s="1"/>
  <c r="J69" i="9"/>
  <c r="L69" i="9" l="1"/>
  <c r="M69" i="9" s="1"/>
  <c r="N69" i="9" s="1"/>
  <c r="C70" i="9"/>
  <c r="D70" i="9" l="1"/>
  <c r="G70" i="9" s="1"/>
  <c r="H70" i="9" s="1"/>
  <c r="J70" i="9" s="1"/>
  <c r="I70" i="9" l="1"/>
  <c r="B71" i="9" l="1"/>
  <c r="K70" i="9"/>
  <c r="O70" i="9" s="1"/>
  <c r="L70" i="9" l="1"/>
  <c r="M70" i="9" s="1"/>
  <c r="N70" i="9" s="1"/>
  <c r="C71" i="9"/>
  <c r="D71" i="9" l="1"/>
  <c r="G71" i="9" s="1"/>
  <c r="H71" i="9" s="1"/>
  <c r="J71" i="9" s="1"/>
  <c r="I71" i="9" l="1"/>
  <c r="B72" i="9" l="1"/>
  <c r="K71" i="9"/>
  <c r="O71" i="9" s="1"/>
  <c r="L71" i="9" l="1"/>
  <c r="M71" i="9" s="1"/>
  <c r="N71" i="9" s="1"/>
  <c r="C72" i="9"/>
  <c r="D72" i="9" l="1"/>
  <c r="G72" i="9" s="1"/>
  <c r="H72" i="9" s="1"/>
  <c r="J72" i="9" s="1"/>
  <c r="I72" i="9" l="1"/>
  <c r="B73" i="9" s="1"/>
  <c r="K72" i="9" l="1"/>
  <c r="C73" i="9"/>
  <c r="L72" i="9" l="1"/>
  <c r="M72" i="9" s="1"/>
  <c r="N72" i="9" s="1"/>
  <c r="O72" i="9"/>
  <c r="D73" i="9"/>
  <c r="G73" i="9" s="1"/>
  <c r="H73" i="9" s="1"/>
  <c r="J73" i="9" s="1"/>
  <c r="I73" i="9" l="1"/>
  <c r="B74" i="9" l="1"/>
  <c r="K73" i="9"/>
  <c r="O73" i="9" s="1"/>
  <c r="L73" i="9" l="1"/>
  <c r="M73" i="9" s="1"/>
  <c r="N73" i="9" s="1"/>
  <c r="C74" i="9"/>
  <c r="D74" i="9" l="1"/>
  <c r="G74" i="9" s="1"/>
  <c r="H74" i="9" s="1"/>
  <c r="J74" i="9" s="1"/>
  <c r="I74" i="9" l="1"/>
  <c r="B75" i="9" l="1"/>
  <c r="K74" i="9"/>
  <c r="O74" i="9" s="1"/>
  <c r="L74" i="9" l="1"/>
  <c r="M74" i="9" s="1"/>
  <c r="N74" i="9" s="1"/>
  <c r="C75" i="9"/>
  <c r="D75" i="9" l="1"/>
  <c r="G75" i="9" s="1"/>
  <c r="H75" i="9" s="1"/>
  <c r="J75" i="9" s="1"/>
  <c r="I75" i="9" l="1"/>
  <c r="B76" i="9" l="1"/>
  <c r="K75" i="9"/>
  <c r="O75" i="9" s="1"/>
  <c r="L75" i="9" l="1"/>
  <c r="M75" i="9" s="1"/>
  <c r="N75" i="9" s="1"/>
  <c r="C76" i="9"/>
  <c r="D76" i="9" l="1"/>
  <c r="G76" i="9" s="1"/>
  <c r="H76" i="9" s="1"/>
  <c r="J76" i="9" s="1"/>
  <c r="I76" i="9" l="1"/>
  <c r="B77" i="9" l="1"/>
  <c r="K76" i="9"/>
  <c r="O76" i="9" s="1"/>
  <c r="L76" i="9" l="1"/>
  <c r="M76" i="9" s="1"/>
  <c r="N76" i="9" s="1"/>
  <c r="C77" i="9"/>
  <c r="D77" i="9" l="1"/>
  <c r="G77" i="9" s="1"/>
  <c r="H77" i="9" s="1"/>
  <c r="J77" i="9" s="1"/>
  <c r="I77" i="9" l="1"/>
  <c r="B78" i="9" l="1"/>
  <c r="K77" i="9"/>
  <c r="O77" i="9" s="1"/>
  <c r="L77" i="9" l="1"/>
  <c r="M77" i="9" s="1"/>
  <c r="N77" i="9" s="1"/>
  <c r="C78" i="9"/>
  <c r="D78" i="9" l="1"/>
  <c r="G78" i="9" s="1"/>
  <c r="H78" i="9" s="1"/>
  <c r="J78" i="9" s="1"/>
  <c r="I78" i="9" l="1"/>
  <c r="B79" i="9" l="1"/>
  <c r="K78" i="9"/>
  <c r="O78" i="9" s="1"/>
  <c r="L78" i="9" l="1"/>
  <c r="M78" i="9" s="1"/>
  <c r="N78" i="9" s="1"/>
  <c r="C79" i="9"/>
  <c r="D79" i="9" l="1"/>
  <c r="G79" i="9" s="1"/>
  <c r="H79" i="9" s="1"/>
  <c r="J79" i="9" s="1"/>
  <c r="I79" i="9" l="1"/>
  <c r="B80" i="9" l="1"/>
  <c r="K79" i="9"/>
  <c r="O79" i="9" s="1"/>
  <c r="L79" i="9" l="1"/>
  <c r="M79" i="9" s="1"/>
  <c r="N79" i="9" s="1"/>
  <c r="C80" i="9"/>
  <c r="D80" i="9" l="1"/>
  <c r="G80" i="9" s="1"/>
  <c r="H80" i="9" s="1"/>
  <c r="J80" i="9" s="1"/>
  <c r="I80" i="9" l="1"/>
  <c r="B81" i="9" l="1"/>
  <c r="K80" i="9"/>
  <c r="O80" i="9" s="1"/>
  <c r="L80" i="9" l="1"/>
  <c r="M80" i="9" s="1"/>
  <c r="N80" i="9" s="1"/>
  <c r="C81" i="9"/>
  <c r="D81" i="9" l="1"/>
  <c r="G81" i="9" s="1"/>
  <c r="H81" i="9" s="1"/>
  <c r="J81" i="9" s="1"/>
  <c r="I81" i="9" l="1"/>
  <c r="B82" i="9" l="1"/>
  <c r="K81" i="9"/>
  <c r="O81" i="9" s="1"/>
  <c r="L81" i="9" l="1"/>
  <c r="M81" i="9" s="1"/>
  <c r="N81" i="9" s="1"/>
  <c r="C82" i="9"/>
  <c r="D82" i="9" l="1"/>
  <c r="G82" i="9" s="1"/>
  <c r="H82" i="9" s="1"/>
  <c r="J82" i="9" s="1"/>
  <c r="I82" i="9" l="1"/>
  <c r="B83" i="9" l="1"/>
  <c r="K82" i="9"/>
  <c r="O82" i="9" s="1"/>
  <c r="L82" i="9" l="1"/>
  <c r="M82" i="9" s="1"/>
  <c r="N82" i="9" s="1"/>
  <c r="C83" i="9"/>
  <c r="D83" i="9" l="1"/>
  <c r="G83" i="9" s="1"/>
  <c r="H83" i="9" s="1"/>
  <c r="J83" i="9" s="1"/>
  <c r="I83" i="9" l="1"/>
  <c r="B84" i="9" l="1"/>
  <c r="K83" i="9"/>
  <c r="O83" i="9" s="1"/>
  <c r="L83" i="9" l="1"/>
  <c r="M83" i="9" s="1"/>
  <c r="N83" i="9" s="1"/>
  <c r="C84" i="9"/>
  <c r="D84" i="9" l="1"/>
  <c r="G84" i="9" s="1"/>
  <c r="H84" i="9" s="1"/>
  <c r="J84" i="9" s="1"/>
  <c r="I84" i="9" l="1"/>
  <c r="B85" i="9" l="1"/>
  <c r="K84" i="9"/>
  <c r="O84" i="9" s="1"/>
  <c r="L84" i="9" l="1"/>
  <c r="M84" i="9" s="1"/>
  <c r="N84" i="9" s="1"/>
  <c r="C85" i="9"/>
  <c r="D85" i="9" l="1"/>
  <c r="G85" i="9" s="1"/>
  <c r="H85" i="9" s="1"/>
  <c r="J85" i="9" s="1"/>
  <c r="I85" i="9" l="1"/>
  <c r="B86" i="9" l="1"/>
  <c r="K85" i="9"/>
  <c r="O85" i="9" s="1"/>
  <c r="L85" i="9" l="1"/>
  <c r="M85" i="9" s="1"/>
  <c r="N85" i="9" s="1"/>
  <c r="C86" i="9"/>
  <c r="D86" i="9" l="1"/>
  <c r="G86" i="9" s="1"/>
  <c r="H86" i="9" s="1"/>
  <c r="J86" i="9" s="1"/>
  <c r="I86" i="9" l="1"/>
  <c r="B87" i="9" l="1"/>
  <c r="K86" i="9"/>
  <c r="O86" i="9" s="1"/>
  <c r="L86" i="9" l="1"/>
  <c r="M86" i="9" s="1"/>
  <c r="N86" i="9" s="1"/>
  <c r="C87" i="9"/>
  <c r="D87" i="9" l="1"/>
  <c r="G87" i="9" s="1"/>
  <c r="H87" i="9" s="1"/>
  <c r="J87" i="9" s="1"/>
  <c r="I87" i="9" l="1"/>
  <c r="B88" i="9" l="1"/>
  <c r="K87" i="9"/>
  <c r="O87" i="9" s="1"/>
  <c r="L87" i="9" l="1"/>
  <c r="M87" i="9" s="1"/>
  <c r="N87" i="9" s="1"/>
  <c r="C88" i="9"/>
  <c r="D88" i="9" l="1"/>
  <c r="G88" i="9" s="1"/>
  <c r="H88" i="9" s="1"/>
  <c r="J88" i="9" s="1"/>
  <c r="I88" i="9" l="1"/>
  <c r="B89" i="9" l="1"/>
  <c r="K88" i="9"/>
  <c r="O88" i="9" s="1"/>
  <c r="L88" i="9" l="1"/>
  <c r="M88" i="9" s="1"/>
  <c r="N88" i="9" s="1"/>
  <c r="C89" i="9"/>
  <c r="D89" i="9" l="1"/>
  <c r="G89" i="9" s="1"/>
  <c r="H89" i="9" s="1"/>
  <c r="J89" i="9" s="1"/>
  <c r="I89" i="9" l="1"/>
  <c r="B90" i="9" l="1"/>
  <c r="K89" i="9"/>
  <c r="O89" i="9" s="1"/>
  <c r="L89" i="9" l="1"/>
  <c r="M89" i="9" s="1"/>
  <c r="N89" i="9" s="1"/>
  <c r="C90" i="9"/>
  <c r="D90" i="9" l="1"/>
  <c r="G90" i="9" s="1"/>
  <c r="H90" i="9" s="1"/>
  <c r="J90" i="9" s="1"/>
  <c r="I90" i="9" l="1"/>
  <c r="B91" i="9" l="1"/>
  <c r="K90" i="9"/>
  <c r="O90" i="9" s="1"/>
  <c r="L90" i="9" l="1"/>
  <c r="M90" i="9" s="1"/>
  <c r="N90" i="9" s="1"/>
  <c r="C91" i="9"/>
  <c r="D91" i="9" l="1"/>
  <c r="G91" i="9" s="1"/>
  <c r="H91" i="9" s="1"/>
  <c r="J91" i="9" s="1"/>
  <c r="I91" i="9" l="1"/>
  <c r="B92" i="9" l="1"/>
  <c r="K91" i="9"/>
  <c r="O91" i="9" s="1"/>
  <c r="L91" i="9" l="1"/>
  <c r="M91" i="9" s="1"/>
  <c r="N91" i="9" s="1"/>
  <c r="C92" i="9"/>
  <c r="D92" i="9" l="1"/>
  <c r="G92" i="9" s="1"/>
  <c r="H92" i="9" s="1"/>
  <c r="J92" i="9" s="1"/>
  <c r="I92" i="9" l="1"/>
  <c r="B93" i="9" l="1"/>
  <c r="K92" i="9"/>
  <c r="O92" i="9" s="1"/>
  <c r="L92" i="9" l="1"/>
  <c r="M92" i="9" s="1"/>
  <c r="N92" i="9" s="1"/>
  <c r="C93" i="9"/>
  <c r="D93" i="9" l="1"/>
  <c r="G93" i="9" s="1"/>
  <c r="H93" i="9" s="1"/>
  <c r="J93" i="9" s="1"/>
  <c r="I93" i="9" l="1"/>
  <c r="B94" i="9" l="1"/>
  <c r="K93" i="9"/>
  <c r="O93" i="9" s="1"/>
  <c r="L93" i="9" l="1"/>
  <c r="M93" i="9" s="1"/>
  <c r="N93" i="9" s="1"/>
  <c r="C94" i="9"/>
  <c r="D94" i="9" l="1"/>
  <c r="G94" i="9" s="1"/>
  <c r="H94" i="9" s="1"/>
  <c r="J94" i="9" s="1"/>
  <c r="I94" i="9" l="1"/>
  <c r="B95" i="9" l="1"/>
  <c r="K94" i="9"/>
  <c r="O94" i="9" s="1"/>
  <c r="L94" i="9" l="1"/>
  <c r="M94" i="9" s="1"/>
  <c r="N94" i="9" s="1"/>
  <c r="C95" i="9"/>
  <c r="D95" i="9" l="1"/>
  <c r="G95" i="9" s="1"/>
  <c r="H95" i="9" s="1"/>
  <c r="J95" i="9" s="1"/>
  <c r="I95" i="9" l="1"/>
  <c r="B96" i="9" l="1"/>
  <c r="K95" i="9"/>
  <c r="O95" i="9" s="1"/>
  <c r="L95" i="9" l="1"/>
  <c r="M95" i="9" s="1"/>
  <c r="N95" i="9" s="1"/>
  <c r="C96" i="9"/>
  <c r="D96" i="9" l="1"/>
  <c r="G96" i="9" s="1"/>
  <c r="H96" i="9" s="1"/>
  <c r="J96" i="9" s="1"/>
  <c r="I96" i="9" l="1"/>
  <c r="B97" i="9" l="1"/>
  <c r="K96" i="9"/>
  <c r="O96" i="9" s="1"/>
  <c r="L96" i="9" l="1"/>
  <c r="M96" i="9" s="1"/>
  <c r="N96" i="9" s="1"/>
  <c r="C97" i="9"/>
  <c r="D97" i="9" l="1"/>
  <c r="G97" i="9" s="1"/>
  <c r="H97" i="9" s="1"/>
  <c r="J97" i="9" s="1"/>
  <c r="I97" i="9" l="1"/>
  <c r="B98" i="9" l="1"/>
  <c r="K97" i="9"/>
  <c r="O97" i="9" s="1"/>
  <c r="L97" i="9" l="1"/>
  <c r="M97" i="9" s="1"/>
  <c r="N97" i="9" s="1"/>
  <c r="C98" i="9"/>
  <c r="D98" i="9" l="1"/>
  <c r="G98" i="9" s="1"/>
  <c r="H98" i="9" s="1"/>
  <c r="J98" i="9" s="1"/>
  <c r="I98" i="9" l="1"/>
  <c r="B99" i="9" l="1"/>
  <c r="K98" i="9"/>
  <c r="O98" i="9" s="1"/>
  <c r="L98" i="9" l="1"/>
  <c r="M98" i="9" s="1"/>
  <c r="N98" i="9" s="1"/>
  <c r="C99" i="9"/>
  <c r="D99" i="9" l="1"/>
  <c r="G99" i="9" s="1"/>
  <c r="H99" i="9" s="1"/>
  <c r="J99" i="9" s="1"/>
  <c r="I99" i="9" l="1"/>
  <c r="B100" i="9" l="1"/>
  <c r="K99" i="9"/>
  <c r="O99" i="9" s="1"/>
  <c r="L99" i="9" l="1"/>
  <c r="M99" i="9" s="1"/>
  <c r="N99" i="9" s="1"/>
  <c r="C100" i="9"/>
  <c r="D100" i="9" l="1"/>
  <c r="G100" i="9" s="1"/>
  <c r="H100" i="9" s="1"/>
  <c r="J100" i="9" s="1"/>
  <c r="I100" i="9" l="1"/>
  <c r="B101" i="9" l="1"/>
  <c r="K100" i="9"/>
  <c r="O100" i="9" s="1"/>
  <c r="L100" i="9" l="1"/>
  <c r="M100" i="9" s="1"/>
  <c r="N100" i="9" s="1"/>
  <c r="C101" i="9"/>
  <c r="D101" i="9" l="1"/>
  <c r="G101" i="9" s="1"/>
  <c r="H101" i="9" s="1"/>
  <c r="J101" i="9" s="1"/>
  <c r="I101" i="9" l="1"/>
  <c r="B102" i="9" l="1"/>
  <c r="K101" i="9"/>
  <c r="O101" i="9" s="1"/>
  <c r="L101" i="9" l="1"/>
  <c r="M101" i="9" s="1"/>
  <c r="N101" i="9" s="1"/>
  <c r="C102" i="9"/>
  <c r="D102" i="9" l="1"/>
  <c r="G102" i="9" s="1"/>
  <c r="H102" i="9" s="1"/>
  <c r="J102" i="9" s="1"/>
  <c r="I102" i="9" l="1"/>
  <c r="B103" i="9" l="1"/>
  <c r="K102" i="9"/>
  <c r="O102" i="9" s="1"/>
  <c r="L102" i="9" l="1"/>
  <c r="M102" i="9" s="1"/>
  <c r="N102" i="9" s="1"/>
  <c r="C103" i="9"/>
  <c r="D103" i="9" l="1"/>
  <c r="G103" i="9" s="1"/>
  <c r="H103" i="9" s="1"/>
  <c r="J103" i="9" s="1"/>
  <c r="I103" i="9" l="1"/>
  <c r="B104" i="9" l="1"/>
  <c r="K103" i="9"/>
  <c r="O103" i="9" s="1"/>
  <c r="L103" i="9" l="1"/>
  <c r="M103" i="9" s="1"/>
  <c r="N103" i="9" s="1"/>
  <c r="C104" i="9"/>
  <c r="D104" i="9" l="1"/>
  <c r="G104" i="9" s="1"/>
  <c r="H104" i="9" s="1"/>
  <c r="J104" i="9" s="1"/>
  <c r="I104" i="9" l="1"/>
  <c r="B105" i="9" s="1"/>
  <c r="K104" i="9" l="1"/>
  <c r="C105" i="9"/>
  <c r="L104" i="9" l="1"/>
  <c r="M104" i="9" s="1"/>
  <c r="N104" i="9" s="1"/>
  <c r="O104" i="9"/>
  <c r="D105" i="9"/>
  <c r="G105" i="9" s="1"/>
  <c r="H105" i="9" s="1"/>
  <c r="J105" i="9" s="1"/>
  <c r="I105" i="9" l="1"/>
  <c r="B106" i="9" s="1"/>
  <c r="K105" i="9" l="1"/>
  <c r="C106" i="9"/>
  <c r="L105" i="9" l="1"/>
  <c r="M105" i="9" s="1"/>
  <c r="N105" i="9" s="1"/>
  <c r="O105" i="9"/>
  <c r="D106" i="9"/>
  <c r="G106" i="9" s="1"/>
  <c r="H106" i="9" s="1"/>
  <c r="J106" i="9" s="1"/>
  <c r="I106" i="9" l="1"/>
  <c r="B107" i="9" s="1"/>
  <c r="K106" i="9" l="1"/>
  <c r="O106" i="9" s="1"/>
  <c r="C107" i="9"/>
  <c r="L106" i="9" l="1"/>
  <c r="M106" i="9" s="1"/>
  <c r="N106" i="9" s="1"/>
  <c r="D107" i="9"/>
  <c r="G107" i="9" s="1"/>
  <c r="H107" i="9" s="1"/>
  <c r="J107" i="9" s="1"/>
  <c r="I107" i="9" l="1"/>
  <c r="B108" i="9" l="1"/>
  <c r="K107" i="9"/>
  <c r="O107" i="9" s="1"/>
  <c r="L107" i="9" l="1"/>
  <c r="M107" i="9" s="1"/>
  <c r="N107" i="9" s="1"/>
  <c r="C108" i="9"/>
  <c r="D108" i="9" l="1"/>
  <c r="G108" i="9" s="1"/>
  <c r="H108" i="9" s="1"/>
  <c r="J108" i="9" s="1"/>
  <c r="I108" i="9" l="1"/>
  <c r="B109" i="9" l="1"/>
  <c r="K108" i="9"/>
  <c r="O108" i="9" s="1"/>
  <c r="L108" i="9" l="1"/>
  <c r="M108" i="9" s="1"/>
  <c r="N108" i="9" s="1"/>
  <c r="C109" i="9"/>
  <c r="D109" i="9" l="1"/>
  <c r="G109" i="9" s="1"/>
  <c r="H109" i="9" s="1"/>
  <c r="J109" i="9" s="1"/>
  <c r="I109" i="9" l="1"/>
  <c r="B110" i="9" l="1"/>
  <c r="K109" i="9"/>
  <c r="O109" i="9" s="1"/>
  <c r="L109" i="9" l="1"/>
  <c r="M109" i="9" s="1"/>
  <c r="N109" i="9" s="1"/>
  <c r="C110" i="9"/>
  <c r="D110" i="9" l="1"/>
  <c r="G110" i="9" s="1"/>
  <c r="H110" i="9" s="1"/>
  <c r="J110" i="9" s="1"/>
  <c r="I110" i="9" l="1"/>
  <c r="B111" i="9" l="1"/>
  <c r="K110" i="9"/>
  <c r="O110" i="9" s="1"/>
  <c r="L110" i="9" l="1"/>
  <c r="M110" i="9" s="1"/>
  <c r="N110" i="9" s="1"/>
  <c r="C111" i="9"/>
  <c r="D111" i="9" l="1"/>
  <c r="G111" i="9" s="1"/>
  <c r="H111" i="9" s="1"/>
  <c r="J111" i="9" s="1"/>
  <c r="I111" i="9" l="1"/>
  <c r="B112" i="9" l="1"/>
  <c r="K111" i="9"/>
  <c r="O111" i="9" s="1"/>
  <c r="L111" i="9" l="1"/>
  <c r="M111" i="9" s="1"/>
  <c r="N111" i="9" s="1"/>
  <c r="C112" i="9"/>
  <c r="D112" i="9" l="1"/>
  <c r="G112" i="9" s="1"/>
  <c r="H112" i="9" s="1"/>
  <c r="I112" i="9" s="1"/>
  <c r="B113" i="9" l="1"/>
  <c r="K112" i="9"/>
  <c r="O112" i="9" s="1"/>
  <c r="J112" i="9"/>
  <c r="L112" i="9" l="1"/>
  <c r="M112" i="9" s="1"/>
  <c r="N112" i="9" s="1"/>
  <c r="C113" i="9"/>
  <c r="D113" i="9" l="1"/>
  <c r="G113" i="9" s="1"/>
  <c r="H113" i="9" s="1"/>
  <c r="J113" i="9" s="1"/>
  <c r="I113" i="9" l="1"/>
  <c r="B114" i="9" l="1"/>
  <c r="K113" i="9"/>
  <c r="O113" i="9" s="1"/>
  <c r="L113" i="9" l="1"/>
  <c r="M113" i="9" s="1"/>
  <c r="N113" i="9" s="1"/>
  <c r="C114" i="9"/>
  <c r="D114" i="9" l="1"/>
  <c r="G114" i="9" s="1"/>
  <c r="H114" i="9" s="1"/>
  <c r="J114" i="9" s="1"/>
  <c r="I114" i="9" l="1"/>
  <c r="B115" i="9" l="1"/>
  <c r="K114" i="9"/>
  <c r="O114" i="9" s="1"/>
  <c r="L114" i="9" l="1"/>
  <c r="M114" i="9" s="1"/>
  <c r="N114" i="9" s="1"/>
  <c r="C115" i="9"/>
  <c r="D115" i="9" l="1"/>
  <c r="G115" i="9" s="1"/>
  <c r="H115" i="9" s="1"/>
  <c r="I115" i="9" s="1"/>
  <c r="B116" i="9" l="1"/>
  <c r="K115" i="9"/>
  <c r="O115" i="9" s="1"/>
  <c r="J115" i="9"/>
  <c r="L115" i="9" l="1"/>
  <c r="M115" i="9" s="1"/>
  <c r="N115" i="9" s="1"/>
  <c r="C116" i="9"/>
  <c r="D116" i="9" l="1"/>
  <c r="G116" i="9" s="1"/>
  <c r="H116" i="9" s="1"/>
  <c r="J116" i="9" s="1"/>
  <c r="I116" i="9" l="1"/>
  <c r="B117" i="9" l="1"/>
  <c r="K116" i="9"/>
  <c r="O116" i="9" s="1"/>
  <c r="L116" i="9" l="1"/>
  <c r="M116" i="9" s="1"/>
  <c r="N116" i="9" s="1"/>
  <c r="C117" i="9"/>
  <c r="D117" i="9" l="1"/>
  <c r="G117" i="9" s="1"/>
  <c r="H117" i="9" s="1"/>
  <c r="J117" i="9" s="1"/>
  <c r="I117" i="9" l="1"/>
  <c r="B118" i="9" s="1"/>
  <c r="K117" i="9" l="1"/>
  <c r="C118" i="9"/>
  <c r="L117" i="9" l="1"/>
  <c r="M117" i="9" s="1"/>
  <c r="N117" i="9" s="1"/>
  <c r="O117" i="9"/>
  <c r="D118" i="9"/>
  <c r="G118" i="9" s="1"/>
  <c r="H118" i="9" s="1"/>
  <c r="J118" i="9" s="1"/>
  <c r="I118" i="9" l="1"/>
  <c r="B119" i="9" l="1"/>
  <c r="K118" i="9"/>
  <c r="O118" i="9" s="1"/>
  <c r="L118" i="9" l="1"/>
  <c r="M118" i="9" s="1"/>
  <c r="N118" i="9" s="1"/>
  <c r="C119" i="9"/>
  <c r="D119" i="9" l="1"/>
  <c r="G119" i="9" s="1"/>
  <c r="H119" i="9" s="1"/>
  <c r="J119" i="9" s="1"/>
  <c r="I119" i="9" l="1"/>
  <c r="B120" i="9" l="1"/>
  <c r="K119" i="9"/>
  <c r="O119" i="9" s="1"/>
  <c r="L119" i="9" l="1"/>
  <c r="M119" i="9" s="1"/>
  <c r="N119" i="9" s="1"/>
  <c r="C120" i="9"/>
  <c r="D120" i="9" l="1"/>
  <c r="G120" i="9" s="1"/>
  <c r="H120" i="9" s="1"/>
  <c r="I120" i="9" s="1"/>
  <c r="B121" i="9" l="1"/>
  <c r="K120" i="9"/>
  <c r="O120" i="9" s="1"/>
  <c r="J120" i="9"/>
  <c r="L120" i="9" l="1"/>
  <c r="M120" i="9" s="1"/>
  <c r="N120" i="9" s="1"/>
  <c r="C121" i="9"/>
  <c r="D121" i="9" l="1"/>
  <c r="G121" i="9" s="1"/>
  <c r="H121" i="9" s="1"/>
  <c r="J121" i="9" s="1"/>
  <c r="I121" i="9" l="1"/>
  <c r="B122" i="9" l="1"/>
  <c r="K121" i="9"/>
  <c r="O121" i="9" s="1"/>
  <c r="L121" i="9" l="1"/>
  <c r="M121" i="9" s="1"/>
  <c r="N121" i="9" s="1"/>
  <c r="C122" i="9"/>
  <c r="D122" i="9" l="1"/>
  <c r="G122" i="9" s="1"/>
  <c r="H122" i="9" s="1"/>
  <c r="J122" i="9" s="1"/>
  <c r="I122" i="9" l="1"/>
  <c r="B123" i="9" l="1"/>
  <c r="K122" i="9"/>
  <c r="O122" i="9" s="1"/>
  <c r="L122" i="9" l="1"/>
  <c r="M122" i="9" s="1"/>
  <c r="N122" i="9" s="1"/>
  <c r="C123" i="9"/>
  <c r="D123" i="9" l="1"/>
  <c r="G123" i="9" s="1"/>
  <c r="H123" i="9" s="1"/>
  <c r="I123" i="9" s="1"/>
  <c r="B124" i="9" l="1"/>
  <c r="K123" i="9"/>
  <c r="O123" i="9" s="1"/>
  <c r="J123" i="9"/>
  <c r="L123" i="9" l="1"/>
  <c r="M123" i="9" s="1"/>
  <c r="N123" i="9" s="1"/>
  <c r="C124" i="9"/>
  <c r="D124" i="9" l="1"/>
  <c r="G124" i="9" s="1"/>
  <c r="H124" i="9" s="1"/>
  <c r="J124" i="9" s="1"/>
  <c r="I124" i="9" l="1"/>
  <c r="B125" i="9" l="1"/>
  <c r="K124" i="9"/>
  <c r="O124" i="9" s="1"/>
  <c r="L124" i="9" l="1"/>
  <c r="M124" i="9" s="1"/>
  <c r="N124" i="9" s="1"/>
  <c r="C125" i="9"/>
  <c r="D125" i="9" l="1"/>
  <c r="G125" i="9" s="1"/>
  <c r="H125" i="9" s="1"/>
  <c r="J125" i="9" s="1"/>
  <c r="I125" i="9" l="1"/>
  <c r="B126" i="9" l="1"/>
  <c r="K125" i="9"/>
  <c r="O125" i="9" s="1"/>
  <c r="L125" i="9" l="1"/>
  <c r="M125" i="9" s="1"/>
  <c r="N125" i="9" s="1"/>
  <c r="C126" i="9"/>
  <c r="D126" i="9" l="1"/>
  <c r="G126" i="9" s="1"/>
  <c r="H126" i="9" s="1"/>
  <c r="J126" i="9" s="1"/>
  <c r="I126" i="9" l="1"/>
  <c r="B127" i="9" l="1"/>
  <c r="K126" i="9"/>
  <c r="O126" i="9" s="1"/>
  <c r="L126" i="9" l="1"/>
  <c r="M126" i="9" s="1"/>
  <c r="N126" i="9" s="1"/>
  <c r="C127" i="9"/>
  <c r="D127" i="9" l="1"/>
  <c r="G127" i="9" s="1"/>
  <c r="H127" i="9" s="1"/>
  <c r="J127" i="9" s="1"/>
  <c r="I127" i="9" l="1"/>
  <c r="B128" i="9" l="1"/>
  <c r="K127" i="9"/>
  <c r="O127" i="9" s="1"/>
  <c r="L127" i="9" l="1"/>
  <c r="M127" i="9" s="1"/>
  <c r="N127" i="9" s="1"/>
  <c r="C128" i="9"/>
  <c r="D128" i="9" l="1"/>
  <c r="G128" i="9" s="1"/>
  <c r="H128" i="9" s="1"/>
  <c r="I128" i="9" s="1"/>
  <c r="B129" i="9" l="1"/>
  <c r="K128" i="9"/>
  <c r="O128" i="9" s="1"/>
  <c r="J128" i="9"/>
  <c r="L128" i="9" l="1"/>
  <c r="M128" i="9" s="1"/>
  <c r="N128" i="9" s="1"/>
  <c r="C129" i="9"/>
  <c r="D129" i="9" l="1"/>
  <c r="G129" i="9" s="1"/>
  <c r="H129" i="9" s="1"/>
  <c r="J129" i="9" s="1"/>
  <c r="I129" i="9" l="1"/>
  <c r="B130" i="9" l="1"/>
  <c r="K129" i="9"/>
  <c r="O129" i="9" s="1"/>
  <c r="L129" i="9" l="1"/>
  <c r="M129" i="9" s="1"/>
  <c r="N129" i="9" s="1"/>
  <c r="C130" i="9"/>
  <c r="D130" i="9" l="1"/>
  <c r="G130" i="9" s="1"/>
  <c r="H130" i="9" s="1"/>
  <c r="J130" i="9" s="1"/>
  <c r="I130" i="9" l="1"/>
  <c r="B131" i="9" l="1"/>
  <c r="K130" i="9"/>
  <c r="O130" i="9" s="1"/>
  <c r="L130" i="9" l="1"/>
  <c r="M130" i="9" s="1"/>
  <c r="N130" i="9" s="1"/>
  <c r="C131" i="9"/>
  <c r="D131" i="9" l="1"/>
  <c r="G131" i="9" s="1"/>
  <c r="H131" i="9" s="1"/>
  <c r="I131" i="9" s="1"/>
  <c r="B132" i="9" l="1"/>
  <c r="K131" i="9"/>
  <c r="O131" i="9" s="1"/>
  <c r="J131" i="9"/>
  <c r="L131" i="9" l="1"/>
  <c r="M131" i="9" s="1"/>
  <c r="N131" i="9" s="1"/>
  <c r="C132" i="9"/>
  <c r="D132" i="9" l="1"/>
  <c r="G132" i="9" s="1"/>
  <c r="H132" i="9" s="1"/>
  <c r="J132" i="9" s="1"/>
  <c r="I132" i="9" l="1"/>
  <c r="B133" i="9" s="1"/>
  <c r="K132" i="9" l="1"/>
  <c r="O132" i="9" s="1"/>
  <c r="C133" i="9"/>
  <c r="L132" i="9" l="1"/>
  <c r="M132" i="9" s="1"/>
  <c r="N132" i="9" s="1"/>
  <c r="D133" i="9"/>
  <c r="G133" i="9" s="1"/>
  <c r="H133" i="9" s="1"/>
  <c r="J133" i="9" s="1"/>
  <c r="I133" i="9" l="1"/>
  <c r="B134" i="9" l="1"/>
  <c r="K133" i="9"/>
  <c r="O133" i="9" s="1"/>
  <c r="L133" i="9" l="1"/>
  <c r="M133" i="9" s="1"/>
  <c r="N133" i="9" s="1"/>
  <c r="C134" i="9"/>
  <c r="D134" i="9" l="1"/>
  <c r="G134" i="9" s="1"/>
  <c r="H134" i="9" s="1"/>
  <c r="J134" i="9" s="1"/>
  <c r="I134" i="9" l="1"/>
  <c r="B135" i="9" s="1"/>
  <c r="K134" i="9" l="1"/>
  <c r="O134" i="9" s="1"/>
  <c r="C135" i="9"/>
  <c r="L134" i="9" l="1"/>
  <c r="M134" i="9" s="1"/>
  <c r="N134" i="9" s="1"/>
  <c r="D135" i="9"/>
  <c r="G135" i="9" s="1"/>
  <c r="H135" i="9" s="1"/>
  <c r="J135" i="9" s="1"/>
  <c r="I135" i="9" l="1"/>
  <c r="B136" i="9" l="1"/>
  <c r="K135" i="9"/>
  <c r="O135" i="9" s="1"/>
  <c r="L135" i="9" l="1"/>
  <c r="M135" i="9" s="1"/>
  <c r="N135" i="9" s="1"/>
  <c r="C136" i="9"/>
  <c r="D136" i="9" l="1"/>
  <c r="G136" i="9" s="1"/>
  <c r="H136" i="9" s="1"/>
  <c r="I136" i="9" s="1"/>
  <c r="B137" i="9" l="1"/>
  <c r="K136" i="9"/>
  <c r="O136" i="9" s="1"/>
  <c r="J136" i="9"/>
  <c r="L136" i="9" l="1"/>
  <c r="M136" i="9" s="1"/>
  <c r="N136" i="9" s="1"/>
  <c r="C137" i="9"/>
  <c r="D137" i="9" l="1"/>
  <c r="G137" i="9" s="1"/>
  <c r="H137" i="9" s="1"/>
  <c r="J137" i="9" s="1"/>
  <c r="I137" i="9" l="1"/>
  <c r="B138" i="9" s="1"/>
  <c r="K137" i="9" l="1"/>
  <c r="O137" i="9" s="1"/>
  <c r="C138" i="9"/>
  <c r="L137" i="9" l="1"/>
  <c r="M137" i="9" s="1"/>
  <c r="N137" i="9" s="1"/>
  <c r="D138" i="9"/>
  <c r="G138" i="9" s="1"/>
  <c r="H138" i="9" s="1"/>
  <c r="J138" i="9" s="1"/>
  <c r="I138" i="9" l="1"/>
  <c r="B139" i="9" l="1"/>
  <c r="K138" i="9"/>
  <c r="O138" i="9" s="1"/>
  <c r="L138" i="9" l="1"/>
  <c r="M138" i="9" s="1"/>
  <c r="N138" i="9" s="1"/>
  <c r="C139" i="9"/>
  <c r="D139" i="9" l="1"/>
  <c r="G139" i="9" s="1"/>
  <c r="H139" i="9" s="1"/>
  <c r="I139" i="9" s="1"/>
  <c r="B140" i="9" l="1"/>
  <c r="K139" i="9"/>
  <c r="O139" i="9" s="1"/>
  <c r="J139" i="9"/>
  <c r="L139" i="9" l="1"/>
  <c r="M139" i="9" s="1"/>
  <c r="N139" i="9" s="1"/>
  <c r="C140" i="9"/>
  <c r="D140" i="9" l="1"/>
  <c r="G140" i="9" s="1"/>
  <c r="H140" i="9" s="1"/>
  <c r="J140" i="9" s="1"/>
  <c r="I140" i="9" l="1"/>
  <c r="B141" i="9" l="1"/>
  <c r="K140" i="9"/>
  <c r="O140" i="9" s="1"/>
  <c r="L140" i="9" l="1"/>
  <c r="M140" i="9" s="1"/>
  <c r="N140" i="9" s="1"/>
  <c r="C141" i="9"/>
  <c r="D141" i="9" l="1"/>
  <c r="G141" i="9" s="1"/>
  <c r="H141" i="9" s="1"/>
  <c r="J141" i="9" s="1"/>
  <c r="I141" i="9" l="1"/>
  <c r="B142" i="9" l="1"/>
  <c r="K141" i="9"/>
  <c r="O141" i="9" s="1"/>
  <c r="L141" i="9" l="1"/>
  <c r="M141" i="9" s="1"/>
  <c r="N141" i="9" s="1"/>
  <c r="C142" i="9"/>
  <c r="D142" i="9" l="1"/>
  <c r="G142" i="9" s="1"/>
  <c r="H142" i="9" s="1"/>
  <c r="J142" i="9" s="1"/>
  <c r="I142" i="9" l="1"/>
  <c r="B143" i="9" s="1"/>
  <c r="K142" i="9" l="1"/>
  <c r="C143" i="9"/>
  <c r="L142" i="9" l="1"/>
  <c r="M142" i="9" s="1"/>
  <c r="N142" i="9" s="1"/>
  <c r="O142" i="9"/>
  <c r="D143" i="9"/>
  <c r="G143" i="9" s="1"/>
  <c r="H143" i="9" s="1"/>
  <c r="J143" i="9" s="1"/>
  <c r="I143" i="9" l="1"/>
  <c r="B144" i="9" s="1"/>
  <c r="K143" i="9" l="1"/>
  <c r="O143" i="9" s="1"/>
  <c r="C144" i="9"/>
  <c r="L143" i="9" l="1"/>
  <c r="M143" i="9" s="1"/>
  <c r="N143" i="9" s="1"/>
  <c r="D144" i="9"/>
  <c r="G144" i="9" s="1"/>
  <c r="H144" i="9" s="1"/>
  <c r="I144" i="9" s="1"/>
  <c r="B145" i="9" l="1"/>
  <c r="K144" i="9"/>
  <c r="O144" i="9" s="1"/>
  <c r="J144" i="9"/>
  <c r="L144" i="9" l="1"/>
  <c r="M144" i="9" s="1"/>
  <c r="N144" i="9" s="1"/>
  <c r="C145" i="9"/>
  <c r="D145" i="9" l="1"/>
  <c r="G145" i="9" s="1"/>
  <c r="H145" i="9" s="1"/>
  <c r="J145" i="9" s="1"/>
  <c r="I145" i="9" l="1"/>
  <c r="B146" i="9" l="1"/>
  <c r="K145" i="9"/>
  <c r="O145" i="9" s="1"/>
  <c r="L145" i="9" l="1"/>
  <c r="M145" i="9" s="1"/>
  <c r="N145" i="9" s="1"/>
  <c r="C146" i="9"/>
  <c r="D146" i="9" l="1"/>
  <c r="G146" i="9" s="1"/>
  <c r="H146" i="9" s="1"/>
  <c r="J146" i="9" s="1"/>
  <c r="I146" i="9" l="1"/>
  <c r="B147" i="9" l="1"/>
  <c r="K146" i="9"/>
  <c r="O146" i="9" s="1"/>
  <c r="L146" i="9" l="1"/>
  <c r="M146" i="9" s="1"/>
  <c r="N146" i="9" s="1"/>
  <c r="C147" i="9"/>
  <c r="D147" i="9" l="1"/>
  <c r="G147" i="9" s="1"/>
  <c r="H147" i="9" s="1"/>
  <c r="I147" i="9" s="1"/>
  <c r="B148" i="9" l="1"/>
  <c r="K147" i="9"/>
  <c r="O147" i="9" s="1"/>
  <c r="J147" i="9"/>
  <c r="L147" i="9" l="1"/>
  <c r="M147" i="9" s="1"/>
  <c r="N147" i="9" s="1"/>
  <c r="C148" i="9"/>
  <c r="D148" i="9" l="1"/>
  <c r="G148" i="9" s="1"/>
  <c r="H148" i="9" s="1"/>
  <c r="J148" i="9" s="1"/>
  <c r="I148" i="9" l="1"/>
  <c r="B149" i="9" l="1"/>
  <c r="K148" i="9"/>
  <c r="O148" i="9" s="1"/>
  <c r="L148" i="9" l="1"/>
  <c r="M148" i="9" s="1"/>
  <c r="N148" i="9" s="1"/>
  <c r="C149" i="9"/>
  <c r="D149" i="9" l="1"/>
  <c r="G149" i="9" s="1"/>
  <c r="H149" i="9" s="1"/>
  <c r="J149" i="9" s="1"/>
  <c r="I149" i="9" l="1"/>
  <c r="B150" i="9" s="1"/>
  <c r="K149" i="9" l="1"/>
  <c r="C150" i="9"/>
  <c r="L149" i="9" l="1"/>
  <c r="M149" i="9" s="1"/>
  <c r="N149" i="9" s="1"/>
  <c r="O149" i="9"/>
  <c r="D150" i="9"/>
  <c r="G150" i="9" s="1"/>
  <c r="H150" i="9" s="1"/>
  <c r="J150" i="9" s="1"/>
  <c r="I150" i="9" l="1"/>
  <c r="B151" i="9" s="1"/>
  <c r="K150" i="9" l="1"/>
  <c r="O150" i="9" s="1"/>
  <c r="C151" i="9"/>
  <c r="L150" i="9" l="1"/>
  <c r="M150" i="9" s="1"/>
  <c r="N150" i="9" s="1"/>
  <c r="D151" i="9"/>
  <c r="G151" i="9" s="1"/>
  <c r="H151" i="9" s="1"/>
  <c r="J151" i="9" s="1"/>
  <c r="I151" i="9" l="1"/>
  <c r="B152" i="9" l="1"/>
  <c r="K151" i="9"/>
  <c r="O151" i="9" s="1"/>
  <c r="L151" i="9" l="1"/>
  <c r="M151" i="9" s="1"/>
  <c r="N151" i="9" s="1"/>
  <c r="C152" i="9"/>
  <c r="D152" i="9" l="1"/>
  <c r="G152" i="9" s="1"/>
  <c r="H152" i="9" s="1"/>
  <c r="I152" i="9" s="1"/>
  <c r="J152" i="9" l="1"/>
  <c r="B153" i="9"/>
  <c r="K152" i="9"/>
  <c r="O152" i="9" s="1"/>
  <c r="L152" i="9" l="1"/>
  <c r="M152" i="9" s="1"/>
  <c r="N152" i="9" s="1"/>
  <c r="C153" i="9"/>
  <c r="D153" i="9" l="1"/>
  <c r="G153" i="9" s="1"/>
  <c r="H153" i="9" s="1"/>
  <c r="J153" i="9" s="1"/>
  <c r="I153" i="9" l="1"/>
  <c r="B154" i="9" s="1"/>
  <c r="K153" i="9" l="1"/>
  <c r="C154" i="9"/>
  <c r="L153" i="9" l="1"/>
  <c r="M153" i="9" s="1"/>
  <c r="N153" i="9" s="1"/>
  <c r="O153" i="9"/>
  <c r="D154" i="9"/>
  <c r="G154" i="9" s="1"/>
  <c r="H154" i="9" s="1"/>
  <c r="J154" i="9" s="1"/>
  <c r="I154" i="9" l="1"/>
  <c r="B155" i="9" l="1"/>
  <c r="K154" i="9"/>
  <c r="O154" i="9" s="1"/>
  <c r="L154" i="9" l="1"/>
  <c r="M154" i="9" s="1"/>
  <c r="N154" i="9" s="1"/>
  <c r="C155" i="9"/>
  <c r="D155" i="9" l="1"/>
  <c r="G155" i="9" s="1"/>
  <c r="H155" i="9" s="1"/>
  <c r="I155" i="9" s="1"/>
  <c r="B156" i="9" l="1"/>
  <c r="K155" i="9"/>
  <c r="O155" i="9" s="1"/>
  <c r="J155" i="9"/>
  <c r="L155" i="9" l="1"/>
  <c r="M155" i="9" s="1"/>
  <c r="N155" i="9" s="1"/>
  <c r="C156" i="9"/>
  <c r="D156" i="9" l="1"/>
  <c r="G156" i="9" s="1"/>
  <c r="H156" i="9" s="1"/>
  <c r="J156" i="9" s="1"/>
  <c r="I156" i="9" l="1"/>
  <c r="B157" i="9" l="1"/>
  <c r="K156" i="9"/>
  <c r="O156" i="9" s="1"/>
  <c r="L156" i="9" l="1"/>
  <c r="M156" i="9" s="1"/>
  <c r="N156" i="9" s="1"/>
  <c r="C157" i="9"/>
  <c r="D157" i="9" l="1"/>
  <c r="G157" i="9" s="1"/>
  <c r="H157" i="9" s="1"/>
  <c r="J157" i="9" s="1"/>
  <c r="I157" i="9" l="1"/>
  <c r="B158" i="9" l="1"/>
  <c r="K157" i="9"/>
  <c r="O157" i="9" s="1"/>
  <c r="L157" i="9" l="1"/>
  <c r="M157" i="9" s="1"/>
  <c r="N157" i="9" s="1"/>
  <c r="C158" i="9"/>
  <c r="D158" i="9" l="1"/>
  <c r="G158" i="9" s="1"/>
  <c r="H158" i="9" s="1"/>
  <c r="J158" i="9" s="1"/>
  <c r="I158" i="9" l="1"/>
  <c r="B159" i="9" s="1"/>
  <c r="K158" i="9" l="1"/>
  <c r="O158" i="9" s="1"/>
  <c r="C159" i="9"/>
  <c r="L158" i="9" l="1"/>
  <c r="M158" i="9" s="1"/>
  <c r="N158" i="9" s="1"/>
  <c r="D159" i="9"/>
  <c r="G159" i="9" s="1"/>
  <c r="H159" i="9" s="1"/>
  <c r="J159" i="9" s="1"/>
  <c r="I159" i="9" l="1"/>
  <c r="B160" i="9" l="1"/>
  <c r="K159" i="9"/>
  <c r="O159" i="9" s="1"/>
  <c r="L159" i="9" l="1"/>
  <c r="M159" i="9" s="1"/>
  <c r="N159" i="9" s="1"/>
  <c r="C160" i="9"/>
  <c r="D160" i="9" l="1"/>
  <c r="G160" i="9" s="1"/>
  <c r="H160" i="9" s="1"/>
  <c r="I160" i="9" s="1"/>
  <c r="B161" i="9" l="1"/>
  <c r="K160" i="9"/>
  <c r="O160" i="9" s="1"/>
  <c r="J160" i="9"/>
  <c r="L160" i="9" l="1"/>
  <c r="M160" i="9" s="1"/>
  <c r="N160" i="9" s="1"/>
  <c r="C161" i="9"/>
  <c r="D161" i="9" l="1"/>
  <c r="G161" i="9" s="1"/>
  <c r="H161" i="9" s="1"/>
  <c r="J161" i="9" s="1"/>
  <c r="I161" i="9" l="1"/>
  <c r="B162" i="9" l="1"/>
  <c r="K161" i="9"/>
  <c r="O161" i="9" s="1"/>
  <c r="L161" i="9" l="1"/>
  <c r="M161" i="9" s="1"/>
  <c r="N161" i="9" s="1"/>
  <c r="C162" i="9"/>
  <c r="D162" i="9" l="1"/>
  <c r="G162" i="9" s="1"/>
  <c r="H162" i="9" s="1"/>
  <c r="J162" i="9" s="1"/>
  <c r="I162" i="9" l="1"/>
  <c r="B163" i="9" l="1"/>
  <c r="K162" i="9"/>
  <c r="O162" i="9" s="1"/>
  <c r="L162" i="9" l="1"/>
  <c r="M162" i="9" s="1"/>
  <c r="N162" i="9" s="1"/>
  <c r="C163" i="9"/>
  <c r="D163" i="9" l="1"/>
  <c r="G163" i="9" s="1"/>
  <c r="H163" i="9" s="1"/>
  <c r="I163" i="9" s="1"/>
  <c r="B164" i="9" l="1"/>
  <c r="K163" i="9"/>
  <c r="O163" i="9" s="1"/>
  <c r="J163" i="9"/>
  <c r="L163" i="9" l="1"/>
  <c r="M163" i="9" s="1"/>
  <c r="N163" i="9" s="1"/>
  <c r="C164" i="9"/>
  <c r="D164" i="9" l="1"/>
  <c r="G164" i="9" s="1"/>
  <c r="H164" i="9" s="1"/>
  <c r="J164" i="9" s="1"/>
  <c r="I164" i="9" l="1"/>
  <c r="B165" i="9" s="1"/>
  <c r="K164" i="9" l="1"/>
  <c r="O164" i="9" s="1"/>
  <c r="C165" i="9"/>
  <c r="L164" i="9" l="1"/>
  <c r="M164" i="9" s="1"/>
  <c r="N164" i="9" s="1"/>
  <c r="D165" i="9"/>
  <c r="G165" i="9" s="1"/>
  <c r="H165" i="9" s="1"/>
  <c r="J165" i="9" s="1"/>
  <c r="I165" i="9" l="1"/>
  <c r="B166" i="9" l="1"/>
  <c r="K165" i="9"/>
  <c r="O165" i="9" s="1"/>
  <c r="L165" i="9" l="1"/>
  <c r="M165" i="9" s="1"/>
  <c r="N165" i="9" s="1"/>
  <c r="C166" i="9"/>
  <c r="D166" i="9" l="1"/>
  <c r="G166" i="9" s="1"/>
  <c r="H166" i="9" s="1"/>
  <c r="J166" i="9" s="1"/>
  <c r="I166" i="9" l="1"/>
  <c r="B167" i="9" s="1"/>
  <c r="K166" i="9" l="1"/>
  <c r="O166" i="9" s="1"/>
  <c r="C167" i="9"/>
  <c r="L166" i="9" l="1"/>
  <c r="M166" i="9" s="1"/>
  <c r="N166" i="9" s="1"/>
  <c r="D167" i="9"/>
  <c r="G167" i="9" s="1"/>
  <c r="H167" i="9" s="1"/>
  <c r="J167" i="9" s="1"/>
  <c r="I167" i="9" l="1"/>
  <c r="B168" i="9" l="1"/>
  <c r="K167" i="9"/>
  <c r="O167" i="9" s="1"/>
  <c r="L167" i="9" l="1"/>
  <c r="M167" i="9" s="1"/>
  <c r="N167" i="9" s="1"/>
  <c r="C168" i="9"/>
  <c r="D168" i="9" l="1"/>
  <c r="G168" i="9" s="1"/>
  <c r="H168" i="9" s="1"/>
  <c r="I168" i="9" s="1"/>
  <c r="B169" i="9" l="1"/>
  <c r="K168" i="9"/>
  <c r="O168" i="9" s="1"/>
  <c r="J168" i="9"/>
  <c r="L168" i="9" l="1"/>
  <c r="M168" i="9" s="1"/>
  <c r="N168" i="9" s="1"/>
  <c r="C169" i="9"/>
  <c r="D169" i="9" l="1"/>
  <c r="G169" i="9" s="1"/>
  <c r="H169" i="9" s="1"/>
  <c r="J169" i="9" s="1"/>
  <c r="I169" i="9" l="1"/>
  <c r="B170" i="9" s="1"/>
  <c r="K169" i="9" l="1"/>
  <c r="O169" i="9" s="1"/>
  <c r="C170" i="9"/>
  <c r="L169" i="9" l="1"/>
  <c r="M169" i="9" s="1"/>
  <c r="N169" i="9" s="1"/>
  <c r="D170" i="9"/>
  <c r="G170" i="9" s="1"/>
  <c r="H170" i="9" s="1"/>
  <c r="J170" i="9" s="1"/>
  <c r="I170" i="9" l="1"/>
  <c r="B171" i="9" l="1"/>
  <c r="K170" i="9"/>
  <c r="O170" i="9" s="1"/>
  <c r="L170" i="9" l="1"/>
  <c r="M170" i="9" s="1"/>
  <c r="N170" i="9" s="1"/>
  <c r="C171" i="9"/>
  <c r="D171" i="9" l="1"/>
  <c r="G171" i="9" s="1"/>
  <c r="H171" i="9" s="1"/>
  <c r="I171" i="9" s="1"/>
  <c r="B172" i="9" l="1"/>
  <c r="K171" i="9"/>
  <c r="O171" i="9" s="1"/>
  <c r="J171" i="9"/>
  <c r="L171" i="9" l="1"/>
  <c r="M171" i="9" s="1"/>
  <c r="N171" i="9" s="1"/>
  <c r="C172" i="9"/>
  <c r="D172" i="9" l="1"/>
  <c r="G172" i="9" s="1"/>
  <c r="H172" i="9" s="1"/>
  <c r="J172" i="9" s="1"/>
  <c r="I172" i="9" l="1"/>
  <c r="B173" i="9" l="1"/>
  <c r="K172" i="9"/>
  <c r="O172" i="9" s="1"/>
  <c r="L172" i="9" l="1"/>
  <c r="M172" i="9" s="1"/>
  <c r="N172" i="9" s="1"/>
  <c r="C173" i="9"/>
  <c r="D173" i="9" l="1"/>
  <c r="G173" i="9" s="1"/>
  <c r="H173" i="9" s="1"/>
  <c r="J173" i="9" s="1"/>
  <c r="I173" i="9" l="1"/>
  <c r="B174" i="9" l="1"/>
  <c r="K173" i="9"/>
  <c r="O173" i="9" s="1"/>
  <c r="L173" i="9" l="1"/>
  <c r="M173" i="9" s="1"/>
  <c r="N173" i="9" s="1"/>
  <c r="C174" i="9"/>
  <c r="D174" i="9" l="1"/>
  <c r="G174" i="9" s="1"/>
  <c r="H174" i="9" s="1"/>
  <c r="J174" i="9" s="1"/>
  <c r="I174" i="9" l="1"/>
  <c r="B175" i="9" s="1"/>
  <c r="K174" i="9" l="1"/>
  <c r="O174" i="9" s="1"/>
  <c r="C175" i="9"/>
  <c r="L174" i="9" l="1"/>
  <c r="M174" i="9" s="1"/>
  <c r="N174" i="9" s="1"/>
  <c r="D175" i="9"/>
  <c r="G175" i="9" s="1"/>
  <c r="H175" i="9" s="1"/>
  <c r="J175" i="9" s="1"/>
  <c r="I175" i="9" l="1"/>
  <c r="B176" i="9" s="1"/>
  <c r="K175" i="9" l="1"/>
  <c r="O175" i="9" s="1"/>
  <c r="C176" i="9"/>
  <c r="L175" i="9" l="1"/>
  <c r="M175" i="9" s="1"/>
  <c r="N175" i="9" s="1"/>
  <c r="D176" i="9"/>
  <c r="G176" i="9" s="1"/>
  <c r="H176" i="9" s="1"/>
  <c r="I176" i="9" s="1"/>
  <c r="B177" i="9" l="1"/>
  <c r="K176" i="9"/>
  <c r="O176" i="9" s="1"/>
  <c r="J176" i="9"/>
  <c r="L176" i="9" l="1"/>
  <c r="M176" i="9" s="1"/>
  <c r="N176" i="9" s="1"/>
  <c r="C177" i="9"/>
  <c r="D177" i="9" l="1"/>
  <c r="G177" i="9" s="1"/>
  <c r="H177" i="9" s="1"/>
  <c r="J177" i="9" s="1"/>
  <c r="I177" i="9" l="1"/>
  <c r="B178" i="9" s="1"/>
  <c r="K177" i="9" l="1"/>
  <c r="O177" i="9" s="1"/>
  <c r="C178" i="9"/>
  <c r="L177" i="9" l="1"/>
  <c r="M177" i="9" s="1"/>
  <c r="N177" i="9" s="1"/>
  <c r="D178" i="9"/>
  <c r="G178" i="9" s="1"/>
  <c r="H178" i="9" s="1"/>
  <c r="J178" i="9" s="1"/>
  <c r="I178" i="9" l="1"/>
  <c r="B179" i="9" l="1"/>
  <c r="K178" i="9"/>
  <c r="O178" i="9" s="1"/>
  <c r="L178" i="9" l="1"/>
  <c r="M178" i="9" s="1"/>
  <c r="N178" i="9" s="1"/>
  <c r="C179" i="9"/>
  <c r="D179" i="9" l="1"/>
  <c r="G179" i="9" s="1"/>
  <c r="H179" i="9" s="1"/>
  <c r="I179" i="9" s="1"/>
  <c r="B180" i="9" l="1"/>
  <c r="K179" i="9"/>
  <c r="O179" i="9" s="1"/>
  <c r="J179" i="9"/>
  <c r="L179" i="9" l="1"/>
  <c r="M179" i="9" s="1"/>
  <c r="N179" i="9" s="1"/>
  <c r="C180" i="9"/>
  <c r="D180" i="9" l="1"/>
  <c r="G180" i="9" s="1"/>
  <c r="H180" i="9" s="1"/>
  <c r="J180" i="9" s="1"/>
  <c r="I180" i="9" l="1"/>
  <c r="B181" i="9" l="1"/>
  <c r="K180" i="9"/>
  <c r="O180" i="9" s="1"/>
  <c r="L180" i="9" l="1"/>
  <c r="M180" i="9" s="1"/>
  <c r="N180" i="9" s="1"/>
  <c r="C181" i="9"/>
  <c r="D181" i="9" l="1"/>
  <c r="G181" i="9" s="1"/>
  <c r="H181" i="9" s="1"/>
  <c r="J181" i="9" s="1"/>
  <c r="I181" i="9" l="1"/>
  <c r="B182" i="9" s="1"/>
  <c r="K181" i="9" l="1"/>
  <c r="O181" i="9" s="1"/>
  <c r="C182" i="9"/>
  <c r="L181" i="9" l="1"/>
  <c r="M181" i="9" s="1"/>
  <c r="N181" i="9" s="1"/>
  <c r="D182" i="9"/>
  <c r="G182" i="9" s="1"/>
  <c r="H182" i="9" s="1"/>
  <c r="J182" i="9" s="1"/>
  <c r="I182" i="9" l="1"/>
  <c r="B183" i="9" s="1"/>
  <c r="K182" i="9" l="1"/>
  <c r="O182" i="9" s="1"/>
  <c r="C183" i="9"/>
  <c r="L182" i="9" l="1"/>
  <c r="M182" i="9" s="1"/>
  <c r="N182" i="9" s="1"/>
  <c r="D183" i="9"/>
  <c r="G183" i="9" s="1"/>
  <c r="H183" i="9" s="1"/>
  <c r="J183" i="9" s="1"/>
  <c r="I183" i="9" l="1"/>
  <c r="B184" i="9" l="1"/>
  <c r="K183" i="9"/>
  <c r="O183" i="9" s="1"/>
  <c r="L183" i="9" l="1"/>
  <c r="M183" i="9" s="1"/>
  <c r="N183" i="9" s="1"/>
  <c r="C184" i="9"/>
  <c r="D184" i="9" l="1"/>
  <c r="G184" i="9" s="1"/>
  <c r="H184" i="9" s="1"/>
  <c r="I184" i="9" s="1"/>
  <c r="J184" i="9" l="1"/>
  <c r="B185" i="9"/>
  <c r="K184" i="9"/>
  <c r="O184" i="9" s="1"/>
  <c r="L184" i="9" l="1"/>
  <c r="M184" i="9" s="1"/>
  <c r="N184" i="9" s="1"/>
  <c r="C185" i="9"/>
  <c r="D185" i="9" l="1"/>
  <c r="G185" i="9" s="1"/>
  <c r="H185" i="9" s="1"/>
  <c r="J185" i="9" s="1"/>
  <c r="I185" i="9" l="1"/>
  <c r="B186" i="9" s="1"/>
  <c r="K185" i="9" l="1"/>
  <c r="O185" i="9" s="1"/>
  <c r="C186" i="9"/>
  <c r="L185" i="9" l="1"/>
  <c r="M185" i="9" s="1"/>
  <c r="N185" i="9" s="1"/>
  <c r="D186" i="9"/>
  <c r="G186" i="9" s="1"/>
  <c r="H186" i="9" s="1"/>
  <c r="J186" i="9" s="1"/>
  <c r="I186" i="9" l="1"/>
  <c r="B187" i="9" l="1"/>
  <c r="K186" i="9"/>
  <c r="O186" i="9" s="1"/>
  <c r="L186" i="9" l="1"/>
  <c r="M186" i="9" s="1"/>
  <c r="N186" i="9" s="1"/>
  <c r="C187" i="9"/>
  <c r="D187" i="9" l="1"/>
  <c r="G187" i="9" s="1"/>
  <c r="H187" i="9" s="1"/>
  <c r="I187" i="9" s="1"/>
  <c r="J187" i="9" l="1"/>
  <c r="B188" i="9"/>
  <c r="K187" i="9"/>
  <c r="O187" i="9" s="1"/>
  <c r="L187" i="9" l="1"/>
  <c r="M187" i="9" s="1"/>
  <c r="N187" i="9" s="1"/>
  <c r="C188" i="9"/>
  <c r="D188" i="9" l="1"/>
  <c r="G188" i="9" s="1"/>
  <c r="H188" i="9" s="1"/>
  <c r="J188" i="9" s="1"/>
  <c r="I188" i="9" l="1"/>
  <c r="B189" i="9" l="1"/>
  <c r="K188" i="9"/>
  <c r="O188" i="9" s="1"/>
  <c r="L188" i="9" l="1"/>
  <c r="M188" i="9" s="1"/>
  <c r="N188" i="9" s="1"/>
  <c r="C189" i="9"/>
  <c r="D189" i="9" l="1"/>
  <c r="G189" i="9" s="1"/>
  <c r="H189" i="9" s="1"/>
  <c r="J189" i="9" s="1"/>
  <c r="I189" i="9" l="1"/>
  <c r="B190" i="9" l="1"/>
  <c r="K189" i="9"/>
  <c r="O189" i="9" s="1"/>
  <c r="L189" i="9" l="1"/>
  <c r="M189" i="9" s="1"/>
  <c r="N189" i="9" s="1"/>
  <c r="C190" i="9"/>
  <c r="D190" i="9" l="1"/>
  <c r="G190" i="9" s="1"/>
  <c r="H190" i="9" s="1"/>
  <c r="J190" i="9" s="1"/>
  <c r="I190" i="9" l="1"/>
  <c r="B191" i="9" l="1"/>
  <c r="K190" i="9"/>
  <c r="O190" i="9" s="1"/>
  <c r="L190" i="9" l="1"/>
  <c r="M190" i="9" s="1"/>
  <c r="N190" i="9" s="1"/>
  <c r="C191" i="9"/>
  <c r="D191" i="9" l="1"/>
  <c r="G191" i="9" s="1"/>
  <c r="H191" i="9" s="1"/>
  <c r="J191" i="9" s="1"/>
  <c r="I191" i="9" l="1"/>
  <c r="B192" i="9" l="1"/>
  <c r="K191" i="9"/>
  <c r="O191" i="9" s="1"/>
  <c r="L191" i="9" l="1"/>
  <c r="M191" i="9" s="1"/>
  <c r="N191" i="9" s="1"/>
  <c r="C192" i="9"/>
  <c r="D192" i="9" l="1"/>
  <c r="G192" i="9" s="1"/>
  <c r="H192" i="9" s="1"/>
  <c r="I192" i="9" s="1"/>
  <c r="B193" i="9" l="1"/>
  <c r="K192" i="9"/>
  <c r="O192" i="9" s="1"/>
  <c r="J192" i="9"/>
  <c r="L192" i="9" l="1"/>
  <c r="M192" i="9" s="1"/>
  <c r="N192" i="9" s="1"/>
  <c r="C193" i="9"/>
  <c r="D193" i="9" l="1"/>
  <c r="G193" i="9" s="1"/>
  <c r="H193" i="9" s="1"/>
  <c r="J193" i="9" s="1"/>
  <c r="I193" i="9" l="1"/>
  <c r="B194" i="9" l="1"/>
  <c r="K193" i="9"/>
  <c r="O193" i="9" s="1"/>
  <c r="L193" i="9" l="1"/>
  <c r="M193" i="9" s="1"/>
  <c r="N193" i="9" s="1"/>
  <c r="C194" i="9"/>
  <c r="D194" i="9" l="1"/>
  <c r="G194" i="9" s="1"/>
  <c r="H194" i="9" s="1"/>
  <c r="J194" i="9" s="1"/>
  <c r="I194" i="9" l="1"/>
  <c r="B195" i="9" l="1"/>
  <c r="K194" i="9"/>
  <c r="O194" i="9" s="1"/>
  <c r="L194" i="9" l="1"/>
  <c r="M194" i="9" s="1"/>
  <c r="N194" i="9" s="1"/>
  <c r="C195" i="9"/>
  <c r="D195" i="9" l="1"/>
  <c r="G195" i="9" s="1"/>
  <c r="H195" i="9" s="1"/>
  <c r="I195" i="9" s="1"/>
  <c r="B196" i="9" l="1"/>
  <c r="K195" i="9"/>
  <c r="O195" i="9" s="1"/>
  <c r="J195" i="9"/>
  <c r="L195" i="9" l="1"/>
  <c r="M195" i="9" s="1"/>
  <c r="N195" i="9" s="1"/>
  <c r="C196" i="9"/>
  <c r="D196" i="9" l="1"/>
  <c r="G196" i="9" s="1"/>
  <c r="H196" i="9" s="1"/>
  <c r="J196" i="9" s="1"/>
  <c r="I196" i="9" l="1"/>
  <c r="B197" i="9" l="1"/>
  <c r="K196" i="9"/>
  <c r="O196" i="9" s="1"/>
  <c r="L196" i="9" l="1"/>
  <c r="M196" i="9" s="1"/>
  <c r="N196" i="9" s="1"/>
  <c r="C197" i="9"/>
  <c r="D197" i="9" l="1"/>
  <c r="G197" i="9" s="1"/>
  <c r="H197" i="9" s="1"/>
  <c r="J197" i="9" s="1"/>
  <c r="I197" i="9" l="1"/>
  <c r="B198" i="9" l="1"/>
  <c r="K197" i="9"/>
  <c r="O197" i="9" s="1"/>
  <c r="L197" i="9" l="1"/>
  <c r="M197" i="9" s="1"/>
  <c r="N197" i="9" s="1"/>
  <c r="C198" i="9"/>
  <c r="D198" i="9" l="1"/>
  <c r="G198" i="9" s="1"/>
  <c r="H198" i="9" s="1"/>
  <c r="J198" i="9" s="1"/>
  <c r="I198" i="9" l="1"/>
  <c r="B199" i="9" l="1"/>
  <c r="K198" i="9"/>
  <c r="O198" i="9" s="1"/>
  <c r="L198" i="9" l="1"/>
  <c r="M198" i="9" s="1"/>
  <c r="N198" i="9" s="1"/>
  <c r="C199" i="9"/>
  <c r="D199" i="9" l="1"/>
  <c r="G199" i="9" s="1"/>
  <c r="H199" i="9" s="1"/>
  <c r="J199" i="9" s="1"/>
  <c r="I199" i="9" l="1"/>
  <c r="B200" i="9" l="1"/>
  <c r="K199" i="9"/>
  <c r="O199" i="9" s="1"/>
  <c r="L199" i="9" l="1"/>
  <c r="M199" i="9" s="1"/>
  <c r="N199" i="9" s="1"/>
  <c r="C200" i="9"/>
  <c r="D200" i="9" l="1"/>
  <c r="G200" i="9" s="1"/>
  <c r="H200" i="9" s="1"/>
  <c r="I200" i="9" s="1"/>
  <c r="B201" i="9" l="1"/>
  <c r="K200" i="9"/>
  <c r="O200" i="9" s="1"/>
  <c r="J200" i="9"/>
  <c r="L200" i="9" l="1"/>
  <c r="M200" i="9" s="1"/>
  <c r="N200" i="9" s="1"/>
  <c r="C201" i="9"/>
  <c r="D201" i="9" l="1"/>
  <c r="G201" i="9" s="1"/>
  <c r="H201" i="9" s="1"/>
  <c r="J201" i="9" s="1"/>
  <c r="I201" i="9" l="1"/>
  <c r="B202" i="9" s="1"/>
  <c r="K201" i="9" l="1"/>
  <c r="O201" i="9" s="1"/>
  <c r="C202" i="9"/>
  <c r="L201" i="9" l="1"/>
  <c r="M201" i="9" s="1"/>
  <c r="N201" i="9" s="1"/>
  <c r="D202" i="9"/>
  <c r="G202" i="9" s="1"/>
  <c r="H202" i="9" s="1"/>
  <c r="J202" i="9" s="1"/>
  <c r="I202" i="9" l="1"/>
  <c r="B203" i="9" l="1"/>
  <c r="K202" i="9"/>
  <c r="O202" i="9" s="1"/>
  <c r="L202" i="9" l="1"/>
  <c r="M202" i="9" s="1"/>
  <c r="N202" i="9" s="1"/>
  <c r="C203" i="9"/>
  <c r="D203" i="9" l="1"/>
  <c r="G203" i="9" s="1"/>
  <c r="H203" i="9" s="1"/>
  <c r="I203" i="9" s="1"/>
  <c r="B204" i="9" l="1"/>
  <c r="K203" i="9"/>
  <c r="O203" i="9" s="1"/>
  <c r="J203" i="9"/>
  <c r="L203" i="9" l="1"/>
  <c r="M203" i="9" s="1"/>
  <c r="N203" i="9" s="1"/>
  <c r="C204" i="9"/>
  <c r="D204" i="9" l="1"/>
  <c r="G204" i="9" s="1"/>
  <c r="H204" i="9" s="1"/>
  <c r="J204" i="9" s="1"/>
  <c r="I204" i="9" l="1"/>
  <c r="B205" i="9" s="1"/>
  <c r="K204" i="9" l="1"/>
  <c r="O204" i="9" s="1"/>
  <c r="C205" i="9"/>
  <c r="L204" i="9" l="1"/>
  <c r="M204" i="9" s="1"/>
  <c r="N204" i="9" s="1"/>
  <c r="D205" i="9"/>
  <c r="G205" i="9" s="1"/>
  <c r="H205" i="9" s="1"/>
  <c r="J205" i="9" s="1"/>
  <c r="I205" i="9" l="1"/>
  <c r="B206" i="9" l="1"/>
  <c r="K205" i="9"/>
  <c r="O205" i="9" s="1"/>
  <c r="L205" i="9" l="1"/>
  <c r="M205" i="9" s="1"/>
  <c r="N205" i="9" s="1"/>
  <c r="C206" i="9"/>
  <c r="D206" i="9" l="1"/>
  <c r="G206" i="9" s="1"/>
  <c r="H206" i="9" s="1"/>
  <c r="J206" i="9" s="1"/>
  <c r="I206" i="9" l="1"/>
  <c r="B207" i="9" s="1"/>
  <c r="K206" i="9" l="1"/>
  <c r="O206" i="9" s="1"/>
  <c r="C207" i="9"/>
  <c r="L206" i="9" l="1"/>
  <c r="M206" i="9" s="1"/>
  <c r="N206" i="9" s="1"/>
  <c r="D207" i="9"/>
  <c r="G207" i="9" s="1"/>
  <c r="H207" i="9" s="1"/>
  <c r="J207" i="9" s="1"/>
  <c r="I207" i="9" l="1"/>
  <c r="B208" i="9" s="1"/>
  <c r="K207" i="9" l="1"/>
  <c r="O207" i="9" s="1"/>
  <c r="C208" i="9"/>
  <c r="L207" i="9" l="1"/>
  <c r="M207" i="9" s="1"/>
  <c r="N207" i="9" s="1"/>
  <c r="D208" i="9"/>
  <c r="G208" i="9" s="1"/>
  <c r="H208" i="9" s="1"/>
  <c r="I208" i="9" s="1"/>
  <c r="B209" i="9" l="1"/>
  <c r="K208" i="9"/>
  <c r="O208" i="9" s="1"/>
  <c r="J208" i="9"/>
  <c r="L208" i="9" l="1"/>
  <c r="M208" i="9" s="1"/>
  <c r="N208" i="9" s="1"/>
  <c r="C209" i="9"/>
  <c r="D209" i="9" l="1"/>
  <c r="G209" i="9" s="1"/>
  <c r="H209" i="9" s="1"/>
  <c r="J209" i="9" s="1"/>
  <c r="I209" i="9" l="1"/>
  <c r="B210" i="9" l="1"/>
  <c r="K209" i="9"/>
  <c r="O209" i="9" s="1"/>
  <c r="L209" i="9" l="1"/>
  <c r="M209" i="9" s="1"/>
  <c r="N209" i="9" s="1"/>
  <c r="C210" i="9"/>
  <c r="D210" i="9" l="1"/>
  <c r="G210" i="9" s="1"/>
  <c r="H210" i="9" s="1"/>
  <c r="J210" i="9" s="1"/>
  <c r="I210" i="9" l="1"/>
  <c r="B211" i="9" l="1"/>
  <c r="K210" i="9"/>
  <c r="O210" i="9" s="1"/>
  <c r="L210" i="9" l="1"/>
  <c r="M210" i="9" s="1"/>
  <c r="N210" i="9" s="1"/>
  <c r="C211" i="9"/>
  <c r="D211" i="9" l="1"/>
  <c r="G211" i="9" s="1"/>
  <c r="H211" i="9" s="1"/>
  <c r="I211" i="9" s="1"/>
  <c r="B212" i="9" l="1"/>
  <c r="K211" i="9"/>
  <c r="O211" i="9" s="1"/>
  <c r="J211" i="9"/>
  <c r="L211" i="9" l="1"/>
  <c r="M211" i="9" s="1"/>
  <c r="N211" i="9" s="1"/>
  <c r="C212" i="9"/>
  <c r="D212" i="9" l="1"/>
  <c r="G212" i="9" s="1"/>
  <c r="H212" i="9" s="1"/>
  <c r="J212" i="9" s="1"/>
  <c r="I212" i="9" l="1"/>
  <c r="B213" i="9" l="1"/>
  <c r="K212" i="9"/>
  <c r="O212" i="9" s="1"/>
  <c r="L212" i="9" l="1"/>
  <c r="M212" i="9" s="1"/>
  <c r="N212" i="9" s="1"/>
  <c r="C213" i="9"/>
  <c r="D213" i="9" l="1"/>
  <c r="G213" i="9" s="1"/>
  <c r="H213" i="9" s="1"/>
  <c r="J213" i="9" s="1"/>
  <c r="I213" i="9" l="1"/>
  <c r="B214" i="9" s="1"/>
  <c r="K213" i="9" l="1"/>
  <c r="O213" i="9" s="1"/>
  <c r="C214" i="9"/>
  <c r="L213" i="9" l="1"/>
  <c r="M213" i="9" s="1"/>
  <c r="N213" i="9" s="1"/>
  <c r="D214" i="9"/>
  <c r="G214" i="9" s="1"/>
  <c r="H214" i="9" s="1"/>
  <c r="J214" i="9" s="1"/>
  <c r="I214" i="9" l="1"/>
  <c r="B215" i="9" l="1"/>
  <c r="K214" i="9"/>
  <c r="O214" i="9" s="1"/>
  <c r="L214" i="9" l="1"/>
  <c r="M214" i="9" s="1"/>
  <c r="N214" i="9" s="1"/>
  <c r="C215" i="9"/>
  <c r="D215" i="9" l="1"/>
  <c r="G215" i="9" s="1"/>
  <c r="H215" i="9" s="1"/>
  <c r="J215" i="9" s="1"/>
  <c r="I215" i="9" l="1"/>
  <c r="B216" i="9" l="1"/>
  <c r="K215" i="9"/>
  <c r="O215" i="9" s="1"/>
  <c r="L215" i="9" l="1"/>
  <c r="M215" i="9" s="1"/>
  <c r="N215" i="9" s="1"/>
  <c r="C216" i="9"/>
  <c r="D216" i="9" l="1"/>
  <c r="G216" i="9" s="1"/>
  <c r="H216" i="9" s="1"/>
  <c r="I216" i="9" s="1"/>
  <c r="B217" i="9" l="1"/>
  <c r="K216" i="9"/>
  <c r="O216" i="9" s="1"/>
  <c r="J216" i="9"/>
  <c r="L216" i="9" l="1"/>
  <c r="M216" i="9" s="1"/>
  <c r="N216" i="9" s="1"/>
  <c r="C217" i="9"/>
  <c r="D217" i="9" l="1"/>
  <c r="G217" i="9" s="1"/>
  <c r="H217" i="9" s="1"/>
  <c r="J217" i="9" s="1"/>
  <c r="I217" i="9" l="1"/>
  <c r="B218" i="9" l="1"/>
  <c r="K217" i="9"/>
  <c r="O217" i="9" s="1"/>
  <c r="L217" i="9" l="1"/>
  <c r="M217" i="9" s="1"/>
  <c r="N217" i="9" s="1"/>
  <c r="C218" i="9"/>
  <c r="D218" i="9" l="1"/>
  <c r="G218" i="9" s="1"/>
  <c r="H218" i="9" s="1"/>
  <c r="J218" i="9" s="1"/>
  <c r="I218" i="9" l="1"/>
  <c r="B219" i="9" l="1"/>
  <c r="K218" i="9"/>
  <c r="O218" i="9" s="1"/>
  <c r="L218" i="9" l="1"/>
  <c r="M218" i="9" s="1"/>
  <c r="N218" i="9" s="1"/>
  <c r="C219" i="9"/>
  <c r="D219" i="9" l="1"/>
  <c r="G219" i="9" s="1"/>
  <c r="H219" i="9" s="1"/>
  <c r="I219" i="9" s="1"/>
  <c r="B220" i="9" l="1"/>
  <c r="K219" i="9"/>
  <c r="O219" i="9" s="1"/>
  <c r="J219" i="9"/>
  <c r="L219" i="9" l="1"/>
  <c r="M219" i="9" s="1"/>
  <c r="N219" i="9" s="1"/>
  <c r="C220" i="9"/>
  <c r="D220" i="9" l="1"/>
  <c r="G220" i="9" s="1"/>
  <c r="H220" i="9" s="1"/>
  <c r="J220" i="9" s="1"/>
  <c r="I220" i="9" l="1"/>
  <c r="B221" i="9" l="1"/>
  <c r="K220" i="9"/>
  <c r="O220" i="9" s="1"/>
  <c r="L220" i="9" l="1"/>
  <c r="M220" i="9" s="1"/>
  <c r="N220" i="9" s="1"/>
  <c r="C221" i="9"/>
  <c r="D221" i="9" l="1"/>
  <c r="G221" i="9" s="1"/>
  <c r="H221" i="9" s="1"/>
  <c r="J221" i="9" s="1"/>
  <c r="I221" i="9" l="1"/>
  <c r="B222" i="9" l="1"/>
  <c r="K221" i="9"/>
  <c r="O221" i="9" s="1"/>
  <c r="L221" i="9" l="1"/>
  <c r="M221" i="9" s="1"/>
  <c r="N221" i="9" s="1"/>
  <c r="C222" i="9"/>
  <c r="D222" i="9" l="1"/>
  <c r="G222" i="9" s="1"/>
  <c r="H222" i="9" s="1"/>
  <c r="J222" i="9" s="1"/>
  <c r="I222" i="9" l="1"/>
  <c r="B223" i="9" l="1"/>
  <c r="K222" i="9"/>
  <c r="O222" i="9" s="1"/>
  <c r="L222" i="9" l="1"/>
  <c r="M222" i="9" s="1"/>
  <c r="N222" i="9" s="1"/>
  <c r="C223" i="9"/>
  <c r="D223" i="9" l="1"/>
  <c r="G223" i="9" s="1"/>
  <c r="H223" i="9" s="1"/>
  <c r="J223" i="9" s="1"/>
  <c r="I223" i="9" l="1"/>
  <c r="B224" i="9" l="1"/>
  <c r="K223" i="9"/>
  <c r="O223" i="9" s="1"/>
  <c r="L223" i="9" l="1"/>
  <c r="M223" i="9" s="1"/>
  <c r="N223" i="9" s="1"/>
  <c r="C224" i="9"/>
  <c r="D224" i="9" l="1"/>
  <c r="G224" i="9" s="1"/>
  <c r="H224" i="9" s="1"/>
  <c r="I224" i="9" s="1"/>
  <c r="B225" i="9" l="1"/>
  <c r="K224" i="9"/>
  <c r="O224" i="9" s="1"/>
  <c r="J224" i="9"/>
  <c r="L224" i="9" l="1"/>
  <c r="M224" i="9" s="1"/>
  <c r="N224" i="9" s="1"/>
  <c r="C225" i="9"/>
  <c r="D225" i="9" l="1"/>
  <c r="G225" i="9" s="1"/>
  <c r="H225" i="9" s="1"/>
  <c r="J225" i="9" s="1"/>
  <c r="I225" i="9" l="1"/>
  <c r="B226" i="9" l="1"/>
  <c r="K225" i="9"/>
  <c r="O225" i="9" s="1"/>
  <c r="L225" i="9" l="1"/>
  <c r="M225" i="9" s="1"/>
  <c r="N225" i="9" s="1"/>
  <c r="C226" i="9"/>
  <c r="D226" i="9" l="1"/>
  <c r="G226" i="9" s="1"/>
  <c r="H226" i="9" s="1"/>
  <c r="J226" i="9" s="1"/>
  <c r="I226" i="9" l="1"/>
  <c r="B227" i="9" l="1"/>
  <c r="K226" i="9"/>
  <c r="O226" i="9" s="1"/>
  <c r="L226" i="9" l="1"/>
  <c r="M226" i="9" s="1"/>
  <c r="N226" i="9" s="1"/>
  <c r="C227" i="9"/>
  <c r="D227" i="9" l="1"/>
  <c r="G227" i="9" s="1"/>
  <c r="H227" i="9" s="1"/>
  <c r="I227" i="9" s="1"/>
  <c r="B228" i="9" l="1"/>
  <c r="K227" i="9"/>
  <c r="O227" i="9" s="1"/>
  <c r="J227" i="9"/>
  <c r="L227" i="9" l="1"/>
  <c r="M227" i="9" s="1"/>
  <c r="N227" i="9" s="1"/>
  <c r="C228" i="9"/>
  <c r="D228" i="9" l="1"/>
  <c r="G228" i="9" s="1"/>
  <c r="H228" i="9" s="1"/>
  <c r="J228" i="9" s="1"/>
  <c r="I228" i="9" l="1"/>
  <c r="B229" i="9" l="1"/>
  <c r="K228" i="9"/>
  <c r="O228" i="9" s="1"/>
  <c r="L228" i="9" l="1"/>
  <c r="M228" i="9" s="1"/>
  <c r="N228" i="9" s="1"/>
  <c r="C229" i="9"/>
  <c r="D229" i="9" l="1"/>
  <c r="G229" i="9" s="1"/>
  <c r="H229" i="9" s="1"/>
  <c r="J229" i="9" s="1"/>
  <c r="I229" i="9" l="1"/>
  <c r="B230" i="9" l="1"/>
  <c r="K229" i="9"/>
  <c r="O229" i="9" s="1"/>
  <c r="L229" i="9" l="1"/>
  <c r="M229" i="9" s="1"/>
  <c r="N229" i="9" s="1"/>
  <c r="C230" i="9"/>
  <c r="D230" i="9" l="1"/>
  <c r="G230" i="9" s="1"/>
  <c r="H230" i="9" s="1"/>
  <c r="J230" i="9" s="1"/>
  <c r="I230" i="9" l="1"/>
  <c r="B231" i="9" s="1"/>
  <c r="K230" i="9" l="1"/>
  <c r="O230" i="9" s="1"/>
  <c r="C231" i="9"/>
  <c r="L230" i="9" l="1"/>
  <c r="M230" i="9" s="1"/>
  <c r="N230" i="9" s="1"/>
  <c r="D231" i="9"/>
  <c r="G231" i="9" s="1"/>
  <c r="H231" i="9" s="1"/>
  <c r="J231" i="9" s="1"/>
  <c r="I231" i="9" l="1"/>
  <c r="B232" i="9" l="1"/>
  <c r="K231" i="9"/>
  <c r="O231" i="9" s="1"/>
  <c r="L231" i="9" l="1"/>
  <c r="M231" i="9" s="1"/>
  <c r="N231" i="9" s="1"/>
  <c r="C232" i="9"/>
  <c r="D232" i="9" l="1"/>
  <c r="G232" i="9" s="1"/>
  <c r="H232" i="9" s="1"/>
  <c r="I232" i="9" s="1"/>
  <c r="B233" i="9" l="1"/>
  <c r="K232" i="9"/>
  <c r="O232" i="9" s="1"/>
  <c r="J232" i="9"/>
  <c r="L232" i="9" l="1"/>
  <c r="M232" i="9" s="1"/>
  <c r="N232" i="9" s="1"/>
  <c r="C233" i="9"/>
  <c r="D233" i="9" l="1"/>
  <c r="G233" i="9" s="1"/>
  <c r="H233" i="9" s="1"/>
  <c r="J233" i="9" s="1"/>
  <c r="I233" i="9" l="1"/>
  <c r="B234" i="9" l="1"/>
  <c r="K233" i="9"/>
  <c r="O233" i="9" s="1"/>
  <c r="L233" i="9" l="1"/>
  <c r="M233" i="9" s="1"/>
  <c r="N233" i="9" s="1"/>
  <c r="C234" i="9"/>
  <c r="D234" i="9" l="1"/>
  <c r="G234" i="9" s="1"/>
  <c r="H234" i="9" s="1"/>
  <c r="J234" i="9" s="1"/>
  <c r="I234" i="9" l="1"/>
  <c r="B235" i="9" l="1"/>
  <c r="K234" i="9"/>
  <c r="O234" i="9" s="1"/>
  <c r="L234" i="9" l="1"/>
  <c r="M234" i="9" s="1"/>
  <c r="N234" i="9" s="1"/>
  <c r="C235" i="9"/>
  <c r="D235" i="9" l="1"/>
  <c r="G235" i="9" s="1"/>
  <c r="H235" i="9" s="1"/>
  <c r="I235" i="9" s="1"/>
  <c r="B236" i="9" l="1"/>
  <c r="K235" i="9"/>
  <c r="O235" i="9" s="1"/>
  <c r="J235" i="9"/>
  <c r="L235" i="9" l="1"/>
  <c r="M235" i="9" s="1"/>
  <c r="N235" i="9" s="1"/>
  <c r="C236" i="9"/>
  <c r="D236" i="9" l="1"/>
  <c r="G236" i="9" s="1"/>
  <c r="H236" i="9" s="1"/>
  <c r="J236" i="9" s="1"/>
  <c r="I236" i="9" l="1"/>
  <c r="B237" i="9" l="1"/>
  <c r="K236" i="9"/>
  <c r="O236" i="9" s="1"/>
  <c r="L236" i="9" l="1"/>
  <c r="M236" i="9" s="1"/>
  <c r="N236" i="9" s="1"/>
  <c r="C237" i="9"/>
  <c r="D237" i="9" l="1"/>
  <c r="G237" i="9" s="1"/>
  <c r="H237" i="9" s="1"/>
  <c r="J237" i="9" s="1"/>
  <c r="I237" i="9" l="1"/>
  <c r="B238" i="9" l="1"/>
  <c r="K237" i="9"/>
  <c r="O237" i="9" s="1"/>
  <c r="L237" i="9" l="1"/>
  <c r="M237" i="9" s="1"/>
  <c r="N237" i="9" s="1"/>
  <c r="C238" i="9"/>
  <c r="D238" i="9" l="1"/>
  <c r="G238" i="9" s="1"/>
  <c r="H238" i="9" s="1"/>
  <c r="J238" i="9" s="1"/>
  <c r="I238" i="9" l="1"/>
  <c r="B239" i="9" l="1"/>
  <c r="K238" i="9"/>
  <c r="O238" i="9" s="1"/>
  <c r="L238" i="9" l="1"/>
  <c r="M238" i="9" s="1"/>
  <c r="N238" i="9" s="1"/>
  <c r="C239" i="9"/>
  <c r="D239" i="9" l="1"/>
  <c r="G239" i="9" s="1"/>
  <c r="H239" i="9" s="1"/>
  <c r="J239" i="9" s="1"/>
  <c r="I239" i="9" l="1"/>
  <c r="B240" i="9" l="1"/>
  <c r="K239" i="9"/>
  <c r="O239" i="9" s="1"/>
  <c r="L239" i="9" l="1"/>
  <c r="M239" i="9" s="1"/>
  <c r="N239" i="9" s="1"/>
  <c r="C240" i="9"/>
  <c r="D240" i="9" l="1"/>
  <c r="G240" i="9" s="1"/>
  <c r="H240" i="9" s="1"/>
  <c r="I240" i="9" s="1"/>
  <c r="B241" i="9" l="1"/>
  <c r="K240" i="9"/>
  <c r="O240" i="9" s="1"/>
  <c r="J240" i="9"/>
  <c r="L240" i="9" l="1"/>
  <c r="M240" i="9" s="1"/>
  <c r="N240" i="9" s="1"/>
  <c r="C241" i="9"/>
  <c r="D241" i="9" l="1"/>
  <c r="G241" i="9" s="1"/>
  <c r="H241" i="9" s="1"/>
  <c r="J241" i="9" s="1"/>
  <c r="I241" i="9" l="1"/>
  <c r="B242" i="9" l="1"/>
  <c r="K241" i="9"/>
  <c r="O241" i="9" s="1"/>
  <c r="L241" i="9" l="1"/>
  <c r="M241" i="9" s="1"/>
  <c r="N241" i="9" s="1"/>
  <c r="C242" i="9"/>
  <c r="D242" i="9" l="1"/>
  <c r="G242" i="9" s="1"/>
  <c r="H242" i="9" s="1"/>
  <c r="J242" i="9" s="1"/>
  <c r="I242" i="9" l="1"/>
  <c r="B243" i="9" l="1"/>
  <c r="K242" i="9"/>
  <c r="O242" i="9" s="1"/>
  <c r="L242" i="9" l="1"/>
  <c r="M242" i="9" s="1"/>
  <c r="N242" i="9" s="1"/>
  <c r="C243" i="9"/>
  <c r="D243" i="9" l="1"/>
  <c r="G243" i="9" s="1"/>
  <c r="H243" i="9" s="1"/>
  <c r="I243" i="9" s="1"/>
  <c r="B244" i="9" l="1"/>
  <c r="K243" i="9"/>
  <c r="O243" i="9" s="1"/>
  <c r="J243" i="9"/>
  <c r="L243" i="9" l="1"/>
  <c r="M243" i="9" s="1"/>
  <c r="N243" i="9" s="1"/>
  <c r="C244" i="9"/>
  <c r="D244" i="9" l="1"/>
  <c r="G244" i="9" s="1"/>
  <c r="H244" i="9" s="1"/>
  <c r="J244" i="9" s="1"/>
  <c r="I244" i="9" l="1"/>
  <c r="B245" i="9" l="1"/>
  <c r="K244" i="9"/>
  <c r="O244" i="9" s="1"/>
  <c r="L244" i="9" l="1"/>
  <c r="M244" i="9" s="1"/>
  <c r="N244" i="9" s="1"/>
  <c r="C245" i="9"/>
  <c r="D245" i="9" l="1"/>
  <c r="G245" i="9" s="1"/>
  <c r="H245" i="9" s="1"/>
  <c r="I245" i="9" s="1"/>
  <c r="B246" i="9" l="1"/>
  <c r="K245" i="9"/>
  <c r="O245" i="9" s="1"/>
  <c r="J245" i="9"/>
  <c r="L245" i="9" l="1"/>
  <c r="M245" i="9" s="1"/>
  <c r="N245" i="9" s="1"/>
  <c r="C246" i="9"/>
  <c r="D246" i="9" l="1"/>
  <c r="G246" i="9" s="1"/>
  <c r="H246" i="9" s="1"/>
  <c r="J246" i="9" s="1"/>
  <c r="I246" i="9" l="1"/>
  <c r="B247" i="9" l="1"/>
  <c r="K246" i="9"/>
  <c r="O246" i="9" s="1"/>
  <c r="L246" i="9" l="1"/>
  <c r="M246" i="9" s="1"/>
  <c r="N246" i="9" s="1"/>
  <c r="C247" i="9"/>
  <c r="D247" i="9" l="1"/>
  <c r="G247" i="9" s="1"/>
  <c r="H247" i="9" s="1"/>
  <c r="J247" i="9" s="1"/>
  <c r="I247" i="9" l="1"/>
  <c r="B248" i="9" l="1"/>
  <c r="K247" i="9"/>
  <c r="O247" i="9" s="1"/>
  <c r="L247" i="9" l="1"/>
  <c r="M247" i="9" s="1"/>
  <c r="N247" i="9" s="1"/>
  <c r="C248" i="9"/>
  <c r="D248" i="9" l="1"/>
  <c r="G248" i="9" s="1"/>
  <c r="H248" i="9" s="1"/>
  <c r="I248" i="9" s="1"/>
  <c r="B249" i="9" l="1"/>
  <c r="K248" i="9"/>
  <c r="O248" i="9" s="1"/>
  <c r="J248" i="9"/>
  <c r="L248" i="9" l="1"/>
  <c r="M248" i="9" s="1"/>
  <c r="N248" i="9" s="1"/>
  <c r="C249" i="9"/>
  <c r="D249" i="9" l="1"/>
  <c r="G249" i="9" s="1"/>
  <c r="H249" i="9" s="1"/>
  <c r="J249" i="9" s="1"/>
  <c r="I249" i="9" l="1"/>
  <c r="B250" i="9" l="1"/>
  <c r="K249" i="9"/>
  <c r="O249" i="9" s="1"/>
  <c r="L249" i="9" l="1"/>
  <c r="M249" i="9" s="1"/>
  <c r="N249" i="9" s="1"/>
  <c r="C250" i="9"/>
  <c r="D250" i="9" l="1"/>
  <c r="G250" i="9" s="1"/>
  <c r="H250" i="9" s="1"/>
  <c r="J250" i="9" s="1"/>
  <c r="I250" i="9" l="1"/>
  <c r="B251" i="9" l="1"/>
  <c r="K250" i="9"/>
  <c r="O250" i="9" s="1"/>
  <c r="L250" i="9" l="1"/>
  <c r="M250" i="9" s="1"/>
  <c r="N250" i="9" s="1"/>
  <c r="C251" i="9"/>
  <c r="D251" i="9" l="1"/>
  <c r="G251" i="9" s="1"/>
  <c r="H251" i="9" s="1"/>
  <c r="J251" i="9" s="1"/>
  <c r="I251" i="9" l="1"/>
  <c r="B252" i="9" l="1"/>
  <c r="K251" i="9"/>
  <c r="O251" i="9" s="1"/>
  <c r="L251" i="9" l="1"/>
  <c r="M251" i="9" s="1"/>
  <c r="N251" i="9" s="1"/>
  <c r="C252" i="9"/>
  <c r="D252" i="9" l="1"/>
  <c r="G252" i="9" s="1"/>
  <c r="H252" i="9" s="1"/>
  <c r="J252" i="9" s="1"/>
  <c r="I252" i="9" l="1"/>
  <c r="B253" i="9" l="1"/>
  <c r="K252" i="9"/>
  <c r="O252" i="9" s="1"/>
  <c r="L252" i="9" l="1"/>
  <c r="M252" i="9" s="1"/>
  <c r="N252" i="9" s="1"/>
  <c r="C253" i="9"/>
  <c r="D253" i="9" l="1"/>
  <c r="G253" i="9" s="1"/>
  <c r="H253" i="9" s="1"/>
  <c r="J253" i="9" s="1"/>
  <c r="I253" i="9" l="1"/>
  <c r="B254" i="9" l="1"/>
  <c r="K253" i="9"/>
  <c r="O253" i="9" s="1"/>
  <c r="L253" i="9" l="1"/>
  <c r="M253" i="9" s="1"/>
  <c r="N253" i="9" s="1"/>
  <c r="C254" i="9"/>
  <c r="D254" i="9" l="1"/>
  <c r="G254" i="9" s="1"/>
  <c r="H254" i="9" s="1"/>
  <c r="J254" i="9" s="1"/>
  <c r="I254" i="9" l="1"/>
  <c r="B255" i="9" l="1"/>
  <c r="K254" i="9"/>
  <c r="O254" i="9" s="1"/>
  <c r="L254" i="9" l="1"/>
  <c r="M254" i="9" s="1"/>
  <c r="N254" i="9" s="1"/>
  <c r="C255" i="9"/>
  <c r="D255" i="9" l="1"/>
  <c r="G255" i="9" s="1"/>
  <c r="H255" i="9" s="1"/>
  <c r="J255" i="9" s="1"/>
  <c r="I255" i="9" l="1"/>
  <c r="B256" i="9" l="1"/>
  <c r="K255" i="9"/>
  <c r="O255" i="9" s="1"/>
  <c r="L255" i="9" l="1"/>
  <c r="M255" i="9" s="1"/>
  <c r="N255" i="9" s="1"/>
  <c r="C256" i="9"/>
  <c r="D256" i="9" l="1"/>
  <c r="G256" i="9" s="1"/>
  <c r="H256" i="9" s="1"/>
  <c r="I256" i="9" s="1"/>
  <c r="B257" i="9" l="1"/>
  <c r="K256" i="9"/>
  <c r="O256" i="9" s="1"/>
  <c r="J256" i="9"/>
  <c r="L256" i="9" l="1"/>
  <c r="M256" i="9" s="1"/>
  <c r="N256" i="9" s="1"/>
  <c r="C257" i="9"/>
  <c r="D257" i="9" l="1"/>
  <c r="G257" i="9" s="1"/>
  <c r="H257" i="9" s="1"/>
  <c r="J257" i="9" s="1"/>
  <c r="I257" i="9" l="1"/>
  <c r="B258" i="9" l="1"/>
  <c r="K257" i="9"/>
  <c r="O257" i="9" s="1"/>
  <c r="C258" i="9" l="1"/>
  <c r="L257" i="9"/>
  <c r="M257" i="9" s="1"/>
  <c r="N257" i="9" s="1"/>
  <c r="D258" i="9" l="1"/>
  <c r="G258" i="9" s="1"/>
  <c r="H258" i="9" s="1"/>
  <c r="J258" i="9" s="1"/>
  <c r="I258" i="9" l="1"/>
  <c r="B259" i="9" l="1"/>
  <c r="K258" i="9"/>
  <c r="O258" i="9" s="1"/>
  <c r="L258" i="9" l="1"/>
  <c r="M258" i="9" s="1"/>
  <c r="N258" i="9" s="1"/>
  <c r="C259" i="9"/>
  <c r="D259" i="9" l="1"/>
  <c r="G259" i="9" s="1"/>
  <c r="H259" i="9" s="1"/>
  <c r="J259" i="9" s="1"/>
  <c r="I259" i="9" l="1"/>
  <c r="B260" i="9" l="1"/>
  <c r="K259" i="9"/>
  <c r="O259" i="9" s="1"/>
  <c r="L259" i="9" l="1"/>
  <c r="M259" i="9" s="1"/>
  <c r="N259" i="9" s="1"/>
  <c r="C260" i="9"/>
  <c r="D260" i="9" l="1"/>
  <c r="G260" i="9" s="1"/>
  <c r="H260" i="9" s="1"/>
  <c r="J260" i="9" s="1"/>
  <c r="I260" i="9" l="1"/>
  <c r="B261" i="9" l="1"/>
  <c r="K260" i="9"/>
  <c r="O260" i="9" s="1"/>
  <c r="L260" i="9" l="1"/>
  <c r="M260" i="9" s="1"/>
  <c r="N260" i="9" s="1"/>
  <c r="C261" i="9"/>
  <c r="D261" i="9" l="1"/>
  <c r="G261" i="9" s="1"/>
  <c r="H261" i="9" s="1"/>
  <c r="J261" i="9" s="1"/>
  <c r="I261" i="9" l="1"/>
  <c r="B262" i="9" l="1"/>
  <c r="K261" i="9"/>
  <c r="O261" i="9" s="1"/>
  <c r="L261" i="9" l="1"/>
  <c r="M261" i="9" s="1"/>
  <c r="N261" i="9" s="1"/>
  <c r="C262" i="9"/>
  <c r="D262" i="9" l="1"/>
  <c r="G262" i="9" s="1"/>
  <c r="H262" i="9" s="1"/>
  <c r="J262" i="9" s="1"/>
  <c r="I262" i="9" l="1"/>
  <c r="B263" i="9" l="1"/>
  <c r="K262" i="9"/>
  <c r="O262" i="9" s="1"/>
  <c r="L262" i="9" l="1"/>
  <c r="M262" i="9" s="1"/>
  <c r="N262" i="9" s="1"/>
  <c r="C263" i="9"/>
  <c r="D263" i="9" l="1"/>
  <c r="G263" i="9" s="1"/>
  <c r="H263" i="9" s="1"/>
  <c r="J263" i="9" s="1"/>
  <c r="I263" i="9" l="1"/>
  <c r="B264" i="9" l="1"/>
  <c r="K263" i="9"/>
  <c r="O263" i="9" s="1"/>
  <c r="L263" i="9" l="1"/>
  <c r="M263" i="9" s="1"/>
  <c r="N263" i="9" s="1"/>
  <c r="C264" i="9"/>
  <c r="D264" i="9" l="1"/>
  <c r="G264" i="9" s="1"/>
  <c r="H264" i="9" s="1"/>
  <c r="I264" i="9" s="1"/>
  <c r="B265" i="9" l="1"/>
  <c r="K264" i="9"/>
  <c r="O264" i="9" s="1"/>
  <c r="J264" i="9"/>
  <c r="L264" i="9" l="1"/>
  <c r="M264" i="9" s="1"/>
  <c r="N264" i="9" s="1"/>
  <c r="C265" i="9"/>
  <c r="D265" i="9" l="1"/>
  <c r="G265" i="9" s="1"/>
  <c r="H265" i="9" s="1"/>
  <c r="J265" i="9" s="1"/>
  <c r="I265" i="9" l="1"/>
  <c r="B266" i="9" l="1"/>
  <c r="K265" i="9"/>
  <c r="O265" i="9" s="1"/>
  <c r="L265" i="9" l="1"/>
  <c r="M265" i="9" s="1"/>
  <c r="N265" i="9" s="1"/>
  <c r="C266" i="9"/>
  <c r="D266" i="9" l="1"/>
  <c r="G266" i="9" s="1"/>
  <c r="H266" i="9" s="1"/>
  <c r="J266" i="9" s="1"/>
  <c r="I266" i="9" l="1"/>
  <c r="B267" i="9" l="1"/>
  <c r="K266" i="9"/>
  <c r="O266" i="9" s="1"/>
  <c r="L266" i="9" l="1"/>
  <c r="M266" i="9" s="1"/>
  <c r="N266" i="9" s="1"/>
  <c r="C267" i="9"/>
  <c r="D267" i="9" l="1"/>
  <c r="G267" i="9" s="1"/>
  <c r="H267" i="9" s="1"/>
  <c r="J267" i="9" s="1"/>
  <c r="I267" i="9" l="1"/>
  <c r="B268" i="9" l="1"/>
  <c r="K267" i="9"/>
  <c r="O267" i="9" s="1"/>
  <c r="L267" i="9" l="1"/>
  <c r="M267" i="9" s="1"/>
  <c r="N267" i="9" s="1"/>
  <c r="C268" i="9"/>
  <c r="D268" i="9" l="1"/>
  <c r="G268" i="9" s="1"/>
  <c r="H268" i="9" s="1"/>
  <c r="J268" i="9" s="1"/>
  <c r="I268" i="9" l="1"/>
  <c r="B269" i="9" l="1"/>
  <c r="K268" i="9"/>
  <c r="O268" i="9" s="1"/>
  <c r="L268" i="9" l="1"/>
  <c r="M268" i="9" s="1"/>
  <c r="N268" i="9" s="1"/>
  <c r="C269" i="9"/>
  <c r="D269" i="9" l="1"/>
  <c r="G269" i="9" s="1"/>
  <c r="H269" i="9" s="1"/>
  <c r="J269" i="9" s="1"/>
  <c r="I269" i="9" l="1"/>
  <c r="B270" i="9" l="1"/>
  <c r="K269" i="9"/>
  <c r="O269" i="9" s="1"/>
  <c r="L269" i="9" l="1"/>
  <c r="M269" i="9" s="1"/>
  <c r="N269" i="9" s="1"/>
  <c r="C270" i="9"/>
  <c r="D270" i="9" l="1"/>
  <c r="G270" i="9" s="1"/>
  <c r="H270" i="9" s="1"/>
  <c r="J270" i="9" s="1"/>
  <c r="I270" i="9" l="1"/>
  <c r="B271" i="9" l="1"/>
  <c r="K270" i="9"/>
  <c r="O270" i="9" s="1"/>
  <c r="L270" i="9" l="1"/>
  <c r="M270" i="9" s="1"/>
  <c r="N270" i="9" s="1"/>
  <c r="C271" i="9"/>
  <c r="D271" i="9" l="1"/>
  <c r="G271" i="9" s="1"/>
  <c r="H271" i="9" s="1"/>
  <c r="J271" i="9" s="1"/>
  <c r="I271" i="9" l="1"/>
  <c r="B272" i="9" s="1"/>
  <c r="K271" i="9" l="1"/>
  <c r="O271" i="9" s="1"/>
  <c r="C272" i="9"/>
  <c r="L271" i="9" l="1"/>
  <c r="M271" i="9" s="1"/>
  <c r="N271" i="9" s="1"/>
  <c r="D272" i="9"/>
  <c r="G272" i="9" s="1"/>
  <c r="H272" i="9" s="1"/>
  <c r="I272" i="9" s="1"/>
  <c r="J272" i="9" l="1"/>
  <c r="B273" i="9"/>
  <c r="K272" i="9"/>
  <c r="O272" i="9" s="1"/>
  <c r="L272" i="9" l="1"/>
  <c r="M272" i="9" s="1"/>
  <c r="N272" i="9" s="1"/>
  <c r="C273" i="9"/>
  <c r="D273" i="9" l="1"/>
  <c r="G273" i="9" s="1"/>
  <c r="H273" i="9" s="1"/>
  <c r="J273" i="9" s="1"/>
  <c r="I273" i="9" l="1"/>
  <c r="B274" i="9" l="1"/>
  <c r="K273" i="9"/>
  <c r="O273" i="9" s="1"/>
  <c r="L273" i="9" l="1"/>
  <c r="M273" i="9" s="1"/>
  <c r="N273" i="9" s="1"/>
  <c r="C274" i="9"/>
  <c r="D274" i="9" l="1"/>
  <c r="G274" i="9" s="1"/>
  <c r="H274" i="9" s="1"/>
  <c r="J274" i="9" s="1"/>
  <c r="I274" i="9" l="1"/>
  <c r="B275" i="9" l="1"/>
  <c r="K274" i="9"/>
  <c r="O274" i="9" s="1"/>
  <c r="L274" i="9" l="1"/>
  <c r="M274" i="9" s="1"/>
  <c r="N274" i="9" s="1"/>
  <c r="C275" i="9"/>
  <c r="D275" i="9" l="1"/>
  <c r="G275" i="9" s="1"/>
  <c r="H275" i="9" s="1"/>
  <c r="J275" i="9" s="1"/>
  <c r="I275" i="9" l="1"/>
  <c r="B276" i="9" l="1"/>
  <c r="K275" i="9"/>
  <c r="O275" i="9" s="1"/>
  <c r="L275" i="9" l="1"/>
  <c r="M275" i="9" s="1"/>
  <c r="N275" i="9" s="1"/>
  <c r="C276" i="9"/>
  <c r="D276" i="9" l="1"/>
  <c r="G276" i="9" s="1"/>
  <c r="H276" i="9" s="1"/>
  <c r="J276" i="9" s="1"/>
  <c r="I276" i="9" l="1"/>
  <c r="B277" i="9" l="1"/>
  <c r="K276" i="9"/>
  <c r="O276" i="9" s="1"/>
  <c r="L276" i="9" l="1"/>
  <c r="M276" i="9" s="1"/>
  <c r="N276" i="9" s="1"/>
  <c r="C277" i="9"/>
  <c r="D277" i="9" l="1"/>
  <c r="G277" i="9" s="1"/>
  <c r="H277" i="9" s="1"/>
  <c r="J277" i="9" s="1"/>
  <c r="I277" i="9" l="1"/>
  <c r="B278" i="9" l="1"/>
  <c r="K277" i="9"/>
  <c r="O277" i="9" s="1"/>
  <c r="L277" i="9" l="1"/>
  <c r="M277" i="9" s="1"/>
  <c r="N277" i="9" s="1"/>
  <c r="C278" i="9"/>
  <c r="D278" i="9" l="1"/>
  <c r="G278" i="9" s="1"/>
  <c r="H278" i="9" s="1"/>
  <c r="J278" i="9" s="1"/>
  <c r="I278" i="9" l="1"/>
  <c r="B279" i="9" s="1"/>
  <c r="K278" i="9" l="1"/>
  <c r="O278" i="9" s="1"/>
  <c r="C279" i="9"/>
  <c r="L278" i="9" l="1"/>
  <c r="M278" i="9" s="1"/>
  <c r="N278" i="9" s="1"/>
  <c r="D279" i="9"/>
  <c r="G279" i="9" s="1"/>
  <c r="H279" i="9" s="1"/>
  <c r="J279" i="9" s="1"/>
  <c r="I279" i="9" l="1"/>
  <c r="B280" i="9" l="1"/>
  <c r="K279" i="9"/>
  <c r="O279" i="9" s="1"/>
  <c r="L279" i="9" l="1"/>
  <c r="M279" i="9" s="1"/>
  <c r="N279" i="9" s="1"/>
  <c r="C280" i="9"/>
  <c r="D280" i="9" l="1"/>
  <c r="G280" i="9" s="1"/>
  <c r="H280" i="9" s="1"/>
  <c r="I280" i="9" s="1"/>
  <c r="B281" i="9" l="1"/>
  <c r="K280" i="9"/>
  <c r="O280" i="9" s="1"/>
  <c r="J280" i="9"/>
  <c r="L280" i="9" l="1"/>
  <c r="M280" i="9" s="1"/>
  <c r="N280" i="9" s="1"/>
  <c r="C281" i="9"/>
  <c r="D281" i="9" l="1"/>
  <c r="G281" i="9" s="1"/>
  <c r="H281" i="9" s="1"/>
  <c r="J281" i="9" s="1"/>
  <c r="I281" i="9" l="1"/>
  <c r="B282" i="9" l="1"/>
  <c r="K281" i="9"/>
  <c r="O281" i="9" s="1"/>
  <c r="L281" i="9" l="1"/>
  <c r="M281" i="9" s="1"/>
  <c r="N281" i="9" s="1"/>
  <c r="C282" i="9"/>
  <c r="D282" i="9" l="1"/>
  <c r="G282" i="9" s="1"/>
  <c r="H282" i="9" s="1"/>
  <c r="J282" i="9" s="1"/>
  <c r="I282" i="9" l="1"/>
  <c r="B283" i="9" l="1"/>
  <c r="K282" i="9"/>
  <c r="O282" i="9" s="1"/>
  <c r="L282" i="9" l="1"/>
  <c r="M282" i="9" s="1"/>
  <c r="N282" i="9" s="1"/>
  <c r="C283" i="9"/>
  <c r="D283" i="9" l="1"/>
  <c r="G283" i="9" s="1"/>
  <c r="H283" i="9" s="1"/>
  <c r="J283" i="9" s="1"/>
  <c r="I283" i="9" l="1"/>
  <c r="B284" i="9" l="1"/>
  <c r="K283" i="9"/>
  <c r="O283" i="9" s="1"/>
  <c r="L283" i="9" l="1"/>
  <c r="M283" i="9" s="1"/>
  <c r="N283" i="9" s="1"/>
  <c r="C284" i="9"/>
  <c r="D284" i="9" l="1"/>
  <c r="G284" i="9" s="1"/>
  <c r="H284" i="9" s="1"/>
  <c r="J284" i="9" s="1"/>
  <c r="I284" i="9" l="1"/>
  <c r="B285" i="9" l="1"/>
  <c r="K284" i="9"/>
  <c r="O284" i="9" s="1"/>
  <c r="L284" i="9" l="1"/>
  <c r="M284" i="9" s="1"/>
  <c r="N284" i="9" s="1"/>
  <c r="C285" i="9"/>
  <c r="D285" i="9" l="1"/>
  <c r="G285" i="9" s="1"/>
  <c r="H285" i="9" s="1"/>
  <c r="J285" i="9" s="1"/>
  <c r="I285" i="9" l="1"/>
  <c r="B286" i="9" l="1"/>
  <c r="K285" i="9"/>
  <c r="O285" i="9" s="1"/>
  <c r="L285" i="9" l="1"/>
  <c r="M285" i="9" s="1"/>
  <c r="N285" i="9" s="1"/>
  <c r="C286" i="9"/>
  <c r="D286" i="9" l="1"/>
  <c r="G286" i="9" s="1"/>
  <c r="H286" i="9" s="1"/>
  <c r="J286" i="9" s="1"/>
  <c r="I286" i="9" l="1"/>
  <c r="B287" i="9" s="1"/>
  <c r="K286" i="9" l="1"/>
  <c r="O286" i="9" s="1"/>
  <c r="C287" i="9"/>
  <c r="L286" i="9" l="1"/>
  <c r="M286" i="9" s="1"/>
  <c r="N286" i="9" s="1"/>
  <c r="D287" i="9"/>
  <c r="G287" i="9" s="1"/>
  <c r="H287" i="9" s="1"/>
  <c r="J287" i="9" s="1"/>
  <c r="I287" i="9" l="1"/>
  <c r="B288" i="9" l="1"/>
  <c r="K287" i="9"/>
  <c r="O287" i="9" s="1"/>
  <c r="L287" i="9" l="1"/>
  <c r="M287" i="9" s="1"/>
  <c r="N287" i="9" s="1"/>
  <c r="C288" i="9"/>
  <c r="D288" i="9" l="1"/>
  <c r="G288" i="9" s="1"/>
  <c r="H288" i="9" s="1"/>
  <c r="I288" i="9" s="1"/>
  <c r="B289" i="9" l="1"/>
  <c r="K288" i="9"/>
  <c r="O288" i="9" s="1"/>
  <c r="J288" i="9"/>
  <c r="L288" i="9" l="1"/>
  <c r="M288" i="9" s="1"/>
  <c r="N288" i="9" s="1"/>
  <c r="C289" i="9"/>
  <c r="D289" i="9" l="1"/>
  <c r="G289" i="9" s="1"/>
  <c r="H289" i="9" s="1"/>
  <c r="J289" i="9" s="1"/>
  <c r="I289" i="9" l="1"/>
  <c r="B290" i="9" l="1"/>
  <c r="K289" i="9"/>
  <c r="O289" i="9" s="1"/>
  <c r="L289" i="9" l="1"/>
  <c r="M289" i="9" s="1"/>
  <c r="N289" i="9" s="1"/>
  <c r="C290" i="9"/>
  <c r="D290" i="9" l="1"/>
  <c r="G290" i="9" s="1"/>
  <c r="H290" i="9" s="1"/>
  <c r="J290" i="9" s="1"/>
  <c r="I290" i="9" l="1"/>
  <c r="B291" i="9" l="1"/>
  <c r="K290" i="9"/>
  <c r="O290" i="9" s="1"/>
  <c r="L290" i="9" l="1"/>
  <c r="M290" i="9" s="1"/>
  <c r="N290" i="9" s="1"/>
  <c r="C291" i="9"/>
  <c r="D291" i="9" l="1"/>
  <c r="G291" i="9" s="1"/>
  <c r="H291" i="9" s="1"/>
  <c r="J291" i="9" s="1"/>
  <c r="I291" i="9" l="1"/>
  <c r="B292" i="9" l="1"/>
  <c r="K291" i="9"/>
  <c r="O291" i="9" s="1"/>
  <c r="L291" i="9" l="1"/>
  <c r="M291" i="9" s="1"/>
  <c r="N291" i="9" s="1"/>
  <c r="C292" i="9"/>
  <c r="D292" i="9" l="1"/>
  <c r="G292" i="9" s="1"/>
  <c r="H292" i="9" s="1"/>
  <c r="J292" i="9" s="1"/>
  <c r="I292" i="9" l="1"/>
  <c r="B293" i="9" l="1"/>
  <c r="K292" i="9"/>
  <c r="O292" i="9" s="1"/>
  <c r="L292" i="9" l="1"/>
  <c r="M292" i="9" s="1"/>
  <c r="N292" i="9" s="1"/>
  <c r="C293" i="9"/>
  <c r="D293" i="9" l="1"/>
  <c r="G293" i="9" s="1"/>
  <c r="H293" i="9" s="1"/>
  <c r="J293" i="9" s="1"/>
  <c r="I293" i="9" l="1"/>
  <c r="B294" i="9" l="1"/>
  <c r="K293" i="9"/>
  <c r="O293" i="9" s="1"/>
  <c r="L293" i="9" l="1"/>
  <c r="M293" i="9" s="1"/>
  <c r="N293" i="9" s="1"/>
  <c r="C294" i="9"/>
  <c r="D294" i="9" l="1"/>
  <c r="G294" i="9" s="1"/>
  <c r="H294" i="9" s="1"/>
  <c r="J294" i="9" s="1"/>
  <c r="I294" i="9" l="1"/>
  <c r="B295" i="9" s="1"/>
  <c r="K294" i="9" l="1"/>
  <c r="O294" i="9" s="1"/>
  <c r="C295" i="9"/>
  <c r="L294" i="9" l="1"/>
  <c r="M294" i="9" s="1"/>
  <c r="N294" i="9" s="1"/>
  <c r="D295" i="9"/>
  <c r="G295" i="9" s="1"/>
  <c r="H295" i="9" s="1"/>
  <c r="J295" i="9" s="1"/>
  <c r="I295" i="9" l="1"/>
  <c r="B296" i="9" l="1"/>
  <c r="K295" i="9"/>
  <c r="O295" i="9" s="1"/>
  <c r="L295" i="9" l="1"/>
  <c r="M295" i="9" s="1"/>
  <c r="N295" i="9" s="1"/>
  <c r="C296" i="9"/>
  <c r="D296" i="9" l="1"/>
  <c r="G296" i="9" s="1"/>
  <c r="H296" i="9" s="1"/>
  <c r="I296" i="9" s="1"/>
  <c r="B297" i="9" l="1"/>
  <c r="K296" i="9"/>
  <c r="O296" i="9" s="1"/>
  <c r="J296" i="9"/>
  <c r="L296" i="9" l="1"/>
  <c r="M296" i="9" s="1"/>
  <c r="N296" i="9" s="1"/>
  <c r="C297" i="9"/>
  <c r="D297" i="9" l="1"/>
  <c r="G297" i="9" s="1"/>
  <c r="H297" i="9" s="1"/>
  <c r="J297" i="9" s="1"/>
  <c r="I297" i="9" l="1"/>
  <c r="B298" i="9" l="1"/>
  <c r="K297" i="9"/>
  <c r="O297" i="9" s="1"/>
  <c r="L297" i="9" l="1"/>
  <c r="M297" i="9" s="1"/>
  <c r="N297" i="9" s="1"/>
  <c r="C298" i="9"/>
  <c r="D298" i="9" l="1"/>
  <c r="G298" i="9" s="1"/>
  <c r="H298" i="9" s="1"/>
  <c r="J298" i="9" s="1"/>
  <c r="I298" i="9" l="1"/>
  <c r="B299" i="9" l="1"/>
  <c r="K298" i="9"/>
  <c r="O298" i="9" s="1"/>
  <c r="L298" i="9" l="1"/>
  <c r="M298" i="9" s="1"/>
  <c r="N298" i="9" s="1"/>
  <c r="C299" i="9"/>
  <c r="D299" i="9" l="1"/>
  <c r="G299" i="9" s="1"/>
  <c r="H299" i="9" s="1"/>
  <c r="J299" i="9" s="1"/>
  <c r="I299" i="9" l="1"/>
  <c r="B300" i="9" l="1"/>
  <c r="K299" i="9"/>
  <c r="O299" i="9" s="1"/>
  <c r="L299" i="9" l="1"/>
  <c r="M299" i="9" s="1"/>
  <c r="N299" i="9" s="1"/>
  <c r="C300" i="9"/>
  <c r="D300" i="9" l="1"/>
  <c r="G300" i="9" s="1"/>
  <c r="H300" i="9" s="1"/>
  <c r="J300" i="9" s="1"/>
  <c r="I300" i="9" l="1"/>
  <c r="B301" i="9" l="1"/>
  <c r="K300" i="9"/>
  <c r="O300" i="9" s="1"/>
  <c r="L300" i="9" l="1"/>
  <c r="M300" i="9" s="1"/>
  <c r="N300" i="9" s="1"/>
  <c r="C301" i="9"/>
  <c r="D301" i="9" l="1"/>
  <c r="G301" i="9" s="1"/>
  <c r="H301" i="9" s="1"/>
  <c r="J301" i="9" s="1"/>
  <c r="I301" i="9" l="1"/>
  <c r="B302" i="9" l="1"/>
  <c r="K301" i="9"/>
  <c r="O301" i="9" s="1"/>
  <c r="L301" i="9" l="1"/>
  <c r="M301" i="9" s="1"/>
  <c r="N301" i="9" s="1"/>
  <c r="C302" i="9"/>
  <c r="D302" i="9" l="1"/>
  <c r="G302" i="9" s="1"/>
  <c r="H302" i="9" s="1"/>
  <c r="J302" i="9" s="1"/>
  <c r="I302" i="9" l="1"/>
  <c r="B303" i="9" l="1"/>
  <c r="K302" i="9"/>
  <c r="O302" i="9" s="1"/>
  <c r="L302" i="9" l="1"/>
  <c r="M302" i="9" s="1"/>
  <c r="N302" i="9" s="1"/>
  <c r="C303" i="9"/>
  <c r="D303" i="9" l="1"/>
  <c r="G303" i="9" s="1"/>
  <c r="H303" i="9" s="1"/>
  <c r="J303" i="9" s="1"/>
  <c r="I303" i="9" l="1"/>
  <c r="B304" i="9" l="1"/>
  <c r="K303" i="9"/>
  <c r="O303" i="9" s="1"/>
  <c r="L303" i="9" l="1"/>
  <c r="M303" i="9" s="1"/>
  <c r="N303" i="9" s="1"/>
  <c r="C304" i="9"/>
  <c r="D304" i="9" l="1"/>
  <c r="G304" i="9" s="1"/>
  <c r="H304" i="9" s="1"/>
  <c r="I304" i="9" s="1"/>
  <c r="B305" i="9" l="1"/>
  <c r="K304" i="9"/>
  <c r="O304" i="9" s="1"/>
  <c r="J304" i="9"/>
  <c r="L304" i="9" l="1"/>
  <c r="M304" i="9" s="1"/>
  <c r="N304" i="9" s="1"/>
  <c r="C305" i="9"/>
  <c r="D305" i="9" l="1"/>
  <c r="G305" i="9" s="1"/>
  <c r="H305" i="9" s="1"/>
  <c r="J305" i="9" s="1"/>
  <c r="I305" i="9" l="1"/>
  <c r="B306" i="9" l="1"/>
  <c r="K305" i="9"/>
  <c r="O305" i="9" s="1"/>
  <c r="L305" i="9" l="1"/>
  <c r="M305" i="9" s="1"/>
  <c r="N305" i="9" s="1"/>
  <c r="C306" i="9"/>
  <c r="D306" i="9" l="1"/>
  <c r="G306" i="9" s="1"/>
  <c r="H306" i="9" s="1"/>
  <c r="J306" i="9" s="1"/>
  <c r="I306" i="9" l="1"/>
  <c r="B307" i="9" l="1"/>
  <c r="K306" i="9"/>
  <c r="O306" i="9" s="1"/>
  <c r="L306" i="9" l="1"/>
  <c r="M306" i="9" s="1"/>
  <c r="N306" i="9" s="1"/>
  <c r="C307" i="9"/>
  <c r="D307" i="9" l="1"/>
  <c r="G307" i="9" s="1"/>
  <c r="H307" i="9" s="1"/>
  <c r="J307" i="9" s="1"/>
  <c r="I307" i="9" l="1"/>
  <c r="B308" i="9" l="1"/>
  <c r="K307" i="9"/>
  <c r="O307" i="9" s="1"/>
  <c r="L307" i="9" l="1"/>
  <c r="M307" i="9" s="1"/>
  <c r="N307" i="9" s="1"/>
  <c r="C308" i="9"/>
  <c r="D308" i="9" l="1"/>
  <c r="G308" i="9" s="1"/>
  <c r="H308" i="9" s="1"/>
  <c r="J308" i="9" s="1"/>
  <c r="I308" i="9" l="1"/>
  <c r="B309" i="9" l="1"/>
  <c r="K308" i="9"/>
  <c r="O308" i="9" s="1"/>
  <c r="L308" i="9" l="1"/>
  <c r="M308" i="9" s="1"/>
  <c r="N308" i="9" s="1"/>
  <c r="C309" i="9"/>
  <c r="D309" i="9" l="1"/>
  <c r="G309" i="9" s="1"/>
  <c r="H309" i="9" s="1"/>
  <c r="J309" i="9" s="1"/>
  <c r="I309" i="9" l="1"/>
  <c r="B310" i="9" l="1"/>
  <c r="K309" i="9"/>
  <c r="O309" i="9" s="1"/>
  <c r="L309" i="9" l="1"/>
  <c r="M309" i="9" s="1"/>
  <c r="N309" i="9" s="1"/>
  <c r="C310" i="9"/>
  <c r="D310" i="9" l="1"/>
  <c r="G310" i="9" s="1"/>
  <c r="H310" i="9" s="1"/>
  <c r="J310" i="9" s="1"/>
  <c r="I310" i="9" l="1"/>
  <c r="B311" i="9" l="1"/>
  <c r="K310" i="9"/>
  <c r="O310" i="9" s="1"/>
  <c r="L310" i="9" l="1"/>
  <c r="M310" i="9" s="1"/>
  <c r="N310" i="9" s="1"/>
  <c r="C311" i="9"/>
  <c r="D311" i="9" l="1"/>
  <c r="G311" i="9" s="1"/>
  <c r="H311" i="9" s="1"/>
  <c r="J311" i="9" s="1"/>
  <c r="I311" i="9" l="1"/>
  <c r="B312" i="9" l="1"/>
  <c r="K311" i="9"/>
  <c r="O311" i="9" s="1"/>
  <c r="L311" i="9" l="1"/>
  <c r="M311" i="9" s="1"/>
  <c r="N311" i="9" s="1"/>
  <c r="C312" i="9"/>
  <c r="D312" i="9" l="1"/>
  <c r="G312" i="9" s="1"/>
  <c r="H312" i="9" s="1"/>
  <c r="I312" i="9" s="1"/>
  <c r="B313" i="9" l="1"/>
  <c r="K312" i="9"/>
  <c r="O312" i="9" s="1"/>
  <c r="J312" i="9"/>
  <c r="L312" i="9" l="1"/>
  <c r="M312" i="9" s="1"/>
  <c r="N312" i="9" s="1"/>
  <c r="C313" i="9"/>
  <c r="D313" i="9" l="1"/>
  <c r="G313" i="9" s="1"/>
  <c r="H313" i="9" s="1"/>
  <c r="J313" i="9" s="1"/>
  <c r="I313" i="9" l="1"/>
  <c r="B314" i="9" l="1"/>
  <c r="K313" i="9"/>
  <c r="O313" i="9" s="1"/>
  <c r="L313" i="9" l="1"/>
  <c r="M313" i="9" s="1"/>
  <c r="N313" i="9" s="1"/>
  <c r="C314" i="9"/>
  <c r="D314" i="9" l="1"/>
  <c r="G314" i="9" s="1"/>
  <c r="H314" i="9" s="1"/>
  <c r="J314" i="9" s="1"/>
  <c r="I314" i="9" l="1"/>
  <c r="B315" i="9" l="1"/>
  <c r="K314" i="9"/>
  <c r="O314" i="9" s="1"/>
  <c r="L314" i="9" l="1"/>
  <c r="M314" i="9" s="1"/>
  <c r="N314" i="9" s="1"/>
  <c r="C315" i="9"/>
  <c r="D315" i="9" l="1"/>
  <c r="G315" i="9" s="1"/>
  <c r="H315" i="9" s="1"/>
  <c r="J315" i="9" s="1"/>
  <c r="I315" i="9" l="1"/>
  <c r="B316" i="9" l="1"/>
  <c r="K315" i="9"/>
  <c r="O315" i="9" s="1"/>
  <c r="L315" i="9" l="1"/>
  <c r="M315" i="9" s="1"/>
  <c r="N315" i="9" s="1"/>
  <c r="C316" i="9"/>
  <c r="D316" i="9" l="1"/>
  <c r="G316" i="9" s="1"/>
  <c r="H316" i="9" s="1"/>
  <c r="J316" i="9" s="1"/>
  <c r="I316" i="9" l="1"/>
  <c r="B317" i="9" l="1"/>
  <c r="K316" i="9"/>
  <c r="O316" i="9" s="1"/>
  <c r="L316" i="9" l="1"/>
  <c r="M316" i="9" s="1"/>
  <c r="N316" i="9" s="1"/>
  <c r="C317" i="9"/>
  <c r="D317" i="9" l="1"/>
  <c r="G317" i="9" s="1"/>
  <c r="H317" i="9" s="1"/>
  <c r="J317" i="9" s="1"/>
  <c r="I317" i="9" l="1"/>
  <c r="B318" i="9" l="1"/>
  <c r="K317" i="9"/>
  <c r="O317" i="9" s="1"/>
  <c r="L317" i="9" l="1"/>
  <c r="M317" i="9" s="1"/>
  <c r="N317" i="9" s="1"/>
  <c r="C318" i="9"/>
  <c r="D318" i="9" l="1"/>
  <c r="G318" i="9" s="1"/>
  <c r="H318" i="9" s="1"/>
  <c r="J318" i="9" s="1"/>
  <c r="I318" i="9" l="1"/>
  <c r="B319" i="9" l="1"/>
  <c r="K318" i="9"/>
  <c r="O318" i="9" s="1"/>
  <c r="L318" i="9" l="1"/>
  <c r="M318" i="9" s="1"/>
  <c r="N318" i="9" s="1"/>
  <c r="C319" i="9"/>
  <c r="D319" i="9" l="1"/>
  <c r="G319" i="9" s="1"/>
  <c r="H319" i="9" s="1"/>
  <c r="J319" i="9" s="1"/>
  <c r="I319" i="9" l="1"/>
  <c r="B320" i="9" l="1"/>
  <c r="K319" i="9"/>
  <c r="O319" i="9" s="1"/>
  <c r="L319" i="9" l="1"/>
  <c r="M319" i="9" s="1"/>
  <c r="N319" i="9" s="1"/>
  <c r="C320" i="9"/>
  <c r="D320" i="9" l="1"/>
  <c r="G320" i="9" s="1"/>
  <c r="H320" i="9" s="1"/>
  <c r="I320" i="9" s="1"/>
  <c r="B321" i="9" l="1"/>
  <c r="K320" i="9"/>
  <c r="O320" i="9" s="1"/>
  <c r="J320" i="9"/>
  <c r="L320" i="9" l="1"/>
  <c r="M320" i="9" s="1"/>
  <c r="N320" i="9" s="1"/>
  <c r="C321" i="9"/>
  <c r="D321" i="9" l="1"/>
  <c r="G321" i="9" s="1"/>
  <c r="H321" i="9" s="1"/>
  <c r="J321" i="9" s="1"/>
  <c r="I321" i="9" l="1"/>
  <c r="B322" i="9" l="1"/>
  <c r="K321" i="9"/>
  <c r="O321" i="9" s="1"/>
  <c r="L321" i="9" l="1"/>
  <c r="M321" i="9" s="1"/>
  <c r="N321" i="9" s="1"/>
  <c r="C322" i="9"/>
  <c r="D322" i="9" l="1"/>
  <c r="G322" i="9" s="1"/>
  <c r="H322" i="9" s="1"/>
  <c r="J322" i="9" s="1"/>
  <c r="I322" i="9" l="1"/>
  <c r="B323" i="9" l="1"/>
  <c r="K322" i="9"/>
  <c r="O322" i="9" s="1"/>
  <c r="L322" i="9" l="1"/>
  <c r="M322" i="9" s="1"/>
  <c r="N322" i="9" s="1"/>
  <c r="C323" i="9"/>
  <c r="D323" i="9" l="1"/>
  <c r="G323" i="9" s="1"/>
  <c r="H323" i="9" s="1"/>
  <c r="J323" i="9" s="1"/>
  <c r="I323" i="9" l="1"/>
  <c r="B324" i="9" l="1"/>
  <c r="K323" i="9"/>
  <c r="O323" i="9" s="1"/>
  <c r="L323" i="9" l="1"/>
  <c r="M323" i="9" s="1"/>
  <c r="N323" i="9" s="1"/>
  <c r="C324" i="9"/>
  <c r="D324" i="9" l="1"/>
  <c r="G324" i="9" s="1"/>
  <c r="H324" i="9" s="1"/>
  <c r="J324" i="9" s="1"/>
  <c r="I324" i="9" l="1"/>
  <c r="B325" i="9" l="1"/>
  <c r="K324" i="9"/>
  <c r="O324" i="9" s="1"/>
  <c r="L324" i="9" l="1"/>
  <c r="M324" i="9" s="1"/>
  <c r="N324" i="9" s="1"/>
  <c r="C325" i="9"/>
  <c r="D325" i="9" l="1"/>
  <c r="G325" i="9" s="1"/>
  <c r="H325" i="9" s="1"/>
  <c r="J325" i="9" s="1"/>
  <c r="I325" i="9" l="1"/>
  <c r="B326" i="9" l="1"/>
  <c r="K325" i="9"/>
  <c r="O325" i="9" s="1"/>
  <c r="L325" i="9" l="1"/>
  <c r="M325" i="9" s="1"/>
  <c r="N325" i="9" s="1"/>
  <c r="C326" i="9"/>
  <c r="D326" i="9" l="1"/>
  <c r="G326" i="9" s="1"/>
  <c r="H326" i="9" s="1"/>
  <c r="J326" i="9" s="1"/>
  <c r="I326" i="9" l="1"/>
  <c r="B327" i="9" l="1"/>
  <c r="K326" i="9"/>
  <c r="O326" i="9" s="1"/>
  <c r="L326" i="9" l="1"/>
  <c r="M326" i="9" s="1"/>
  <c r="N326" i="9" s="1"/>
  <c r="C327" i="9"/>
  <c r="D327" i="9" l="1"/>
  <c r="G327" i="9" s="1"/>
  <c r="H327" i="9" s="1"/>
  <c r="J327" i="9" s="1"/>
  <c r="I327" i="9" l="1"/>
  <c r="B328" i="9" l="1"/>
  <c r="K327" i="9"/>
  <c r="O327" i="9" s="1"/>
  <c r="L327" i="9" l="1"/>
  <c r="M327" i="9" s="1"/>
  <c r="N327" i="9" s="1"/>
  <c r="C328" i="9"/>
  <c r="D328" i="9" l="1"/>
  <c r="G328" i="9" s="1"/>
  <c r="H328" i="9" s="1"/>
  <c r="I328" i="9" s="1"/>
  <c r="B329" i="9" l="1"/>
  <c r="K328" i="9"/>
  <c r="O328" i="9" s="1"/>
  <c r="J328" i="9"/>
  <c r="L328" i="9" l="1"/>
  <c r="M328" i="9" s="1"/>
  <c r="N328" i="9" s="1"/>
  <c r="C329" i="9"/>
  <c r="D329" i="9" l="1"/>
  <c r="G329" i="9" s="1"/>
  <c r="H329" i="9" s="1"/>
  <c r="J329" i="9" s="1"/>
  <c r="I329" i="9" l="1"/>
  <c r="B330" i="9" l="1"/>
  <c r="K329" i="9"/>
  <c r="O329" i="9" s="1"/>
  <c r="L329" i="9" l="1"/>
  <c r="M329" i="9" s="1"/>
  <c r="N329" i="9" s="1"/>
  <c r="C330" i="9"/>
  <c r="D330" i="9" l="1"/>
  <c r="G330" i="9" s="1"/>
  <c r="H330" i="9" s="1"/>
  <c r="J330" i="9" s="1"/>
  <c r="I330" i="9" l="1"/>
  <c r="B331" i="9" l="1"/>
  <c r="K330" i="9"/>
  <c r="O330" i="9" s="1"/>
  <c r="L330" i="9" l="1"/>
  <c r="M330" i="9" s="1"/>
  <c r="N330" i="9" s="1"/>
  <c r="C331" i="9"/>
  <c r="D331" i="9" l="1"/>
  <c r="G331" i="9" s="1"/>
  <c r="H331" i="9" s="1"/>
  <c r="J331" i="9" s="1"/>
  <c r="I331" i="9" l="1"/>
  <c r="B332" i="9" l="1"/>
  <c r="K331" i="9"/>
  <c r="O331" i="9" s="1"/>
  <c r="L331" i="9" l="1"/>
  <c r="M331" i="9" s="1"/>
  <c r="N331" i="9" s="1"/>
  <c r="C332" i="9"/>
  <c r="D332" i="9" l="1"/>
  <c r="G332" i="9" s="1"/>
  <c r="H332" i="9" s="1"/>
  <c r="J332" i="9" s="1"/>
  <c r="I332" i="9" l="1"/>
  <c r="B333" i="9" l="1"/>
  <c r="K332" i="9"/>
  <c r="O332" i="9" s="1"/>
  <c r="L332" i="9" l="1"/>
  <c r="M332" i="9" s="1"/>
  <c r="N332" i="9" s="1"/>
  <c r="C333" i="9"/>
  <c r="D333" i="9" l="1"/>
  <c r="G333" i="9" s="1"/>
  <c r="H333" i="9" s="1"/>
  <c r="J333" i="9" s="1"/>
  <c r="I333" i="9" l="1"/>
  <c r="B334" i="9" l="1"/>
  <c r="K333" i="9"/>
  <c r="O333" i="9" s="1"/>
  <c r="L333" i="9" l="1"/>
  <c r="M333" i="9" s="1"/>
  <c r="N333" i="9" s="1"/>
  <c r="C334" i="9"/>
  <c r="D334" i="9" l="1"/>
  <c r="G334" i="9" s="1"/>
  <c r="H334" i="9" s="1"/>
  <c r="J334" i="9" s="1"/>
  <c r="I334" i="9" l="1"/>
  <c r="B335" i="9" l="1"/>
  <c r="K334" i="9"/>
  <c r="O334" i="9" s="1"/>
  <c r="L334" i="9" l="1"/>
  <c r="M334" i="9" s="1"/>
  <c r="N334" i="9" s="1"/>
  <c r="C335" i="9"/>
  <c r="D335" i="9" l="1"/>
  <c r="G335" i="9" s="1"/>
  <c r="H335" i="9" s="1"/>
  <c r="J335" i="9" s="1"/>
  <c r="I335" i="9" l="1"/>
  <c r="B336" i="9" l="1"/>
  <c r="K335" i="9"/>
  <c r="O335" i="9" s="1"/>
  <c r="L335" i="9" l="1"/>
  <c r="M335" i="9" s="1"/>
  <c r="N335" i="9" s="1"/>
  <c r="C336" i="9"/>
  <c r="D336" i="9" l="1"/>
  <c r="G336" i="9" s="1"/>
  <c r="H336" i="9" s="1"/>
  <c r="I336" i="9" s="1"/>
  <c r="B337" i="9" l="1"/>
  <c r="K336" i="9"/>
  <c r="O336" i="9" s="1"/>
  <c r="J336" i="9"/>
  <c r="L336" i="9" l="1"/>
  <c r="M336" i="9" s="1"/>
  <c r="N336" i="9" s="1"/>
  <c r="C337" i="9"/>
  <c r="D337" i="9" l="1"/>
  <c r="G337" i="9" s="1"/>
  <c r="H337" i="9" s="1"/>
  <c r="J337" i="9" s="1"/>
  <c r="I337" i="9" l="1"/>
  <c r="B338" i="9" l="1"/>
  <c r="K337" i="9"/>
  <c r="O337" i="9" s="1"/>
  <c r="L337" i="9" l="1"/>
  <c r="M337" i="9" s="1"/>
  <c r="N337" i="9" s="1"/>
  <c r="C338" i="9"/>
  <c r="D338" i="9" l="1"/>
  <c r="G338" i="9" s="1"/>
  <c r="H338" i="9" s="1"/>
  <c r="J338" i="9" s="1"/>
  <c r="I338" i="9" l="1"/>
  <c r="B339" i="9" l="1"/>
  <c r="K338" i="9"/>
  <c r="O338" i="9" s="1"/>
  <c r="L338" i="9" l="1"/>
  <c r="M338" i="9" s="1"/>
  <c r="N338" i="9" s="1"/>
  <c r="C339" i="9"/>
  <c r="D339" i="9" l="1"/>
  <c r="G339" i="9" s="1"/>
  <c r="H339" i="9" s="1"/>
  <c r="J339" i="9" s="1"/>
  <c r="I339" i="9" l="1"/>
  <c r="B340" i="9" l="1"/>
  <c r="K339" i="9"/>
  <c r="O339" i="9" s="1"/>
  <c r="L339" i="9" l="1"/>
  <c r="M339" i="9" s="1"/>
  <c r="N339" i="9" s="1"/>
  <c r="C340" i="9"/>
  <c r="D340" i="9" l="1"/>
  <c r="G340" i="9" s="1"/>
  <c r="H340" i="9" s="1"/>
  <c r="J340" i="9" s="1"/>
  <c r="I340" i="9" l="1"/>
  <c r="B341" i="9" l="1"/>
  <c r="K340" i="9"/>
  <c r="O340" i="9" s="1"/>
  <c r="L340" i="9" l="1"/>
  <c r="M340" i="9" s="1"/>
  <c r="N340" i="9" s="1"/>
  <c r="C341" i="9"/>
  <c r="D341" i="9" l="1"/>
  <c r="G341" i="9" s="1"/>
  <c r="H341" i="9" s="1"/>
  <c r="J341" i="9" s="1"/>
  <c r="I341" i="9" l="1"/>
  <c r="B342" i="9" l="1"/>
  <c r="K341" i="9"/>
  <c r="O341" i="9" s="1"/>
  <c r="L341" i="9" l="1"/>
  <c r="M341" i="9" s="1"/>
  <c r="N341" i="9" s="1"/>
  <c r="C342" i="9"/>
  <c r="D342" i="9" l="1"/>
  <c r="G342" i="9" s="1"/>
  <c r="H342" i="9" s="1"/>
  <c r="J342" i="9" s="1"/>
  <c r="I342" i="9" l="1"/>
  <c r="B343" i="9" l="1"/>
  <c r="K342" i="9"/>
  <c r="O342" i="9" s="1"/>
  <c r="L342" i="9" l="1"/>
  <c r="M342" i="9" s="1"/>
  <c r="N342" i="9" s="1"/>
  <c r="C343" i="9"/>
  <c r="D343" i="9" l="1"/>
  <c r="G343" i="9" s="1"/>
  <c r="H343" i="9" s="1"/>
  <c r="J343" i="9" s="1"/>
  <c r="I343" i="9" l="1"/>
  <c r="B344" i="9" l="1"/>
  <c r="K343" i="9"/>
  <c r="O343" i="9" s="1"/>
  <c r="L343" i="9" l="1"/>
  <c r="M343" i="9" s="1"/>
  <c r="N343" i="9" s="1"/>
  <c r="C344" i="9"/>
  <c r="D344" i="9" l="1"/>
  <c r="G344" i="9" s="1"/>
  <c r="H344" i="9" s="1"/>
  <c r="I344" i="9" s="1"/>
  <c r="B345" i="9" l="1"/>
  <c r="K344" i="9"/>
  <c r="O344" i="9" s="1"/>
  <c r="J344" i="9"/>
  <c r="L344" i="9" l="1"/>
  <c r="M344" i="9" s="1"/>
  <c r="N344" i="9" s="1"/>
  <c r="C345" i="9"/>
  <c r="D345" i="9" l="1"/>
  <c r="G345" i="9" s="1"/>
  <c r="H345" i="9" s="1"/>
  <c r="J345" i="9" s="1"/>
  <c r="I345" i="9" l="1"/>
  <c r="B346" i="9" l="1"/>
  <c r="K345" i="9"/>
  <c r="O345" i="9" s="1"/>
  <c r="L345" i="9" l="1"/>
  <c r="M345" i="9" s="1"/>
  <c r="N345" i="9" s="1"/>
  <c r="C346" i="9"/>
  <c r="D346" i="9" l="1"/>
  <c r="G346" i="9" s="1"/>
  <c r="H346" i="9" s="1"/>
  <c r="J346" i="9" s="1"/>
  <c r="I346" i="9" l="1"/>
  <c r="B347" i="9" l="1"/>
  <c r="K346" i="9"/>
  <c r="O346" i="9" s="1"/>
  <c r="L346" i="9" l="1"/>
  <c r="M346" i="9" s="1"/>
  <c r="N346" i="9" s="1"/>
  <c r="C347" i="9"/>
  <c r="D347" i="9" l="1"/>
  <c r="G347" i="9" s="1"/>
  <c r="H347" i="9" s="1"/>
  <c r="J347" i="9" s="1"/>
  <c r="I347" i="9" l="1"/>
  <c r="B348" i="9" l="1"/>
  <c r="K347" i="9"/>
  <c r="O347" i="9" s="1"/>
  <c r="L347" i="9" l="1"/>
  <c r="M347" i="9" s="1"/>
  <c r="N347" i="9" s="1"/>
  <c r="C348" i="9"/>
  <c r="D348" i="9" l="1"/>
  <c r="G348" i="9" s="1"/>
  <c r="H348" i="9" s="1"/>
  <c r="J348" i="9" s="1"/>
  <c r="I348" i="9" l="1"/>
  <c r="B349" i="9" l="1"/>
  <c r="K348" i="9"/>
  <c r="O348" i="9" s="1"/>
  <c r="L348" i="9" l="1"/>
  <c r="M348" i="9" s="1"/>
  <c r="N348" i="9" s="1"/>
  <c r="C349" i="9"/>
  <c r="D349" i="9" l="1"/>
  <c r="G349" i="9" s="1"/>
  <c r="H349" i="9" s="1"/>
  <c r="J349" i="9" s="1"/>
  <c r="I349" i="9" l="1"/>
  <c r="B350" i="9" l="1"/>
  <c r="K349" i="9"/>
  <c r="O349" i="9" s="1"/>
  <c r="L349" i="9" l="1"/>
  <c r="M349" i="9" s="1"/>
  <c r="N349" i="9" s="1"/>
  <c r="C350" i="9"/>
  <c r="D350" i="9" l="1"/>
  <c r="G350" i="9" s="1"/>
  <c r="H350" i="9" s="1"/>
  <c r="J350" i="9" s="1"/>
  <c r="I350" i="9" l="1"/>
  <c r="B351" i="9" l="1"/>
  <c r="K350" i="9"/>
  <c r="O350" i="9" s="1"/>
  <c r="L350" i="9" l="1"/>
  <c r="M350" i="9" s="1"/>
  <c r="N350" i="9" s="1"/>
  <c r="C351" i="9"/>
  <c r="D351" i="9" l="1"/>
  <c r="G351" i="9" s="1"/>
  <c r="H351" i="9" s="1"/>
  <c r="J351" i="9" s="1"/>
  <c r="I351" i="9" l="1"/>
  <c r="B352" i="9" l="1"/>
  <c r="K351" i="9"/>
  <c r="O351" i="9" s="1"/>
  <c r="L351" i="9" l="1"/>
  <c r="M351" i="9" s="1"/>
  <c r="N351" i="9" s="1"/>
  <c r="C352" i="9"/>
  <c r="D352" i="9" l="1"/>
  <c r="G352" i="9" s="1"/>
  <c r="H352" i="9" s="1"/>
  <c r="I352" i="9" s="1"/>
  <c r="B353" i="9" l="1"/>
  <c r="K352" i="9"/>
  <c r="O352" i="9" s="1"/>
  <c r="J352" i="9"/>
  <c r="L352" i="9" l="1"/>
  <c r="M352" i="9" s="1"/>
  <c r="N352" i="9" s="1"/>
  <c r="C353" i="9"/>
  <c r="D353" i="9" l="1"/>
  <c r="G353" i="9" s="1"/>
  <c r="H353" i="9" s="1"/>
  <c r="J353" i="9" s="1"/>
  <c r="I353" i="9" l="1"/>
  <c r="B354" i="9" l="1"/>
  <c r="K353" i="9"/>
  <c r="O353" i="9" s="1"/>
  <c r="L353" i="9" l="1"/>
  <c r="M353" i="9" s="1"/>
  <c r="N353" i="9" s="1"/>
  <c r="C354" i="9"/>
  <c r="D354" i="9" l="1"/>
  <c r="G354" i="9" s="1"/>
  <c r="H354" i="9" s="1"/>
  <c r="J354" i="9" s="1"/>
  <c r="I354" i="9" l="1"/>
  <c r="B355" i="9" l="1"/>
  <c r="K354" i="9"/>
  <c r="O354" i="9" s="1"/>
  <c r="L354" i="9" l="1"/>
  <c r="M354" i="9" s="1"/>
  <c r="N354" i="9" s="1"/>
  <c r="C355" i="9"/>
  <c r="D355" i="9" l="1"/>
  <c r="G355" i="9" s="1"/>
  <c r="H355" i="9" s="1"/>
  <c r="J355" i="9" s="1"/>
  <c r="I355" i="9" l="1"/>
  <c r="B356" i="9" l="1"/>
  <c r="K355" i="9"/>
  <c r="O355" i="9" s="1"/>
  <c r="L355" i="9" l="1"/>
  <c r="M355" i="9" s="1"/>
  <c r="N355" i="9" s="1"/>
  <c r="C356" i="9"/>
  <c r="D356" i="9" l="1"/>
  <c r="G356" i="9" s="1"/>
  <c r="H356" i="9" s="1"/>
  <c r="J356" i="9" s="1"/>
  <c r="I356" i="9" l="1"/>
  <c r="B357" i="9" l="1"/>
  <c r="K356" i="9"/>
  <c r="O356" i="9" s="1"/>
  <c r="L356" i="9" l="1"/>
  <c r="M356" i="9" s="1"/>
  <c r="N356" i="9" s="1"/>
  <c r="C357" i="9"/>
  <c r="D357" i="9" l="1"/>
  <c r="G357" i="9" s="1"/>
  <c r="H357" i="9" s="1"/>
  <c r="J357" i="9" s="1"/>
  <c r="I357" i="9" l="1"/>
  <c r="B358" i="9" l="1"/>
  <c r="K357" i="9"/>
  <c r="O357" i="9" s="1"/>
  <c r="L357" i="9" l="1"/>
  <c r="M357" i="9" s="1"/>
  <c r="N357" i="9" s="1"/>
  <c r="C358" i="9"/>
  <c r="D358" i="9" l="1"/>
  <c r="G358" i="9" s="1"/>
  <c r="H358" i="9" s="1"/>
  <c r="J358" i="9" s="1"/>
  <c r="I358" i="9" l="1"/>
  <c r="B359" i="9" l="1"/>
  <c r="K358" i="9"/>
  <c r="O358" i="9" s="1"/>
  <c r="L358" i="9" l="1"/>
  <c r="M358" i="9" s="1"/>
  <c r="N358" i="9" s="1"/>
  <c r="C359" i="9"/>
  <c r="D359" i="9" l="1"/>
  <c r="G359" i="9" s="1"/>
  <c r="H359" i="9" s="1"/>
  <c r="J359" i="9" s="1"/>
  <c r="I359" i="9" l="1"/>
  <c r="B360" i="9" s="1"/>
  <c r="K359" i="9" l="1"/>
  <c r="O359" i="9" s="1"/>
  <c r="C360" i="9"/>
  <c r="L359" i="9" l="1"/>
  <c r="M359" i="9" s="1"/>
  <c r="N359" i="9" s="1"/>
  <c r="D360" i="9"/>
  <c r="G360" i="9" s="1"/>
  <c r="H360" i="9" s="1"/>
  <c r="I360" i="9" s="1"/>
  <c r="B361" i="9" l="1"/>
  <c r="K360" i="9"/>
  <c r="O360" i="9" s="1"/>
  <c r="J360" i="9"/>
  <c r="L360" i="9" l="1"/>
  <c r="M360" i="9" s="1"/>
  <c r="N360" i="9" s="1"/>
  <c r="C361" i="9"/>
  <c r="D361" i="9" l="1"/>
  <c r="G361" i="9" s="1"/>
  <c r="H361" i="9" s="1"/>
  <c r="J361" i="9" s="1"/>
  <c r="I361" i="9" l="1"/>
  <c r="B362" i="9" l="1"/>
  <c r="K361" i="9"/>
  <c r="O361" i="9" s="1"/>
  <c r="L361" i="9" l="1"/>
  <c r="M361" i="9" s="1"/>
  <c r="N361" i="9" s="1"/>
  <c r="C362" i="9"/>
  <c r="D362" i="9" l="1"/>
  <c r="G362" i="9" s="1"/>
  <c r="H362" i="9" s="1"/>
  <c r="J362" i="9" s="1"/>
  <c r="I362" i="9" l="1"/>
  <c r="B363" i="9" l="1"/>
  <c r="K362" i="9"/>
  <c r="O362" i="9" s="1"/>
  <c r="L362" i="9" l="1"/>
  <c r="M362" i="9" s="1"/>
  <c r="N362" i="9" s="1"/>
  <c r="C363" i="9"/>
  <c r="D363" i="9" l="1"/>
  <c r="G363" i="9" s="1"/>
  <c r="H363" i="9" s="1"/>
  <c r="J363" i="9" s="1"/>
  <c r="I363" i="9" l="1"/>
  <c r="B364" i="9" l="1"/>
  <c r="K363" i="9"/>
  <c r="O363" i="9" s="1"/>
  <c r="L363" i="9" l="1"/>
  <c r="M363" i="9" s="1"/>
  <c r="N363" i="9" s="1"/>
  <c r="C364" i="9"/>
  <c r="D364" i="9" l="1"/>
  <c r="G364" i="9" s="1"/>
  <c r="H364" i="9" s="1"/>
  <c r="J364" i="9" s="1"/>
  <c r="I364" i="9" l="1"/>
  <c r="B365" i="9" l="1"/>
  <c r="K364" i="9"/>
  <c r="O364" i="9" s="1"/>
  <c r="L364" i="9" l="1"/>
  <c r="M364" i="9" s="1"/>
  <c r="N364" i="9" s="1"/>
  <c r="C365" i="9"/>
  <c r="D365" i="9" l="1"/>
  <c r="G365" i="9" s="1"/>
  <c r="H365" i="9" s="1"/>
  <c r="J365" i="9" s="1"/>
  <c r="I365" i="9" l="1"/>
  <c r="B366" i="9" l="1"/>
  <c r="K365" i="9"/>
  <c r="O365" i="9" s="1"/>
  <c r="L365" i="9" l="1"/>
  <c r="M365" i="9" s="1"/>
  <c r="N365" i="9" s="1"/>
  <c r="C366" i="9"/>
  <c r="D366" i="9" l="1"/>
  <c r="G366" i="9" s="1"/>
  <c r="H366" i="9" s="1"/>
  <c r="J366" i="9" s="1"/>
  <c r="I366" i="9" l="1"/>
  <c r="B367" i="9" l="1"/>
  <c r="K366" i="9"/>
  <c r="O366" i="9" s="1"/>
  <c r="L366" i="9" l="1"/>
  <c r="M366" i="9" s="1"/>
  <c r="N366" i="9" s="1"/>
  <c r="C367" i="9"/>
  <c r="D367" i="9" l="1"/>
  <c r="G367" i="9" s="1"/>
  <c r="H367" i="9" s="1"/>
  <c r="J367" i="9" s="1"/>
  <c r="I367" i="9" l="1"/>
  <c r="B368" i="9" l="1"/>
  <c r="K367" i="9"/>
  <c r="O367" i="9" s="1"/>
  <c r="L367" i="9" l="1"/>
  <c r="M367" i="9" s="1"/>
  <c r="N367" i="9" s="1"/>
  <c r="C368" i="9"/>
  <c r="D368" i="9" l="1"/>
  <c r="G368" i="9" s="1"/>
  <c r="H368" i="9" s="1"/>
  <c r="I368" i="9" s="1"/>
  <c r="B369" i="9" l="1"/>
  <c r="K368" i="9"/>
  <c r="O368" i="9" s="1"/>
  <c r="J368" i="9"/>
  <c r="L368" i="9" l="1"/>
  <c r="M368" i="9" s="1"/>
  <c r="N368" i="9" s="1"/>
  <c r="C369" i="9"/>
  <c r="D369" i="9" l="1"/>
  <c r="G369" i="9" s="1"/>
  <c r="H369" i="9" s="1"/>
  <c r="J369" i="9" s="1"/>
  <c r="I369" i="9" l="1"/>
  <c r="B370" i="9" l="1"/>
  <c r="K369" i="9"/>
  <c r="O369" i="9" s="1"/>
  <c r="L369" i="9" l="1"/>
  <c r="M369" i="9" s="1"/>
  <c r="N369" i="9" s="1"/>
  <c r="C370" i="9"/>
  <c r="D370" i="9" l="1"/>
  <c r="G370" i="9" s="1"/>
  <c r="H370" i="9" s="1"/>
  <c r="J370" i="9" s="1"/>
  <c r="I370" i="9" l="1"/>
  <c r="B371" i="9" l="1"/>
  <c r="K370" i="9"/>
  <c r="O370" i="9" s="1"/>
  <c r="L370" i="9" l="1"/>
  <c r="M370" i="9" s="1"/>
  <c r="N370" i="9" s="1"/>
  <c r="C371" i="9"/>
  <c r="D371" i="9" l="1"/>
  <c r="G371" i="9" s="1"/>
  <c r="H371" i="9" s="1"/>
  <c r="J371" i="9" s="1"/>
  <c r="I371" i="9" l="1"/>
  <c r="B372" i="9" l="1"/>
  <c r="K371" i="9"/>
  <c r="O371" i="9" s="1"/>
  <c r="L371" i="9" l="1"/>
  <c r="M371" i="9" s="1"/>
  <c r="N371" i="9" s="1"/>
  <c r="C372" i="9"/>
  <c r="D372" i="9" l="1"/>
  <c r="G372" i="9" s="1"/>
  <c r="H372" i="9" s="1"/>
  <c r="J372" i="9" s="1"/>
  <c r="I372" i="9" l="1"/>
  <c r="B373" i="9" l="1"/>
  <c r="K372" i="9"/>
  <c r="O372" i="9" s="1"/>
  <c r="L372" i="9" l="1"/>
  <c r="M372" i="9" s="1"/>
  <c r="N372" i="9" s="1"/>
  <c r="C373" i="9"/>
  <c r="D373" i="9" l="1"/>
  <c r="G373" i="9" s="1"/>
  <c r="H373" i="9" s="1"/>
  <c r="J373" i="9" s="1"/>
  <c r="I373" i="9" l="1"/>
  <c r="B374" i="9" l="1"/>
  <c r="K373" i="9"/>
  <c r="O373" i="9" s="1"/>
  <c r="L373" i="9" l="1"/>
  <c r="M373" i="9" s="1"/>
  <c r="N373" i="9" s="1"/>
  <c r="C374" i="9"/>
  <c r="D374" i="9" l="1"/>
  <c r="G374" i="9" s="1"/>
  <c r="H374" i="9" s="1"/>
  <c r="J374" i="9" s="1"/>
  <c r="I374" i="9" l="1"/>
  <c r="B375" i="9" l="1"/>
  <c r="K374" i="9"/>
  <c r="O374" i="9" s="1"/>
  <c r="L374" i="9" l="1"/>
  <c r="M374" i="9" s="1"/>
  <c r="N374" i="9" s="1"/>
  <c r="C375" i="9"/>
  <c r="D375" i="9" l="1"/>
  <c r="G375" i="9" s="1"/>
  <c r="H375" i="9" s="1"/>
  <c r="J375" i="9" s="1"/>
  <c r="I375" i="9" l="1"/>
  <c r="B376" i="9" l="1"/>
  <c r="K375" i="9"/>
  <c r="O375" i="9" s="1"/>
  <c r="L375" i="9" l="1"/>
  <c r="M375" i="9" s="1"/>
  <c r="N375" i="9" s="1"/>
  <c r="C376" i="9"/>
  <c r="D376" i="9" l="1"/>
  <c r="G376" i="9" s="1"/>
  <c r="H376" i="9" s="1"/>
  <c r="I376" i="9" s="1"/>
  <c r="B377" i="9" l="1"/>
  <c r="K376" i="9"/>
  <c r="O376" i="9" s="1"/>
  <c r="J376" i="9"/>
  <c r="L376" i="9" l="1"/>
  <c r="M376" i="9" s="1"/>
  <c r="N376" i="9" s="1"/>
  <c r="C377" i="9"/>
  <c r="D377" i="9" l="1"/>
  <c r="G377" i="9" s="1"/>
  <c r="H377" i="9" s="1"/>
  <c r="J377" i="9" s="1"/>
  <c r="I377" i="9" l="1"/>
  <c r="B378" i="9" l="1"/>
  <c r="K377" i="9"/>
  <c r="O377" i="9" s="1"/>
  <c r="L377" i="9" l="1"/>
  <c r="M377" i="9" s="1"/>
  <c r="N377" i="9" s="1"/>
  <c r="C378" i="9"/>
  <c r="D378" i="9" l="1"/>
  <c r="G378" i="9" s="1"/>
  <c r="H378" i="9" s="1"/>
  <c r="J378" i="9" s="1"/>
  <c r="I378" i="9" l="1"/>
  <c r="B379" i="9" l="1"/>
  <c r="K378" i="9"/>
  <c r="O378" i="9" s="1"/>
  <c r="L378" i="9" l="1"/>
  <c r="M378" i="9" s="1"/>
  <c r="N378" i="9" s="1"/>
  <c r="C379" i="9"/>
  <c r="D379" i="9" l="1"/>
  <c r="G379" i="9" s="1"/>
  <c r="H379" i="9" s="1"/>
  <c r="J379" i="9" s="1"/>
  <c r="I379" i="9" l="1"/>
  <c r="B380" i="9" l="1"/>
  <c r="K379" i="9"/>
  <c r="O379" i="9" s="1"/>
  <c r="L379" i="9" l="1"/>
  <c r="M379" i="9" s="1"/>
  <c r="N379" i="9" s="1"/>
  <c r="C380" i="9"/>
  <c r="D380" i="9" l="1"/>
  <c r="G380" i="9" s="1"/>
  <c r="H380" i="9" s="1"/>
  <c r="J380" i="9" s="1"/>
  <c r="I380" i="9" l="1"/>
  <c r="B381" i="9" l="1"/>
  <c r="K380" i="9"/>
  <c r="O380" i="9" s="1"/>
  <c r="L380" i="9" l="1"/>
  <c r="M380" i="9" s="1"/>
  <c r="N380" i="9" s="1"/>
  <c r="C381" i="9"/>
  <c r="D381" i="9" l="1"/>
  <c r="G381" i="9" s="1"/>
  <c r="H381" i="9" s="1"/>
  <c r="J381" i="9" s="1"/>
  <c r="I381" i="9" l="1"/>
  <c r="B382" i="9" l="1"/>
  <c r="K381" i="9"/>
  <c r="O381" i="9" s="1"/>
  <c r="L381" i="9" l="1"/>
  <c r="M381" i="9" s="1"/>
  <c r="N381" i="9" s="1"/>
  <c r="C382" i="9"/>
  <c r="D382" i="9" l="1"/>
  <c r="G382" i="9" s="1"/>
  <c r="H382" i="9" s="1"/>
  <c r="J382" i="9" s="1"/>
  <c r="I382" i="9" l="1"/>
  <c r="B383" i="9" l="1"/>
  <c r="K382" i="9"/>
  <c r="O382" i="9" s="1"/>
  <c r="L382" i="9" l="1"/>
  <c r="M382" i="9" s="1"/>
  <c r="N382" i="9" s="1"/>
  <c r="C383" i="9"/>
  <c r="D383" i="9" l="1"/>
  <c r="G383" i="9" s="1"/>
  <c r="H383" i="9" s="1"/>
  <c r="J383" i="9" s="1"/>
  <c r="I383" i="9" l="1"/>
  <c r="B384" i="9" l="1"/>
  <c r="K383" i="9"/>
  <c r="O383" i="9" s="1"/>
  <c r="L383" i="9" l="1"/>
  <c r="M383" i="9" s="1"/>
  <c r="N383" i="9" s="1"/>
  <c r="C384" i="9"/>
  <c r="D384" i="9" l="1"/>
  <c r="G384" i="9" s="1"/>
  <c r="H384" i="9" s="1"/>
  <c r="I384" i="9" s="1"/>
  <c r="B385" i="9" l="1"/>
  <c r="K384" i="9"/>
  <c r="O384" i="9" s="1"/>
  <c r="J384" i="9"/>
  <c r="L384" i="9" l="1"/>
  <c r="M384" i="9" s="1"/>
  <c r="N384" i="9" s="1"/>
  <c r="C385" i="9"/>
  <c r="D385" i="9" l="1"/>
  <c r="G385" i="9" s="1"/>
  <c r="H385" i="9" s="1"/>
  <c r="J385" i="9" s="1"/>
  <c r="I385" i="9" l="1"/>
  <c r="B386" i="9" l="1"/>
  <c r="K385" i="9"/>
  <c r="O385" i="9" s="1"/>
  <c r="L385" i="9" l="1"/>
  <c r="M385" i="9" s="1"/>
  <c r="N385" i="9" s="1"/>
  <c r="C386" i="9"/>
  <c r="D386" i="9" l="1"/>
  <c r="G386" i="9" s="1"/>
  <c r="H386" i="9" s="1"/>
  <c r="J386" i="9" s="1"/>
  <c r="I386" i="9" l="1"/>
  <c r="B387" i="9" l="1"/>
  <c r="K386" i="9"/>
  <c r="O386" i="9" s="1"/>
  <c r="L386" i="9" l="1"/>
  <c r="M386" i="9" s="1"/>
  <c r="N386" i="9" s="1"/>
  <c r="C387" i="9"/>
  <c r="D387" i="9" l="1"/>
  <c r="G387" i="9" s="1"/>
  <c r="H387" i="9" s="1"/>
  <c r="J387" i="9" s="1"/>
  <c r="I387" i="9" l="1"/>
  <c r="B388" i="9" l="1"/>
  <c r="K387" i="9"/>
  <c r="O387" i="9" s="1"/>
  <c r="L387" i="9" l="1"/>
  <c r="M387" i="9" s="1"/>
  <c r="N387" i="9" s="1"/>
  <c r="C388" i="9"/>
  <c r="D388" i="9" l="1"/>
  <c r="G388" i="9" s="1"/>
  <c r="H388" i="9" s="1"/>
  <c r="J388" i="9" s="1"/>
  <c r="I388" i="9" l="1"/>
  <c r="B389" i="9" l="1"/>
  <c r="K388" i="9"/>
  <c r="O388" i="9" s="1"/>
  <c r="L388" i="9" l="1"/>
  <c r="M388" i="9" s="1"/>
  <c r="N388" i="9" s="1"/>
  <c r="C389" i="9"/>
  <c r="D389" i="9" l="1"/>
  <c r="G389" i="9" s="1"/>
  <c r="H389" i="9" s="1"/>
  <c r="J389" i="9" s="1"/>
  <c r="I389" i="9" l="1"/>
  <c r="B390" i="9" l="1"/>
  <c r="K389" i="9"/>
  <c r="O389" i="9" s="1"/>
  <c r="L389" i="9" l="1"/>
  <c r="M389" i="9" s="1"/>
  <c r="N389" i="9" s="1"/>
  <c r="C390" i="9"/>
  <c r="D390" i="9" l="1"/>
  <c r="G390" i="9" s="1"/>
  <c r="H390" i="9" s="1"/>
  <c r="J390" i="9" s="1"/>
  <c r="I390" i="9" l="1"/>
  <c r="B391" i="9" l="1"/>
  <c r="K390" i="9"/>
  <c r="O390" i="9" s="1"/>
  <c r="L390" i="9" l="1"/>
  <c r="M390" i="9" s="1"/>
  <c r="N390" i="9" s="1"/>
  <c r="C391" i="9"/>
  <c r="D391" i="9" l="1"/>
  <c r="G391" i="9" s="1"/>
  <c r="H391" i="9" s="1"/>
  <c r="J391" i="9" s="1"/>
  <c r="I391" i="9" l="1"/>
  <c r="B392" i="9" l="1"/>
  <c r="K391" i="9"/>
  <c r="O391" i="9" s="1"/>
  <c r="L391" i="9" l="1"/>
  <c r="M391" i="9" s="1"/>
  <c r="N391" i="9" s="1"/>
  <c r="C392" i="9"/>
  <c r="D392" i="9" l="1"/>
  <c r="G392" i="9" s="1"/>
  <c r="H392" i="9" s="1"/>
  <c r="I392" i="9" s="1"/>
  <c r="B393" i="9" l="1"/>
  <c r="K392" i="9"/>
  <c r="O392" i="9" s="1"/>
  <c r="J392" i="9"/>
  <c r="L392" i="9" l="1"/>
  <c r="M392" i="9" s="1"/>
  <c r="N392" i="9" s="1"/>
  <c r="C393" i="9"/>
  <c r="D393" i="9" l="1"/>
  <c r="G393" i="9" s="1"/>
  <c r="H393" i="9" s="1"/>
  <c r="J393" i="9" s="1"/>
  <c r="I393" i="9" l="1"/>
  <c r="B394" i="9" l="1"/>
  <c r="K393" i="9"/>
  <c r="O393" i="9" s="1"/>
  <c r="L393" i="9" l="1"/>
  <c r="M393" i="9" s="1"/>
  <c r="N393" i="9" s="1"/>
  <c r="C394" i="9"/>
  <c r="D394" i="9" l="1"/>
  <c r="G394" i="9" s="1"/>
  <c r="H394" i="9" s="1"/>
  <c r="J394" i="9" s="1"/>
  <c r="I394" i="9" l="1"/>
  <c r="B395" i="9" l="1"/>
  <c r="K394" i="9"/>
  <c r="O394" i="9" s="1"/>
  <c r="L394" i="9" l="1"/>
  <c r="M394" i="9" s="1"/>
  <c r="N394" i="9" s="1"/>
  <c r="C395" i="9"/>
  <c r="D395" i="9" l="1"/>
  <c r="G395" i="9" s="1"/>
  <c r="H395" i="9" s="1"/>
  <c r="J395" i="9" s="1"/>
  <c r="I395" i="9" l="1"/>
  <c r="B396" i="9" l="1"/>
  <c r="K395" i="9"/>
  <c r="O395" i="9" s="1"/>
  <c r="L395" i="9" l="1"/>
  <c r="M395" i="9" s="1"/>
  <c r="N395" i="9" s="1"/>
  <c r="C396" i="9"/>
  <c r="D396" i="9" l="1"/>
  <c r="G396" i="9" s="1"/>
  <c r="H396" i="9" s="1"/>
  <c r="J396" i="9" s="1"/>
  <c r="I396" i="9" l="1"/>
  <c r="B397" i="9" l="1"/>
  <c r="K396" i="9"/>
  <c r="O396" i="9" s="1"/>
  <c r="L396" i="9" l="1"/>
  <c r="M396" i="9" s="1"/>
  <c r="N396" i="9" s="1"/>
  <c r="C397" i="9"/>
  <c r="D397" i="9" l="1"/>
  <c r="G397" i="9" s="1"/>
  <c r="H397" i="9" s="1"/>
  <c r="I397" i="9" s="1"/>
  <c r="B398" i="9" l="1"/>
  <c r="K397" i="9"/>
  <c r="O397" i="9" s="1"/>
  <c r="J397" i="9"/>
  <c r="L397" i="9" l="1"/>
  <c r="M397" i="9" s="1"/>
  <c r="N397" i="9" s="1"/>
  <c r="C398" i="9"/>
  <c r="D398" i="9" l="1"/>
  <c r="G398" i="9" s="1"/>
  <c r="H398" i="9" s="1"/>
  <c r="J398" i="9" s="1"/>
  <c r="I398" i="9" l="1"/>
  <c r="B399" i="9" l="1"/>
  <c r="K398" i="9"/>
  <c r="O398" i="9" s="1"/>
  <c r="L398" i="9" l="1"/>
  <c r="M398" i="9" s="1"/>
  <c r="N398" i="9" s="1"/>
  <c r="C399" i="9"/>
  <c r="D399" i="9" l="1"/>
  <c r="G399" i="9" s="1"/>
  <c r="H399" i="9" s="1"/>
  <c r="J399" i="9" s="1"/>
  <c r="I399" i="9" l="1"/>
  <c r="B400" i="9" l="1"/>
  <c r="K399" i="9"/>
  <c r="O399" i="9" s="1"/>
  <c r="L399" i="9" l="1"/>
  <c r="M399" i="9" s="1"/>
  <c r="N399" i="9" s="1"/>
  <c r="C400" i="9"/>
  <c r="D400" i="9" l="1"/>
  <c r="G400" i="9" s="1"/>
  <c r="H400" i="9" s="1"/>
  <c r="I400" i="9" s="1"/>
  <c r="B401" i="9" l="1"/>
  <c r="K400" i="9"/>
  <c r="O400" i="9" s="1"/>
  <c r="J400" i="9"/>
  <c r="L400" i="9" l="1"/>
  <c r="M400" i="9" s="1"/>
  <c r="N400" i="9" s="1"/>
  <c r="C401" i="9"/>
  <c r="D401" i="9" l="1"/>
  <c r="G401" i="9" s="1"/>
  <c r="H401" i="9" s="1"/>
  <c r="J401" i="9" s="1"/>
  <c r="I401" i="9" l="1"/>
  <c r="B402" i="9" l="1"/>
  <c r="K401" i="9"/>
  <c r="O401" i="9" s="1"/>
  <c r="L401" i="9" l="1"/>
  <c r="M401" i="9" s="1"/>
  <c r="N401" i="9" s="1"/>
  <c r="C402" i="9"/>
  <c r="D402" i="9" l="1"/>
  <c r="G402" i="9" s="1"/>
  <c r="H402" i="9" s="1"/>
  <c r="J402" i="9" s="1"/>
  <c r="I402" i="9" l="1"/>
  <c r="B403" i="9" l="1"/>
  <c r="K402" i="9"/>
  <c r="O402" i="9" s="1"/>
  <c r="L402" i="9" l="1"/>
  <c r="M402" i="9" s="1"/>
  <c r="N402" i="9" s="1"/>
  <c r="C403" i="9"/>
  <c r="D403" i="9" l="1"/>
  <c r="G403" i="9" s="1"/>
  <c r="H403" i="9" s="1"/>
  <c r="J403" i="9" s="1"/>
  <c r="I403" i="9" l="1"/>
  <c r="B404" i="9" l="1"/>
  <c r="K403" i="9"/>
  <c r="O403" i="9" s="1"/>
  <c r="L403" i="9" l="1"/>
  <c r="M403" i="9" s="1"/>
  <c r="N403" i="9" s="1"/>
  <c r="C404" i="9"/>
  <c r="D404" i="9" l="1"/>
  <c r="G404" i="9" s="1"/>
  <c r="H404" i="9" s="1"/>
  <c r="J404" i="9" s="1"/>
  <c r="I404" i="9" l="1"/>
  <c r="B405" i="9" l="1"/>
  <c r="K404" i="9"/>
  <c r="O404" i="9" s="1"/>
  <c r="L404" i="9" l="1"/>
  <c r="M404" i="9" s="1"/>
  <c r="N404" i="9" s="1"/>
  <c r="C405" i="9"/>
  <c r="D405" i="9" l="1"/>
  <c r="G405" i="9" s="1"/>
  <c r="H405" i="9" s="1"/>
  <c r="I405" i="9" s="1"/>
  <c r="B406" i="9" l="1"/>
  <c r="K405" i="9"/>
  <c r="O405" i="9" s="1"/>
  <c r="J405" i="9"/>
  <c r="L405" i="9" l="1"/>
  <c r="M405" i="9" s="1"/>
  <c r="N405" i="9" s="1"/>
  <c r="C406" i="9"/>
  <c r="D406" i="9" l="1"/>
  <c r="G406" i="9" s="1"/>
  <c r="H406" i="9" s="1"/>
  <c r="J406" i="9" s="1"/>
  <c r="I406" i="9" l="1"/>
  <c r="B407" i="9" l="1"/>
  <c r="K406" i="9"/>
  <c r="O406" i="9" s="1"/>
  <c r="L406" i="9" l="1"/>
  <c r="M406" i="9" s="1"/>
  <c r="N406" i="9" s="1"/>
  <c r="C407" i="9"/>
  <c r="D407" i="9" l="1"/>
  <c r="G407" i="9" s="1"/>
  <c r="H407" i="9" s="1"/>
  <c r="J407" i="9" s="1"/>
  <c r="I407" i="9" l="1"/>
  <c r="B408" i="9" l="1"/>
  <c r="K407" i="9"/>
  <c r="O407" i="9" s="1"/>
  <c r="L407" i="9" l="1"/>
  <c r="M407" i="9" s="1"/>
  <c r="N407" i="9" s="1"/>
  <c r="C408" i="9"/>
  <c r="D408" i="9" l="1"/>
  <c r="G408" i="9" s="1"/>
  <c r="H408" i="9" s="1"/>
  <c r="J408" i="9" s="1"/>
  <c r="I408" i="9" l="1"/>
  <c r="B409" i="9" l="1"/>
  <c r="K408" i="9"/>
  <c r="O408" i="9" s="1"/>
  <c r="L408" i="9" l="1"/>
  <c r="M408" i="9" s="1"/>
  <c r="N408" i="9" s="1"/>
  <c r="C409" i="9"/>
  <c r="D409" i="9" l="1"/>
  <c r="G409" i="9" s="1"/>
  <c r="H409" i="9" s="1"/>
  <c r="J409" i="9" s="1"/>
  <c r="I409" i="9" l="1"/>
  <c r="B410" i="9" l="1"/>
  <c r="K409" i="9"/>
  <c r="O409" i="9" s="1"/>
  <c r="L409" i="9" l="1"/>
  <c r="M409" i="9" s="1"/>
  <c r="N409" i="9" s="1"/>
  <c r="C410" i="9"/>
  <c r="D410" i="9" l="1"/>
  <c r="G410" i="9" s="1"/>
  <c r="H410" i="9" s="1"/>
  <c r="J410" i="9" s="1"/>
  <c r="I410" i="9" l="1"/>
  <c r="B411" i="9" l="1"/>
  <c r="K410" i="9"/>
  <c r="O410" i="9" s="1"/>
  <c r="L410" i="9" l="1"/>
  <c r="M410" i="9" s="1"/>
  <c r="N410" i="9" s="1"/>
  <c r="C411" i="9"/>
  <c r="D411" i="9" l="1"/>
  <c r="G411" i="9" s="1"/>
  <c r="H411" i="9" s="1"/>
  <c r="J411" i="9" s="1"/>
  <c r="I411" i="9" l="1"/>
  <c r="B412" i="9" l="1"/>
  <c r="K411" i="9"/>
  <c r="O411" i="9" s="1"/>
  <c r="L411" i="9" l="1"/>
  <c r="M411" i="9" s="1"/>
  <c r="N411" i="9" s="1"/>
  <c r="C412" i="9"/>
  <c r="D412" i="9" l="1"/>
  <c r="G412" i="9" s="1"/>
  <c r="H412" i="9" s="1"/>
  <c r="I412" i="9" s="1"/>
  <c r="B413" i="9" l="1"/>
  <c r="K412" i="9"/>
  <c r="O412" i="9" s="1"/>
  <c r="J412" i="9"/>
  <c r="L412" i="9" l="1"/>
  <c r="M412" i="9" s="1"/>
  <c r="N412" i="9" s="1"/>
  <c r="C413" i="9"/>
  <c r="D413" i="9" l="1"/>
  <c r="G413" i="9" s="1"/>
  <c r="H413" i="9" s="1"/>
  <c r="I413" i="9" s="1"/>
  <c r="B414" i="9" l="1"/>
  <c r="K413" i="9"/>
  <c r="O413" i="9" s="1"/>
  <c r="J413" i="9"/>
  <c r="L413" i="9" l="1"/>
  <c r="M413" i="9" s="1"/>
  <c r="N413" i="9" s="1"/>
  <c r="C414" i="9"/>
  <c r="D414" i="9" l="1"/>
  <c r="G414" i="9" s="1"/>
  <c r="H414" i="9" s="1"/>
  <c r="J414" i="9" s="1"/>
  <c r="I414" i="9" l="1"/>
  <c r="B415" i="9" l="1"/>
  <c r="K414" i="9"/>
  <c r="O414" i="9" s="1"/>
  <c r="L414" i="9" l="1"/>
  <c r="M414" i="9" s="1"/>
  <c r="N414" i="9" s="1"/>
  <c r="C415" i="9"/>
  <c r="D415" i="9" l="1"/>
  <c r="G415" i="9" s="1"/>
  <c r="H415" i="9" s="1"/>
  <c r="I415" i="9" s="1"/>
  <c r="B416" i="9" l="1"/>
  <c r="K415" i="9"/>
  <c r="O415" i="9" s="1"/>
  <c r="J415" i="9"/>
  <c r="L415" i="9" l="1"/>
  <c r="M415" i="9" s="1"/>
  <c r="N415" i="9" s="1"/>
  <c r="C416" i="9"/>
  <c r="D416" i="9" l="1"/>
  <c r="G416" i="9" s="1"/>
  <c r="H416" i="9" s="1"/>
  <c r="I416" i="9" s="1"/>
  <c r="B417" i="9" l="1"/>
  <c r="K416" i="9"/>
  <c r="O416" i="9" s="1"/>
  <c r="J416" i="9"/>
  <c r="L416" i="9" l="1"/>
  <c r="M416" i="9" s="1"/>
  <c r="N416" i="9" s="1"/>
  <c r="C417" i="9"/>
  <c r="D417" i="9" l="1"/>
  <c r="G417" i="9" s="1"/>
  <c r="H417" i="9" s="1"/>
  <c r="J417" i="9" s="1"/>
  <c r="I417" i="9" l="1"/>
  <c r="B418" i="9" l="1"/>
  <c r="K417" i="9"/>
  <c r="O417" i="9" s="1"/>
  <c r="L417" i="9" l="1"/>
  <c r="M417" i="9" s="1"/>
  <c r="N417" i="9" s="1"/>
  <c r="C418" i="9"/>
  <c r="D418" i="9" l="1"/>
  <c r="G418" i="9" s="1"/>
  <c r="H418" i="9" s="1"/>
  <c r="J418" i="9" s="1"/>
  <c r="I418" i="9" l="1"/>
  <c r="B419" i="9" l="1"/>
  <c r="K418" i="9"/>
  <c r="O418" i="9" s="1"/>
  <c r="L418" i="9" l="1"/>
  <c r="M418" i="9" s="1"/>
  <c r="N418" i="9" s="1"/>
  <c r="C419" i="9"/>
  <c r="D419" i="9" l="1"/>
  <c r="G419" i="9" s="1"/>
  <c r="H419" i="9" s="1"/>
  <c r="J419" i="9" s="1"/>
  <c r="I419" i="9" l="1"/>
  <c r="B420" i="9" s="1"/>
  <c r="K419" i="9" l="1"/>
  <c r="C420" i="9"/>
  <c r="L419" i="9" l="1"/>
  <c r="M419" i="9" s="1"/>
  <c r="N419" i="9" s="1"/>
  <c r="O419" i="9"/>
  <c r="D420" i="9"/>
  <c r="G420" i="9" s="1"/>
  <c r="H420" i="9" s="1"/>
  <c r="J420" i="9" s="1"/>
  <c r="I420" i="9" l="1"/>
  <c r="B421" i="9" l="1"/>
  <c r="K420" i="9"/>
  <c r="O420" i="9" s="1"/>
  <c r="L420" i="9" l="1"/>
  <c r="M420" i="9" s="1"/>
  <c r="N420" i="9" s="1"/>
  <c r="C421" i="9"/>
  <c r="D421" i="9" l="1"/>
  <c r="G421" i="9" s="1"/>
  <c r="H421" i="9" s="1"/>
  <c r="I421" i="9" s="1"/>
  <c r="B422" i="9" l="1"/>
  <c r="K421" i="9"/>
  <c r="O421" i="9" s="1"/>
  <c r="J421" i="9"/>
  <c r="L421" i="9" l="1"/>
  <c r="M421" i="9" s="1"/>
  <c r="N421" i="9" s="1"/>
  <c r="C422" i="9"/>
  <c r="D422" i="9" l="1"/>
  <c r="G422" i="9" s="1"/>
  <c r="H422" i="9" s="1"/>
  <c r="J422" i="9" s="1"/>
  <c r="I422" i="9" l="1"/>
  <c r="B423" i="9" l="1"/>
  <c r="K422" i="9"/>
  <c r="O422" i="9" s="1"/>
  <c r="L422" i="9" l="1"/>
  <c r="M422" i="9" s="1"/>
  <c r="N422" i="9" s="1"/>
  <c r="C423" i="9"/>
  <c r="D423" i="9" l="1"/>
  <c r="G423" i="9" s="1"/>
  <c r="H423" i="9" s="1"/>
  <c r="J423" i="9" s="1"/>
  <c r="I423" i="9" l="1"/>
  <c r="B424" i="9" l="1"/>
  <c r="K423" i="9"/>
  <c r="O423" i="9" s="1"/>
  <c r="L423" i="9" l="1"/>
  <c r="M423" i="9" s="1"/>
  <c r="N423" i="9" s="1"/>
  <c r="C424" i="9"/>
  <c r="D424" i="9" l="1"/>
  <c r="G424" i="9" s="1"/>
  <c r="H424" i="9" s="1"/>
  <c r="I424" i="9" s="1"/>
  <c r="B425" i="9" l="1"/>
  <c r="K424" i="9"/>
  <c r="O424" i="9" s="1"/>
  <c r="J424" i="9"/>
  <c r="L424" i="9" l="1"/>
  <c r="M424" i="9" s="1"/>
  <c r="N424" i="9" s="1"/>
  <c r="C425" i="9"/>
  <c r="D425" i="9" l="1"/>
  <c r="G425" i="9" s="1"/>
  <c r="H425" i="9" s="1"/>
  <c r="J425" i="9" s="1"/>
  <c r="I425" i="9" l="1"/>
  <c r="B426" i="9" l="1"/>
  <c r="K425" i="9"/>
  <c r="O425" i="9" s="1"/>
  <c r="L425" i="9" l="1"/>
  <c r="M425" i="9" s="1"/>
  <c r="N425" i="9" s="1"/>
  <c r="C426" i="9"/>
  <c r="D426" i="9" l="1"/>
  <c r="G426" i="9" s="1"/>
  <c r="H426" i="9" s="1"/>
  <c r="J426" i="9" s="1"/>
  <c r="I426" i="9" l="1"/>
  <c r="B427" i="9" s="1"/>
  <c r="K426" i="9" l="1"/>
  <c r="O426" i="9" s="1"/>
  <c r="C427" i="9"/>
  <c r="L426" i="9" l="1"/>
  <c r="M426" i="9" s="1"/>
  <c r="N426" i="9" s="1"/>
  <c r="D427" i="9"/>
  <c r="G427" i="9" s="1"/>
  <c r="H427" i="9" s="1"/>
  <c r="J427" i="9" s="1"/>
  <c r="I427" i="9" l="1"/>
  <c r="B428" i="9" l="1"/>
  <c r="K427" i="9"/>
  <c r="O427" i="9" s="1"/>
  <c r="L427" i="9" l="1"/>
  <c r="M427" i="9" s="1"/>
  <c r="N427" i="9" s="1"/>
  <c r="C428" i="9"/>
  <c r="D428" i="9" l="1"/>
  <c r="G428" i="9" s="1"/>
  <c r="H428" i="9" s="1"/>
  <c r="J428" i="9" s="1"/>
  <c r="I428" i="9" l="1"/>
  <c r="B429" i="9" l="1"/>
  <c r="K428" i="9"/>
  <c r="O428" i="9" s="1"/>
  <c r="L428" i="9" l="1"/>
  <c r="M428" i="9" s="1"/>
  <c r="N428" i="9" s="1"/>
  <c r="C429" i="9"/>
  <c r="D429" i="9" l="1"/>
  <c r="G429" i="9" s="1"/>
  <c r="H429" i="9" s="1"/>
  <c r="I429" i="9" s="1"/>
  <c r="B430" i="9" l="1"/>
  <c r="K429" i="9"/>
  <c r="O429" i="9" s="1"/>
  <c r="J429" i="9"/>
  <c r="L429" i="9" l="1"/>
  <c r="M429" i="9" s="1"/>
  <c r="N429" i="9" s="1"/>
  <c r="C430" i="9"/>
  <c r="D430" i="9" l="1"/>
  <c r="G430" i="9" s="1"/>
  <c r="H430" i="9" s="1"/>
  <c r="J430" i="9" s="1"/>
  <c r="I430" i="9" l="1"/>
  <c r="B431" i="9" l="1"/>
  <c r="K430" i="9"/>
  <c r="O430" i="9" s="1"/>
  <c r="L430" i="9" l="1"/>
  <c r="M430" i="9" s="1"/>
  <c r="N430" i="9" s="1"/>
  <c r="C431" i="9"/>
  <c r="D431" i="9" l="1"/>
  <c r="G431" i="9" s="1"/>
  <c r="H431" i="9" s="1"/>
  <c r="J431" i="9" s="1"/>
  <c r="I431" i="9" l="1"/>
  <c r="B432" i="9" l="1"/>
  <c r="K431" i="9"/>
  <c r="O431" i="9" s="1"/>
  <c r="L431" i="9" l="1"/>
  <c r="M431" i="9" s="1"/>
  <c r="N431" i="9" s="1"/>
  <c r="C432" i="9"/>
  <c r="D432" i="9" l="1"/>
  <c r="G432" i="9" s="1"/>
  <c r="H432" i="9" s="1"/>
  <c r="I432" i="9" s="1"/>
  <c r="B433" i="9" l="1"/>
  <c r="K432" i="9"/>
  <c r="O432" i="9" s="1"/>
  <c r="J432" i="9"/>
  <c r="L432" i="9" l="1"/>
  <c r="M432" i="9" s="1"/>
  <c r="N432" i="9" s="1"/>
  <c r="C433" i="9"/>
  <c r="D433" i="9" l="1"/>
  <c r="G433" i="9" s="1"/>
  <c r="H433" i="9" s="1"/>
  <c r="J433" i="9" s="1"/>
  <c r="I433" i="9" l="1"/>
  <c r="B434" i="9" l="1"/>
  <c r="K433" i="9"/>
  <c r="O433" i="9" s="1"/>
  <c r="L433" i="9" l="1"/>
  <c r="M433" i="9" s="1"/>
  <c r="N433" i="9" s="1"/>
  <c r="C434" i="9"/>
  <c r="D434" i="9" l="1"/>
  <c r="G434" i="9" s="1"/>
  <c r="H434" i="9" s="1"/>
  <c r="J434" i="9" s="1"/>
  <c r="I434" i="9" l="1"/>
  <c r="B435" i="9" l="1"/>
  <c r="K434" i="9"/>
  <c r="O434" i="9" s="1"/>
  <c r="L434" i="9" l="1"/>
  <c r="M434" i="9" s="1"/>
  <c r="N434" i="9" s="1"/>
  <c r="C435" i="9"/>
  <c r="D435" i="9" l="1"/>
  <c r="G435" i="9" s="1"/>
  <c r="H435" i="9" s="1"/>
  <c r="J435" i="9" s="1"/>
  <c r="I435" i="9" l="1"/>
  <c r="B436" i="9" l="1"/>
  <c r="K435" i="9"/>
  <c r="O435" i="9" s="1"/>
  <c r="L435" i="9" l="1"/>
  <c r="M435" i="9" s="1"/>
  <c r="N435" i="9" s="1"/>
  <c r="C436" i="9"/>
  <c r="D436" i="9" l="1"/>
  <c r="G436" i="9" s="1"/>
  <c r="H436" i="9" s="1"/>
  <c r="J436" i="9" s="1"/>
  <c r="I436" i="9" l="1"/>
  <c r="B437" i="9" l="1"/>
  <c r="K436" i="9"/>
  <c r="O436" i="9" s="1"/>
  <c r="L436" i="9" l="1"/>
  <c r="M436" i="9" s="1"/>
  <c r="N436" i="9" s="1"/>
  <c r="C437" i="9"/>
  <c r="D437" i="9" l="1"/>
  <c r="G437" i="9" s="1"/>
  <c r="H437" i="9" s="1"/>
  <c r="I437" i="9" s="1"/>
  <c r="B438" i="9" l="1"/>
  <c r="K437" i="9"/>
  <c r="O437" i="9" s="1"/>
  <c r="J437" i="9"/>
  <c r="L437" i="9" l="1"/>
  <c r="M437" i="9" s="1"/>
  <c r="N437" i="9" s="1"/>
  <c r="C438" i="9"/>
  <c r="D438" i="9" l="1"/>
  <c r="G438" i="9" s="1"/>
  <c r="H438" i="9" s="1"/>
  <c r="J438" i="9" s="1"/>
  <c r="I438" i="9" l="1"/>
  <c r="B439" i="9" l="1"/>
  <c r="K438" i="9"/>
  <c r="O438" i="9" s="1"/>
  <c r="L438" i="9" l="1"/>
  <c r="M438" i="9" s="1"/>
  <c r="N438" i="9" s="1"/>
  <c r="C439" i="9"/>
  <c r="D439" i="9" l="1"/>
  <c r="G439" i="9" s="1"/>
  <c r="H439" i="9" s="1"/>
  <c r="J439" i="9" s="1"/>
  <c r="I439" i="9" l="1"/>
  <c r="B440" i="9" s="1"/>
  <c r="K439" i="9" l="1"/>
  <c r="O439" i="9" s="1"/>
  <c r="C440" i="9"/>
  <c r="L439" i="9" l="1"/>
  <c r="M439" i="9" s="1"/>
  <c r="N439" i="9" s="1"/>
  <c r="D440" i="9"/>
  <c r="G440" i="9" s="1"/>
  <c r="H440" i="9" s="1"/>
  <c r="I440" i="9" s="1"/>
  <c r="B441" i="9" l="1"/>
  <c r="K440" i="9"/>
  <c r="O440" i="9" s="1"/>
  <c r="J440" i="9"/>
  <c r="L440" i="9" l="1"/>
  <c r="M440" i="9" s="1"/>
  <c r="N440" i="9" s="1"/>
  <c r="C441" i="9"/>
  <c r="D441" i="9" l="1"/>
  <c r="G441" i="9" s="1"/>
  <c r="H441" i="9" s="1"/>
  <c r="J441" i="9" s="1"/>
  <c r="I441" i="9" l="1"/>
  <c r="B442" i="9" l="1"/>
  <c r="K441" i="9"/>
  <c r="O441" i="9" s="1"/>
  <c r="L441" i="9" l="1"/>
  <c r="M441" i="9" s="1"/>
  <c r="N441" i="9" s="1"/>
  <c r="C442" i="9"/>
  <c r="D442" i="9" l="1"/>
  <c r="G442" i="9" s="1"/>
  <c r="H442" i="9" s="1"/>
  <c r="J442" i="9" s="1"/>
  <c r="I442" i="9" l="1"/>
  <c r="B443" i="9" l="1"/>
  <c r="K442" i="9"/>
  <c r="O442" i="9" s="1"/>
  <c r="L442" i="9" l="1"/>
  <c r="M442" i="9" s="1"/>
  <c r="N442" i="9" s="1"/>
  <c r="C443" i="9"/>
  <c r="D443" i="9" l="1"/>
  <c r="G443" i="9" s="1"/>
  <c r="H443" i="9" s="1"/>
  <c r="J443" i="9" s="1"/>
  <c r="I443" i="9" l="1"/>
  <c r="B444" i="9" l="1"/>
  <c r="K443" i="9"/>
  <c r="O443" i="9" s="1"/>
  <c r="L443" i="9" l="1"/>
  <c r="M443" i="9" s="1"/>
  <c r="N443" i="9" s="1"/>
  <c r="C444" i="9"/>
  <c r="D444" i="9" l="1"/>
  <c r="G444" i="9" s="1"/>
  <c r="H444" i="9" s="1"/>
  <c r="J444" i="9" s="1"/>
  <c r="I444" i="9" l="1"/>
  <c r="B445" i="9" l="1"/>
  <c r="K444" i="9"/>
  <c r="O444" i="9" s="1"/>
  <c r="L444" i="9" l="1"/>
  <c r="M444" i="9" s="1"/>
  <c r="N444" i="9" s="1"/>
  <c r="C445" i="9"/>
  <c r="D445" i="9" l="1"/>
  <c r="G445" i="9" s="1"/>
  <c r="H445" i="9" s="1"/>
  <c r="I445" i="9" s="1"/>
  <c r="B446" i="9" l="1"/>
  <c r="K445" i="9"/>
  <c r="O445" i="9" s="1"/>
  <c r="J445" i="9"/>
  <c r="L445" i="9" l="1"/>
  <c r="M445" i="9" s="1"/>
  <c r="N445" i="9" s="1"/>
  <c r="C446" i="9"/>
  <c r="D446" i="9" l="1"/>
  <c r="G446" i="9" s="1"/>
  <c r="H446" i="9" s="1"/>
  <c r="J446" i="9" s="1"/>
  <c r="I446" i="9" l="1"/>
  <c r="B447" i="9" l="1"/>
  <c r="K446" i="9"/>
  <c r="O446" i="9" s="1"/>
  <c r="L446" i="9" l="1"/>
  <c r="M446" i="9" s="1"/>
  <c r="N446" i="9" s="1"/>
  <c r="C447" i="9"/>
  <c r="D447" i="9" l="1"/>
  <c r="G447" i="9" s="1"/>
  <c r="H447" i="9" s="1"/>
  <c r="J447" i="9" s="1"/>
  <c r="I447" i="9" l="1"/>
  <c r="B448" i="9" l="1"/>
  <c r="K447" i="9"/>
  <c r="O447" i="9" s="1"/>
  <c r="L447" i="9" l="1"/>
  <c r="M447" i="9" s="1"/>
  <c r="N447" i="9" s="1"/>
  <c r="C448" i="9"/>
  <c r="D448" i="9" l="1"/>
  <c r="G448" i="9" s="1"/>
  <c r="H448" i="9" s="1"/>
  <c r="I448" i="9" s="1"/>
  <c r="B449" i="9" l="1"/>
  <c r="K448" i="9"/>
  <c r="O448" i="9" s="1"/>
  <c r="J448" i="9"/>
  <c r="L448" i="9" l="1"/>
  <c r="M448" i="9" s="1"/>
  <c r="N448" i="9" s="1"/>
  <c r="C449" i="9"/>
  <c r="D449" i="9" l="1"/>
  <c r="G449" i="9" s="1"/>
  <c r="H449" i="9" s="1"/>
  <c r="J449" i="9" s="1"/>
  <c r="I449" i="9" l="1"/>
  <c r="B450" i="9" l="1"/>
  <c r="K449" i="9"/>
  <c r="O449" i="9" s="1"/>
  <c r="L449" i="9" l="1"/>
  <c r="M449" i="9" s="1"/>
  <c r="N449" i="9" s="1"/>
  <c r="C450" i="9"/>
  <c r="D450" i="9" l="1"/>
  <c r="G450" i="9" s="1"/>
  <c r="H450" i="9" s="1"/>
  <c r="J450" i="9" s="1"/>
  <c r="I450" i="9" l="1"/>
  <c r="B451" i="9" l="1"/>
  <c r="K450" i="9"/>
  <c r="O450" i="9" s="1"/>
  <c r="L450" i="9" l="1"/>
  <c r="M450" i="9" s="1"/>
  <c r="N450" i="9" s="1"/>
  <c r="C451" i="9"/>
  <c r="D451" i="9" l="1"/>
  <c r="G451" i="9" s="1"/>
  <c r="H451" i="9" s="1"/>
  <c r="J451" i="9" s="1"/>
  <c r="I451" i="9" l="1"/>
  <c r="B452" i="9" l="1"/>
  <c r="K451" i="9"/>
  <c r="O451" i="9" s="1"/>
  <c r="L451" i="9" l="1"/>
  <c r="M451" i="9" s="1"/>
  <c r="N451" i="9" s="1"/>
  <c r="C452" i="9"/>
  <c r="D452" i="9" l="1"/>
  <c r="G452" i="9" s="1"/>
  <c r="H452" i="9" s="1"/>
  <c r="J452" i="9" s="1"/>
  <c r="I452" i="9" l="1"/>
  <c r="B453" i="9" l="1"/>
  <c r="K452" i="9"/>
  <c r="O452" i="9" s="1"/>
  <c r="L452" i="9" l="1"/>
  <c r="M452" i="9" s="1"/>
  <c r="N452" i="9" s="1"/>
  <c r="C453" i="9"/>
  <c r="D453" i="9" l="1"/>
  <c r="G453" i="9" s="1"/>
  <c r="H453" i="9" s="1"/>
  <c r="I453" i="9" s="1"/>
  <c r="B454" i="9" l="1"/>
  <c r="K453" i="9"/>
  <c r="O453" i="9" s="1"/>
  <c r="J453" i="9"/>
  <c r="L453" i="9" l="1"/>
  <c r="M453" i="9" s="1"/>
  <c r="N453" i="9" s="1"/>
  <c r="C454" i="9"/>
  <c r="D454" i="9" l="1"/>
  <c r="G454" i="9" s="1"/>
  <c r="H454" i="9" s="1"/>
  <c r="J454" i="9" s="1"/>
  <c r="I454" i="9" l="1"/>
  <c r="B455" i="9" l="1"/>
  <c r="K454" i="9"/>
  <c r="O454" i="9" s="1"/>
  <c r="L454" i="9" l="1"/>
  <c r="M454" i="9" s="1"/>
  <c r="N454" i="9" s="1"/>
  <c r="C455" i="9"/>
  <c r="D455" i="9" l="1"/>
  <c r="G455" i="9" s="1"/>
  <c r="H455" i="9" s="1"/>
  <c r="J455" i="9" s="1"/>
  <c r="I455" i="9" l="1"/>
  <c r="B456" i="9" l="1"/>
  <c r="K455" i="9"/>
  <c r="O455" i="9" s="1"/>
  <c r="L455" i="9" l="1"/>
  <c r="M455" i="9" s="1"/>
  <c r="N455" i="9" s="1"/>
  <c r="C456" i="9"/>
  <c r="D456" i="9" l="1"/>
  <c r="G456" i="9" s="1"/>
  <c r="H456" i="9" s="1"/>
  <c r="I456" i="9" s="1"/>
  <c r="B457" i="9" l="1"/>
  <c r="K456" i="9"/>
  <c r="O456" i="9" s="1"/>
  <c r="J456" i="9"/>
  <c r="L456" i="9" l="1"/>
  <c r="M456" i="9" s="1"/>
  <c r="N456" i="9" s="1"/>
  <c r="C457" i="9"/>
  <c r="D457" i="9" l="1"/>
  <c r="G457" i="9" s="1"/>
  <c r="H457" i="9" s="1"/>
  <c r="J457" i="9" s="1"/>
  <c r="I457" i="9" l="1"/>
  <c r="B458" i="9" l="1"/>
  <c r="K457" i="9"/>
  <c r="O457" i="9" s="1"/>
  <c r="L457" i="9" l="1"/>
  <c r="M457" i="9" s="1"/>
  <c r="N457" i="9" s="1"/>
  <c r="C458" i="9"/>
  <c r="D458" i="9" l="1"/>
  <c r="G458" i="9" s="1"/>
  <c r="H458" i="9" s="1"/>
  <c r="J458" i="9" s="1"/>
  <c r="I458" i="9" l="1"/>
  <c r="B459" i="9" l="1"/>
  <c r="K458" i="9"/>
  <c r="O458" i="9" s="1"/>
  <c r="L458" i="9" l="1"/>
  <c r="M458" i="9" s="1"/>
  <c r="N458" i="9" s="1"/>
  <c r="C459" i="9"/>
  <c r="D459" i="9" l="1"/>
  <c r="G459" i="9" s="1"/>
  <c r="H459" i="9" s="1"/>
  <c r="J459" i="9" s="1"/>
  <c r="I459" i="9" l="1"/>
  <c r="B460" i="9" l="1"/>
  <c r="K459" i="9"/>
  <c r="O459" i="9" s="1"/>
  <c r="L459" i="9" l="1"/>
  <c r="M459" i="9" s="1"/>
  <c r="N459" i="9" s="1"/>
  <c r="C460" i="9"/>
  <c r="D460" i="9" l="1"/>
  <c r="G460" i="9" s="1"/>
  <c r="H460" i="9" s="1"/>
  <c r="J460" i="9" s="1"/>
  <c r="I460" i="9" l="1"/>
  <c r="B461" i="9" l="1"/>
  <c r="K460" i="9"/>
  <c r="O460" i="9" s="1"/>
  <c r="L460" i="9" l="1"/>
  <c r="M460" i="9" s="1"/>
  <c r="N460" i="9" s="1"/>
  <c r="C461" i="9"/>
  <c r="D461" i="9" l="1"/>
  <c r="G461" i="9" s="1"/>
  <c r="H461" i="9" s="1"/>
  <c r="I461" i="9" s="1"/>
  <c r="B462" i="9" l="1"/>
  <c r="K461" i="9"/>
  <c r="O461" i="9" s="1"/>
  <c r="J461" i="9"/>
  <c r="L461" i="9" l="1"/>
  <c r="M461" i="9" s="1"/>
  <c r="N461" i="9" s="1"/>
  <c r="C462" i="9"/>
  <c r="D462" i="9" l="1"/>
  <c r="G462" i="9" s="1"/>
  <c r="H462" i="9" s="1"/>
  <c r="J462" i="9" s="1"/>
  <c r="I462" i="9" l="1"/>
  <c r="B463" i="9" l="1"/>
  <c r="K462" i="9"/>
  <c r="O462" i="9" s="1"/>
  <c r="L462" i="9" l="1"/>
  <c r="M462" i="9" s="1"/>
  <c r="N462" i="9" s="1"/>
  <c r="C463" i="9"/>
  <c r="D463" i="9" l="1"/>
  <c r="G463" i="9" s="1"/>
  <c r="H463" i="9" s="1"/>
  <c r="J463" i="9" s="1"/>
  <c r="I463" i="9" l="1"/>
  <c r="B464" i="9" l="1"/>
  <c r="K463" i="9"/>
  <c r="O463" i="9" s="1"/>
  <c r="L463" i="9" l="1"/>
  <c r="M463" i="9" s="1"/>
  <c r="N463" i="9" s="1"/>
  <c r="C464" i="9"/>
  <c r="D464" i="9" l="1"/>
  <c r="G464" i="9" s="1"/>
  <c r="H464" i="9" s="1"/>
  <c r="I464" i="9" s="1"/>
  <c r="B465" i="9" l="1"/>
  <c r="K464" i="9"/>
  <c r="O464" i="9" s="1"/>
  <c r="J464" i="9"/>
  <c r="L464" i="9" l="1"/>
  <c r="M464" i="9" s="1"/>
  <c r="N464" i="9" s="1"/>
  <c r="C465" i="9"/>
  <c r="D465" i="9" l="1"/>
  <c r="G465" i="9" s="1"/>
  <c r="H465" i="9" s="1"/>
  <c r="J465" i="9" s="1"/>
  <c r="I465" i="9" l="1"/>
  <c r="B466" i="9" l="1"/>
  <c r="K465" i="9"/>
  <c r="O465" i="9" s="1"/>
  <c r="L465" i="9" l="1"/>
  <c r="M465" i="9" s="1"/>
  <c r="N465" i="9" s="1"/>
  <c r="C466" i="9"/>
  <c r="D466" i="9" l="1"/>
  <c r="G466" i="9" s="1"/>
  <c r="H466" i="9" s="1"/>
  <c r="J466" i="9" s="1"/>
  <c r="I466" i="9" l="1"/>
  <c r="B467" i="9" l="1"/>
  <c r="K466" i="9"/>
  <c r="O466" i="9" s="1"/>
  <c r="L466" i="9" l="1"/>
  <c r="M466" i="9" s="1"/>
  <c r="N466" i="9" s="1"/>
  <c r="C467" i="9"/>
  <c r="D467" i="9" l="1"/>
  <c r="G467" i="9" s="1"/>
  <c r="H467" i="9" s="1"/>
  <c r="J467" i="9" s="1"/>
  <c r="I467" i="9" l="1"/>
  <c r="B468" i="9" l="1"/>
  <c r="K467" i="9"/>
  <c r="O467" i="9" s="1"/>
  <c r="L467" i="9" l="1"/>
  <c r="M467" i="9" s="1"/>
  <c r="N467" i="9" s="1"/>
  <c r="C468" i="9"/>
  <c r="D468" i="9" l="1"/>
  <c r="G468" i="9" s="1"/>
  <c r="H468" i="9" s="1"/>
  <c r="J468" i="9" s="1"/>
  <c r="I468" i="9" l="1"/>
  <c r="B469" i="9" l="1"/>
  <c r="K468" i="9"/>
  <c r="O468" i="9" s="1"/>
  <c r="L468" i="9" l="1"/>
  <c r="M468" i="9" s="1"/>
  <c r="N468" i="9" s="1"/>
  <c r="C469" i="9"/>
  <c r="D469" i="9" l="1"/>
  <c r="G469" i="9" s="1"/>
  <c r="H469" i="9" s="1"/>
  <c r="I469" i="9" s="1"/>
  <c r="B470" i="9" l="1"/>
  <c r="K469" i="9"/>
  <c r="O469" i="9" s="1"/>
  <c r="J469" i="9"/>
  <c r="L469" i="9" l="1"/>
  <c r="M469" i="9" s="1"/>
  <c r="N469" i="9" s="1"/>
  <c r="C470" i="9"/>
  <c r="D470" i="9" l="1"/>
  <c r="G470" i="9" s="1"/>
  <c r="H470" i="9" s="1"/>
  <c r="J470" i="9" s="1"/>
  <c r="I470" i="9" l="1"/>
  <c r="B471" i="9" l="1"/>
  <c r="K470" i="9"/>
  <c r="O470" i="9" s="1"/>
  <c r="L470" i="9" l="1"/>
  <c r="M470" i="9" s="1"/>
  <c r="N470" i="9" s="1"/>
  <c r="C471" i="9"/>
  <c r="D471" i="9" l="1"/>
  <c r="G471" i="9" s="1"/>
  <c r="H471" i="9" s="1"/>
  <c r="J471" i="9" s="1"/>
  <c r="I471" i="9" l="1"/>
  <c r="B472" i="9" l="1"/>
  <c r="K471" i="9"/>
  <c r="O471" i="9" s="1"/>
  <c r="L471" i="9" l="1"/>
  <c r="M471" i="9" s="1"/>
  <c r="N471" i="9" s="1"/>
  <c r="C472" i="9"/>
  <c r="D472" i="9" l="1"/>
  <c r="G472" i="9" s="1"/>
  <c r="H472" i="9" s="1"/>
  <c r="I472" i="9" s="1"/>
  <c r="B473" i="9" l="1"/>
  <c r="K472" i="9"/>
  <c r="O472" i="9" s="1"/>
  <c r="J472" i="9"/>
  <c r="L472" i="9" l="1"/>
  <c r="M472" i="9" s="1"/>
  <c r="N472" i="9" s="1"/>
  <c r="C473" i="9"/>
  <c r="D473" i="9" l="1"/>
  <c r="G473" i="9" s="1"/>
  <c r="H473" i="9" s="1"/>
  <c r="J473" i="9" s="1"/>
  <c r="I473" i="9" l="1"/>
  <c r="B474" i="9" l="1"/>
  <c r="K473" i="9"/>
  <c r="O473" i="9" s="1"/>
  <c r="L473" i="9" l="1"/>
  <c r="M473" i="9" s="1"/>
  <c r="N473" i="9" s="1"/>
  <c r="C474" i="9"/>
  <c r="D474" i="9" l="1"/>
  <c r="G474" i="9" s="1"/>
  <c r="H474" i="9" s="1"/>
  <c r="J474" i="9" s="1"/>
  <c r="I474" i="9" l="1"/>
  <c r="B475" i="9" l="1"/>
  <c r="K474" i="9"/>
  <c r="O474" i="9" s="1"/>
  <c r="L474" i="9" l="1"/>
  <c r="M474" i="9" s="1"/>
  <c r="N474" i="9" s="1"/>
  <c r="C475" i="9"/>
  <c r="D475" i="9" l="1"/>
  <c r="G475" i="9" s="1"/>
  <c r="H475" i="9" s="1"/>
  <c r="J475" i="9" s="1"/>
  <c r="I475" i="9" l="1"/>
  <c r="B476" i="9" l="1"/>
  <c r="K475" i="9"/>
  <c r="O475" i="9" s="1"/>
  <c r="L475" i="9" l="1"/>
  <c r="M475" i="9" s="1"/>
  <c r="N475" i="9" s="1"/>
  <c r="C476" i="9"/>
  <c r="D476" i="9" l="1"/>
  <c r="G476" i="9" s="1"/>
  <c r="H476" i="9" s="1"/>
  <c r="J476" i="9" s="1"/>
  <c r="I476" i="9" l="1"/>
  <c r="B477" i="9" l="1"/>
  <c r="K476" i="9"/>
  <c r="O476" i="9" s="1"/>
  <c r="L476" i="9" l="1"/>
  <c r="M476" i="9" s="1"/>
  <c r="N476" i="9" s="1"/>
  <c r="C477" i="9"/>
  <c r="D477" i="9" l="1"/>
  <c r="G477" i="9" s="1"/>
  <c r="H477" i="9" s="1"/>
  <c r="I477" i="9" s="1"/>
  <c r="B478" i="9" l="1"/>
  <c r="K477" i="9"/>
  <c r="O477" i="9" s="1"/>
  <c r="J477" i="9"/>
  <c r="L477" i="9" l="1"/>
  <c r="M477" i="9" s="1"/>
  <c r="N477" i="9" s="1"/>
  <c r="C478" i="9"/>
  <c r="D478" i="9" l="1"/>
  <c r="G478" i="9" s="1"/>
  <c r="H478" i="9" s="1"/>
  <c r="J478" i="9" s="1"/>
  <c r="I478" i="9" l="1"/>
  <c r="B479" i="9" l="1"/>
  <c r="K478" i="9"/>
  <c r="O478" i="9" s="1"/>
  <c r="L478" i="9" l="1"/>
  <c r="M478" i="9" s="1"/>
  <c r="N478" i="9" s="1"/>
  <c r="C479" i="9"/>
  <c r="D479" i="9" l="1"/>
  <c r="G479" i="9" s="1"/>
  <c r="H479" i="9" s="1"/>
  <c r="J479" i="9" s="1"/>
  <c r="I479" i="9" l="1"/>
  <c r="B480" i="9" l="1"/>
  <c r="K479" i="9"/>
  <c r="O479" i="9" s="1"/>
  <c r="L479" i="9" l="1"/>
  <c r="M479" i="9" s="1"/>
  <c r="N479" i="9" s="1"/>
  <c r="C480" i="9"/>
  <c r="D480" i="9" l="1"/>
  <c r="G480" i="9" s="1"/>
  <c r="H480" i="9" s="1"/>
  <c r="I480" i="9" s="1"/>
  <c r="B481" i="9" l="1"/>
  <c r="K480" i="9"/>
  <c r="O480" i="9" s="1"/>
  <c r="J480" i="9"/>
  <c r="L480" i="9" l="1"/>
  <c r="M480" i="9" s="1"/>
  <c r="N480" i="9" s="1"/>
  <c r="C481" i="9"/>
  <c r="D481" i="9" l="1"/>
  <c r="G481" i="9" s="1"/>
  <c r="H481" i="9" s="1"/>
  <c r="J481" i="9" s="1"/>
  <c r="I481" i="9" l="1"/>
  <c r="B482" i="9" l="1"/>
  <c r="K481" i="9"/>
  <c r="O481" i="9" s="1"/>
  <c r="L481" i="9" l="1"/>
  <c r="M481" i="9" s="1"/>
  <c r="N481" i="9" s="1"/>
  <c r="C482" i="9"/>
  <c r="D482" i="9" l="1"/>
  <c r="G482" i="9" s="1"/>
  <c r="H482" i="9" s="1"/>
  <c r="J482" i="9" s="1"/>
  <c r="I482" i="9" l="1"/>
  <c r="B483" i="9" l="1"/>
  <c r="K482" i="9"/>
  <c r="O482" i="9" s="1"/>
  <c r="L482" i="9" l="1"/>
  <c r="M482" i="9" s="1"/>
  <c r="N482" i="9" s="1"/>
  <c r="C483" i="9"/>
  <c r="D483" i="9" l="1"/>
  <c r="G483" i="9" s="1"/>
  <c r="H483" i="9" s="1"/>
  <c r="J483" i="9" s="1"/>
  <c r="I483" i="9" l="1"/>
  <c r="B484" i="9" l="1"/>
  <c r="K483" i="9"/>
  <c r="O483" i="9" s="1"/>
  <c r="L483" i="9" l="1"/>
  <c r="M483" i="9" s="1"/>
  <c r="N483" i="9" s="1"/>
  <c r="C484" i="9"/>
  <c r="D484" i="9" l="1"/>
  <c r="G484" i="9" s="1"/>
  <c r="H484" i="9" s="1"/>
  <c r="J484" i="9" s="1"/>
  <c r="I484" i="9" l="1"/>
  <c r="B485" i="9" l="1"/>
  <c r="K484" i="9"/>
  <c r="O484" i="9" s="1"/>
  <c r="L484" i="9" l="1"/>
  <c r="M484" i="9" s="1"/>
  <c r="N484" i="9" s="1"/>
  <c r="C485" i="9"/>
  <c r="D485" i="9" l="1"/>
  <c r="G485" i="9" s="1"/>
  <c r="H485" i="9" s="1"/>
  <c r="I485" i="9" s="1"/>
  <c r="B486" i="9" l="1"/>
  <c r="K485" i="9"/>
  <c r="O485" i="9" s="1"/>
  <c r="J485" i="9"/>
  <c r="L485" i="9" l="1"/>
  <c r="M485" i="9" s="1"/>
  <c r="N485" i="9" s="1"/>
  <c r="C486" i="9"/>
  <c r="D486" i="9" l="1"/>
  <c r="G486" i="9" s="1"/>
  <c r="H486" i="9" s="1"/>
  <c r="J486" i="9" s="1"/>
  <c r="I486" i="9" l="1"/>
  <c r="B487" i="9" l="1"/>
  <c r="K486" i="9"/>
  <c r="O486" i="9" s="1"/>
  <c r="L486" i="9" l="1"/>
  <c r="M486" i="9" s="1"/>
  <c r="N486" i="9" s="1"/>
  <c r="C487" i="9"/>
  <c r="D487" i="9" l="1"/>
  <c r="G487" i="9" s="1"/>
  <c r="H487" i="9" s="1"/>
  <c r="J487" i="9" s="1"/>
  <c r="I487" i="9" l="1"/>
  <c r="B488" i="9" l="1"/>
  <c r="K487" i="9"/>
  <c r="O487" i="9" s="1"/>
  <c r="L487" i="9" l="1"/>
  <c r="M487" i="9" s="1"/>
  <c r="N487" i="9" s="1"/>
  <c r="C488" i="9"/>
  <c r="D488" i="9" l="1"/>
  <c r="G488" i="9" s="1"/>
  <c r="H488" i="9" s="1"/>
  <c r="I488" i="9" s="1"/>
  <c r="B489" i="9" l="1"/>
  <c r="K488" i="9"/>
  <c r="O488" i="9" s="1"/>
  <c r="J488" i="9"/>
  <c r="L488" i="9" l="1"/>
  <c r="M488" i="9" s="1"/>
  <c r="N488" i="9" s="1"/>
  <c r="C489" i="9"/>
  <c r="D489" i="9" l="1"/>
  <c r="G489" i="9" s="1"/>
  <c r="H489" i="9" s="1"/>
  <c r="J489" i="9" s="1"/>
  <c r="I489" i="9" l="1"/>
  <c r="B490" i="9" l="1"/>
  <c r="K489" i="9"/>
  <c r="O489" i="9" s="1"/>
  <c r="L489" i="9" l="1"/>
  <c r="M489" i="9" s="1"/>
  <c r="N489" i="9" s="1"/>
  <c r="C490" i="9"/>
  <c r="D490" i="9" l="1"/>
  <c r="G490" i="9" s="1"/>
  <c r="H490" i="9" s="1"/>
  <c r="J490" i="9" s="1"/>
  <c r="I490" i="9" l="1"/>
  <c r="B491" i="9" l="1"/>
  <c r="K490" i="9"/>
  <c r="O490" i="9" s="1"/>
  <c r="L490" i="9" l="1"/>
  <c r="M490" i="9" s="1"/>
  <c r="N490" i="9" s="1"/>
  <c r="C491" i="9"/>
  <c r="D491" i="9" l="1"/>
  <c r="G491" i="9" s="1"/>
  <c r="H491" i="9" s="1"/>
  <c r="J491" i="9" s="1"/>
  <c r="I491" i="9" l="1"/>
  <c r="B492" i="9" l="1"/>
  <c r="K491" i="9"/>
  <c r="O491" i="9" s="1"/>
  <c r="L491" i="9" l="1"/>
  <c r="M491" i="9" s="1"/>
  <c r="N491" i="9" s="1"/>
  <c r="C492" i="9"/>
  <c r="D492" i="9" l="1"/>
  <c r="G492" i="9" s="1"/>
  <c r="H492" i="9" s="1"/>
  <c r="J492" i="9" s="1"/>
  <c r="I492" i="9" l="1"/>
  <c r="B493" i="9" l="1"/>
  <c r="K492" i="9"/>
  <c r="O492" i="9" s="1"/>
  <c r="L492" i="9" l="1"/>
  <c r="M492" i="9" s="1"/>
  <c r="N492" i="9" s="1"/>
  <c r="C493" i="9"/>
  <c r="D493" i="9" l="1"/>
  <c r="G493" i="9" s="1"/>
  <c r="H493" i="9" s="1"/>
  <c r="I493" i="9" s="1"/>
  <c r="B494" i="9" l="1"/>
  <c r="K493" i="9"/>
  <c r="O493" i="9" s="1"/>
  <c r="J493" i="9"/>
  <c r="L493" i="9" l="1"/>
  <c r="M493" i="9" s="1"/>
  <c r="N493" i="9" s="1"/>
  <c r="C494" i="9"/>
  <c r="D494" i="9" l="1"/>
  <c r="G494" i="9" s="1"/>
  <c r="H494" i="9" s="1"/>
  <c r="J494" i="9" s="1"/>
  <c r="I494" i="9" l="1"/>
  <c r="B495" i="9" l="1"/>
  <c r="K494" i="9"/>
  <c r="O494" i="9" s="1"/>
  <c r="L494" i="9" l="1"/>
  <c r="M494" i="9" s="1"/>
  <c r="N494" i="9" s="1"/>
  <c r="C495" i="9"/>
  <c r="D495" i="9" l="1"/>
  <c r="G495" i="9" s="1"/>
  <c r="H495" i="9" s="1"/>
  <c r="J495" i="9" s="1"/>
  <c r="I495" i="9" l="1"/>
  <c r="B496" i="9" l="1"/>
  <c r="K495" i="9"/>
  <c r="O495" i="9" s="1"/>
  <c r="L495" i="9" l="1"/>
  <c r="M495" i="9" s="1"/>
  <c r="N495" i="9" s="1"/>
  <c r="C496" i="9"/>
  <c r="D496" i="9" l="1"/>
  <c r="G496" i="9" s="1"/>
  <c r="H496" i="9" s="1"/>
  <c r="I496" i="9" s="1"/>
  <c r="B497" i="9" l="1"/>
  <c r="K496" i="9"/>
  <c r="O496" i="9" s="1"/>
  <c r="J496" i="9"/>
  <c r="L496" i="9" l="1"/>
  <c r="M496" i="9" s="1"/>
  <c r="N496" i="9" s="1"/>
  <c r="C497" i="9"/>
  <c r="D497" i="9" l="1"/>
  <c r="G497" i="9" s="1"/>
  <c r="H497" i="9" s="1"/>
  <c r="J497" i="9" s="1"/>
  <c r="I497" i="9" l="1"/>
  <c r="B498" i="9" l="1"/>
  <c r="K497" i="9"/>
  <c r="O497" i="9" s="1"/>
  <c r="L497" i="9" l="1"/>
  <c r="M497" i="9" s="1"/>
  <c r="N497" i="9" s="1"/>
  <c r="C498" i="9"/>
  <c r="D498" i="9" l="1"/>
  <c r="G498" i="9" s="1"/>
  <c r="H498" i="9" s="1"/>
  <c r="J498" i="9" s="1"/>
  <c r="I498" i="9" l="1"/>
  <c r="B499" i="9" l="1"/>
  <c r="K498" i="9"/>
  <c r="O498" i="9" s="1"/>
  <c r="L498" i="9" l="1"/>
  <c r="M498" i="9" s="1"/>
  <c r="N498" i="9" s="1"/>
  <c r="C499" i="9"/>
  <c r="D499" i="9" l="1"/>
  <c r="G499" i="9" s="1"/>
  <c r="H499" i="9" s="1"/>
  <c r="J499" i="9" s="1"/>
  <c r="I499" i="9" l="1"/>
  <c r="B500" i="9" l="1"/>
  <c r="K499" i="9"/>
  <c r="O499" i="9" s="1"/>
  <c r="L499" i="9" l="1"/>
  <c r="M499" i="9" s="1"/>
  <c r="N499" i="9" s="1"/>
  <c r="C500" i="9"/>
  <c r="D500" i="9" l="1"/>
  <c r="G500" i="9" s="1"/>
  <c r="H500" i="9" s="1"/>
  <c r="J500" i="9" s="1"/>
  <c r="I500" i="9" l="1"/>
  <c r="B501" i="9" l="1"/>
  <c r="K500" i="9"/>
  <c r="O500" i="9" s="1"/>
  <c r="L500" i="9" l="1"/>
  <c r="M500" i="9" s="1"/>
  <c r="N500" i="9" s="1"/>
  <c r="C501" i="9"/>
  <c r="D501" i="9" l="1"/>
  <c r="G501" i="9" s="1"/>
  <c r="H501" i="9" s="1"/>
  <c r="I501" i="9" s="1"/>
  <c r="B502" i="9" l="1"/>
  <c r="K501" i="9"/>
  <c r="O501" i="9" s="1"/>
  <c r="J501" i="9"/>
  <c r="L501" i="9" l="1"/>
  <c r="M501" i="9" s="1"/>
  <c r="N501" i="9" s="1"/>
  <c r="C502" i="9"/>
  <c r="D502" i="9" l="1"/>
  <c r="G502" i="9" s="1"/>
  <c r="H502" i="9" s="1"/>
  <c r="J502" i="9" s="1"/>
  <c r="I502" i="9" l="1"/>
  <c r="B503" i="9" l="1"/>
  <c r="K502" i="9"/>
  <c r="O502" i="9" s="1"/>
  <c r="L502" i="9" l="1"/>
  <c r="M502" i="9" s="1"/>
  <c r="N502" i="9" s="1"/>
  <c r="C503" i="9"/>
  <c r="D503" i="9" l="1"/>
  <c r="G503" i="9" s="1"/>
  <c r="H503" i="9" s="1"/>
  <c r="J503" i="9" s="1"/>
  <c r="I503" i="9" l="1"/>
  <c r="B504" i="9" l="1"/>
  <c r="K503" i="9"/>
  <c r="O503" i="9" s="1"/>
  <c r="L503" i="9" l="1"/>
  <c r="M503" i="9" s="1"/>
  <c r="N503" i="9" s="1"/>
  <c r="C504" i="9"/>
  <c r="D504" i="9" l="1"/>
  <c r="G504" i="9" s="1"/>
  <c r="H504" i="9" s="1"/>
  <c r="I504" i="9" s="1"/>
  <c r="B505" i="9" l="1"/>
  <c r="K504" i="9"/>
  <c r="O504" i="9" s="1"/>
  <c r="J504" i="9"/>
  <c r="L504" i="9" l="1"/>
  <c r="M504" i="9" s="1"/>
  <c r="N504" i="9" s="1"/>
  <c r="C505" i="9"/>
  <c r="D505" i="9" l="1"/>
  <c r="G505" i="9" s="1"/>
  <c r="H505" i="9" s="1"/>
  <c r="J505" i="9" s="1"/>
  <c r="I505" i="9" l="1"/>
  <c r="B506" i="9" l="1"/>
  <c r="K505" i="9"/>
  <c r="O505" i="9" s="1"/>
  <c r="L505" i="9" l="1"/>
  <c r="M505" i="9" s="1"/>
  <c r="N505" i="9" s="1"/>
  <c r="C506" i="9"/>
  <c r="D506" i="9" l="1"/>
  <c r="G506" i="9" s="1"/>
  <c r="H506" i="9" s="1"/>
  <c r="J506" i="9" s="1"/>
  <c r="I506" i="9" l="1"/>
  <c r="B507" i="9" l="1"/>
  <c r="K506" i="9"/>
  <c r="O506" i="9" s="1"/>
  <c r="L506" i="9" l="1"/>
  <c r="M506" i="9" s="1"/>
  <c r="N506" i="9" s="1"/>
  <c r="C507" i="9"/>
  <c r="D507" i="9" l="1"/>
  <c r="G507" i="9" s="1"/>
  <c r="H507" i="9" s="1"/>
  <c r="J507" i="9" s="1"/>
  <c r="I507" i="9" l="1"/>
  <c r="B508" i="9" l="1"/>
  <c r="K507" i="9"/>
  <c r="O507" i="9" s="1"/>
  <c r="L507" i="9" l="1"/>
  <c r="M507" i="9" s="1"/>
  <c r="N507" i="9" s="1"/>
  <c r="C508" i="9"/>
  <c r="D508" i="9" l="1"/>
  <c r="G508" i="9" s="1"/>
  <c r="H508" i="9" s="1"/>
  <c r="J508" i="9" s="1"/>
  <c r="I508" i="9" l="1"/>
  <c r="B509" i="9" l="1"/>
  <c r="K508" i="9"/>
  <c r="O508" i="9" s="1"/>
  <c r="L508" i="9" l="1"/>
  <c r="M508" i="9" s="1"/>
  <c r="N508" i="9" s="1"/>
  <c r="C509" i="9"/>
  <c r="D509" i="9" l="1"/>
  <c r="G509" i="9" s="1"/>
  <c r="H509" i="9" s="1"/>
  <c r="I509" i="9" s="1"/>
  <c r="B510" i="9" l="1"/>
  <c r="K509" i="9"/>
  <c r="O509" i="9" s="1"/>
  <c r="J509" i="9"/>
  <c r="L509" i="9" l="1"/>
  <c r="M509" i="9" s="1"/>
  <c r="N509" i="9" s="1"/>
  <c r="C510" i="9"/>
  <c r="D510" i="9" l="1"/>
  <c r="G510" i="9" s="1"/>
  <c r="H510" i="9" s="1"/>
  <c r="J510" i="9" s="1"/>
  <c r="I510" i="9" l="1"/>
  <c r="B511" i="9" l="1"/>
  <c r="K510" i="9"/>
  <c r="O510" i="9" s="1"/>
  <c r="L510" i="9" l="1"/>
  <c r="M510" i="9" s="1"/>
  <c r="N510" i="9" s="1"/>
  <c r="C511" i="9"/>
  <c r="D511" i="9" l="1"/>
  <c r="G511" i="9" s="1"/>
  <c r="H511" i="9" s="1"/>
  <c r="J511" i="9" s="1"/>
  <c r="I511" i="9" l="1"/>
  <c r="B512" i="9" l="1"/>
  <c r="K511" i="9"/>
  <c r="O511" i="9" s="1"/>
  <c r="L511" i="9" l="1"/>
  <c r="M511" i="9" s="1"/>
  <c r="N511" i="9" s="1"/>
  <c r="C512" i="9"/>
  <c r="D512" i="9" l="1"/>
  <c r="G512" i="9" s="1"/>
  <c r="H512" i="9" s="1"/>
  <c r="I512" i="9" s="1"/>
  <c r="B513" i="9" l="1"/>
  <c r="K512" i="9"/>
  <c r="O512" i="9" s="1"/>
  <c r="J512" i="9"/>
  <c r="L512" i="9" l="1"/>
  <c r="M512" i="9" s="1"/>
  <c r="N512" i="9" s="1"/>
  <c r="C513" i="9"/>
  <c r="D513" i="9" l="1"/>
  <c r="G513" i="9" s="1"/>
  <c r="H513" i="9" s="1"/>
  <c r="J513" i="9" s="1"/>
  <c r="I513" i="9" l="1"/>
  <c r="B514" i="9" l="1"/>
  <c r="K513" i="9"/>
  <c r="O513" i="9" s="1"/>
  <c r="L513" i="9" l="1"/>
  <c r="M513" i="9" s="1"/>
  <c r="N513" i="9" s="1"/>
  <c r="C514" i="9"/>
  <c r="D514" i="9" l="1"/>
  <c r="G514" i="9" s="1"/>
  <c r="H514" i="9" s="1"/>
  <c r="J514" i="9" s="1"/>
  <c r="I514" i="9" l="1"/>
  <c r="B515" i="9" l="1"/>
  <c r="K514" i="9"/>
  <c r="O514" i="9" s="1"/>
  <c r="L514" i="9" l="1"/>
  <c r="M514" i="9" s="1"/>
  <c r="N514" i="9" s="1"/>
  <c r="C515" i="9"/>
  <c r="D515" i="9" l="1"/>
  <c r="G515" i="9" s="1"/>
  <c r="H515" i="9" s="1"/>
  <c r="J515" i="9" s="1"/>
  <c r="I515" i="9" l="1"/>
  <c r="B516" i="9" s="1"/>
  <c r="K515" i="9" l="1"/>
  <c r="O515" i="9" s="1"/>
  <c r="C516" i="9"/>
  <c r="L515" i="9" l="1"/>
  <c r="M515" i="9" s="1"/>
  <c r="N515" i="9" s="1"/>
  <c r="D516" i="9"/>
  <c r="G516" i="9" s="1"/>
  <c r="H516" i="9" s="1"/>
  <c r="J516" i="9" s="1"/>
  <c r="I516" i="9" l="1"/>
  <c r="B517" i="9" l="1"/>
  <c r="K516" i="9"/>
  <c r="O516" i="9" s="1"/>
  <c r="L516" i="9" l="1"/>
  <c r="M516" i="9" s="1"/>
  <c r="N516" i="9" s="1"/>
  <c r="C517" i="9"/>
  <c r="D517" i="9" l="1"/>
  <c r="G517" i="9" s="1"/>
  <c r="H517" i="9" s="1"/>
  <c r="I517" i="9" s="1"/>
  <c r="B518" i="9" l="1"/>
  <c r="K517" i="9"/>
  <c r="O517" i="9" s="1"/>
  <c r="J517" i="9"/>
  <c r="L517" i="9" l="1"/>
  <c r="M517" i="9" s="1"/>
  <c r="N517" i="9" s="1"/>
  <c r="C518" i="9"/>
  <c r="D518" i="9" l="1"/>
  <c r="G518" i="9" s="1"/>
  <c r="H518" i="9" s="1"/>
  <c r="J518" i="9" s="1"/>
  <c r="I518" i="9" l="1"/>
  <c r="B519" i="9" l="1"/>
  <c r="K518" i="9"/>
  <c r="O518" i="9" s="1"/>
  <c r="L518" i="9" l="1"/>
  <c r="M518" i="9" s="1"/>
  <c r="N518" i="9" s="1"/>
  <c r="C519" i="9"/>
  <c r="D519" i="9" l="1"/>
  <c r="G519" i="9" s="1"/>
  <c r="H519" i="9" s="1"/>
  <c r="J519" i="9" s="1"/>
  <c r="I519" i="9" l="1"/>
  <c r="B520" i="9" l="1"/>
  <c r="K519" i="9"/>
  <c r="O519" i="9" s="1"/>
  <c r="L519" i="9" l="1"/>
  <c r="M519" i="9" s="1"/>
  <c r="N519" i="9" s="1"/>
  <c r="C520" i="9"/>
  <c r="D520" i="9" l="1"/>
  <c r="G520" i="9" s="1"/>
  <c r="H520" i="9" s="1"/>
  <c r="I520" i="9" s="1"/>
  <c r="B521" i="9" l="1"/>
  <c r="K520" i="9"/>
  <c r="O520" i="9" s="1"/>
  <c r="J520" i="9"/>
  <c r="L520" i="9" l="1"/>
  <c r="M520" i="9" s="1"/>
  <c r="N520" i="9" s="1"/>
  <c r="C521" i="9"/>
  <c r="D521" i="9" l="1"/>
  <c r="G521" i="9" s="1"/>
  <c r="H521" i="9" s="1"/>
  <c r="J521" i="9" s="1"/>
  <c r="I521" i="9" l="1"/>
  <c r="B522" i="9" l="1"/>
  <c r="K521" i="9"/>
  <c r="O521" i="9" s="1"/>
  <c r="L521" i="9" l="1"/>
  <c r="M521" i="9" s="1"/>
  <c r="N521" i="9" s="1"/>
  <c r="C522" i="9"/>
  <c r="D522" i="9" l="1"/>
  <c r="G522" i="9" s="1"/>
  <c r="H522" i="9" s="1"/>
  <c r="J522" i="9" s="1"/>
  <c r="I522" i="9" l="1"/>
  <c r="B523" i="9" s="1"/>
  <c r="K522" i="9" l="1"/>
  <c r="O522" i="9" s="1"/>
  <c r="C523" i="9"/>
  <c r="L522" i="9" l="1"/>
  <c r="M522" i="9" s="1"/>
  <c r="N522" i="9" s="1"/>
  <c r="D523" i="9"/>
  <c r="G523" i="9" s="1"/>
  <c r="H523" i="9" s="1"/>
  <c r="J523" i="9" s="1"/>
  <c r="I523" i="9" l="1"/>
  <c r="B524" i="9" s="1"/>
  <c r="K523" i="9" l="1"/>
  <c r="O523" i="9" s="1"/>
  <c r="C524" i="9"/>
  <c r="L523" i="9" l="1"/>
  <c r="M523" i="9" s="1"/>
  <c r="N523" i="9" s="1"/>
  <c r="D524" i="9"/>
  <c r="G524" i="9" s="1"/>
  <c r="H524" i="9" s="1"/>
  <c r="J524" i="9" s="1"/>
  <c r="I524" i="9" l="1"/>
  <c r="B525" i="9" l="1"/>
  <c r="K524" i="9"/>
  <c r="O524" i="9" s="1"/>
  <c r="L524" i="9" l="1"/>
  <c r="M524" i="9" s="1"/>
  <c r="N524" i="9" s="1"/>
  <c r="C525" i="9"/>
  <c r="D525" i="9" l="1"/>
  <c r="G525" i="9" s="1"/>
  <c r="H525" i="9" s="1"/>
  <c r="I525" i="9" s="1"/>
  <c r="B526" i="9" l="1"/>
  <c r="K525" i="9"/>
  <c r="O525" i="9" s="1"/>
  <c r="J525" i="9"/>
  <c r="L525" i="9" l="1"/>
  <c r="M525" i="9" s="1"/>
  <c r="N525" i="9" s="1"/>
  <c r="C526" i="9"/>
  <c r="D526" i="9" l="1"/>
  <c r="G526" i="9" s="1"/>
  <c r="H526" i="9" s="1"/>
  <c r="J526" i="9" s="1"/>
  <c r="I526" i="9" l="1"/>
  <c r="B527" i="9" l="1"/>
  <c r="K526" i="9"/>
  <c r="O526" i="9" s="1"/>
  <c r="L526" i="9" l="1"/>
  <c r="M526" i="9" s="1"/>
  <c r="N526" i="9" s="1"/>
  <c r="C527" i="9"/>
  <c r="D527" i="9" l="1"/>
  <c r="G527" i="9" s="1"/>
  <c r="H527" i="9" s="1"/>
  <c r="J527" i="9" s="1"/>
  <c r="I527" i="9" l="1"/>
  <c r="B528" i="9" l="1"/>
  <c r="K527" i="9"/>
  <c r="O527" i="9" s="1"/>
  <c r="L527" i="9" l="1"/>
  <c r="M527" i="9" s="1"/>
  <c r="N527" i="9" s="1"/>
  <c r="C528" i="9"/>
  <c r="D528" i="9" l="1"/>
  <c r="G528" i="9" s="1"/>
  <c r="H528" i="9" s="1"/>
  <c r="I528" i="9" s="1"/>
  <c r="B529" i="9" l="1"/>
  <c r="K528" i="9"/>
  <c r="O528" i="9" s="1"/>
  <c r="J528" i="9"/>
  <c r="L528" i="9" l="1"/>
  <c r="M528" i="9" s="1"/>
  <c r="N528" i="9" s="1"/>
  <c r="C529" i="9"/>
  <c r="D529" i="9" l="1"/>
  <c r="G529" i="9" s="1"/>
  <c r="H529" i="9" s="1"/>
  <c r="J529" i="9" s="1"/>
  <c r="I529" i="9" l="1"/>
  <c r="B530" i="9" l="1"/>
  <c r="K529" i="9"/>
  <c r="O529" i="9" s="1"/>
  <c r="L529" i="9" l="1"/>
  <c r="M529" i="9" s="1"/>
  <c r="N529" i="9" s="1"/>
  <c r="C530" i="9"/>
  <c r="D530" i="9" l="1"/>
  <c r="G530" i="9" s="1"/>
  <c r="H530" i="9" s="1"/>
  <c r="J530" i="9" s="1"/>
  <c r="I530" i="9" l="1"/>
  <c r="B531" i="9" l="1"/>
  <c r="K530" i="9"/>
  <c r="O530" i="9" s="1"/>
  <c r="L530" i="9" l="1"/>
  <c r="M530" i="9" s="1"/>
  <c r="N530" i="9" s="1"/>
  <c r="C531" i="9"/>
  <c r="D531" i="9" l="1"/>
  <c r="G531" i="9" s="1"/>
  <c r="H531" i="9" s="1"/>
  <c r="J531" i="9" s="1"/>
  <c r="I531" i="9" l="1"/>
  <c r="B532" i="9" l="1"/>
  <c r="K531" i="9"/>
  <c r="O531" i="9" s="1"/>
  <c r="L531" i="9" l="1"/>
  <c r="M531" i="9" s="1"/>
  <c r="N531" i="9" s="1"/>
  <c r="C532" i="9"/>
  <c r="D532" i="9" l="1"/>
  <c r="G532" i="9" s="1"/>
  <c r="H532" i="9" s="1"/>
  <c r="J532" i="9" s="1"/>
  <c r="I532" i="9" l="1"/>
  <c r="B533" i="9" l="1"/>
  <c r="K532" i="9"/>
  <c r="O532" i="9" s="1"/>
  <c r="L532" i="9" l="1"/>
  <c r="M532" i="9" s="1"/>
  <c r="N532" i="9" s="1"/>
  <c r="C533" i="9"/>
  <c r="D533" i="9" l="1"/>
  <c r="G533" i="9" s="1"/>
  <c r="H533" i="9" s="1"/>
  <c r="I533" i="9" s="1"/>
  <c r="B534" i="9" l="1"/>
  <c r="K533" i="9"/>
  <c r="O533" i="9" s="1"/>
  <c r="J533" i="9"/>
  <c r="L533" i="9" l="1"/>
  <c r="M533" i="9" s="1"/>
  <c r="N533" i="9" s="1"/>
  <c r="C534" i="9"/>
  <c r="D534" i="9" l="1"/>
  <c r="G534" i="9" s="1"/>
  <c r="H534" i="9" s="1"/>
  <c r="J534" i="9" s="1"/>
  <c r="I534" i="9" l="1"/>
  <c r="B535" i="9" l="1"/>
  <c r="K534" i="9"/>
  <c r="O534" i="9" s="1"/>
  <c r="L534" i="9" l="1"/>
  <c r="M534" i="9" s="1"/>
  <c r="N534" i="9" s="1"/>
  <c r="C535" i="9"/>
  <c r="D535" i="9" l="1"/>
  <c r="G535" i="9" s="1"/>
  <c r="H535" i="9" s="1"/>
  <c r="J535" i="9" s="1"/>
  <c r="I535" i="9" l="1"/>
  <c r="B536" i="9" l="1"/>
  <c r="K535" i="9"/>
  <c r="O535" i="9" s="1"/>
  <c r="L535" i="9" l="1"/>
  <c r="M535" i="9" s="1"/>
  <c r="N535" i="9" s="1"/>
  <c r="C536" i="9"/>
  <c r="D536" i="9" l="1"/>
  <c r="G536" i="9" s="1"/>
  <c r="H536" i="9" s="1"/>
  <c r="I536" i="9" s="1"/>
  <c r="B537" i="9" l="1"/>
  <c r="K536" i="9"/>
  <c r="O536" i="9" s="1"/>
  <c r="J536" i="9"/>
  <c r="L536" i="9" l="1"/>
  <c r="M536" i="9" s="1"/>
  <c r="N536" i="9" s="1"/>
  <c r="C537" i="9"/>
  <c r="D537" i="9" l="1"/>
  <c r="G537" i="9" s="1"/>
  <c r="H537" i="9" s="1"/>
  <c r="J537" i="9" s="1"/>
  <c r="I537" i="9" l="1"/>
  <c r="B538" i="9" l="1"/>
  <c r="K537" i="9"/>
  <c r="O537" i="9" s="1"/>
  <c r="L537" i="9" l="1"/>
  <c r="M537" i="9" s="1"/>
  <c r="N537" i="9" s="1"/>
  <c r="C538" i="9"/>
  <c r="D538" i="9" l="1"/>
  <c r="G538" i="9" s="1"/>
  <c r="H538" i="9" s="1"/>
  <c r="J538" i="9" s="1"/>
  <c r="I538" i="9" l="1"/>
  <c r="B539" i="9" l="1"/>
  <c r="K538" i="9"/>
  <c r="O538" i="9" s="1"/>
  <c r="L538" i="9" l="1"/>
  <c r="M538" i="9" s="1"/>
  <c r="N538" i="9" s="1"/>
  <c r="C539" i="9"/>
  <c r="D539" i="9" l="1"/>
  <c r="G539" i="9" s="1"/>
  <c r="H539" i="9" s="1"/>
  <c r="J539" i="9" s="1"/>
  <c r="I539" i="9" l="1"/>
  <c r="B540" i="9" l="1"/>
  <c r="K539" i="9"/>
  <c r="O539" i="9" s="1"/>
  <c r="L539" i="9" l="1"/>
  <c r="M539" i="9" s="1"/>
  <c r="N539" i="9" s="1"/>
  <c r="C540" i="9"/>
  <c r="D540" i="9" l="1"/>
  <c r="G540" i="9" s="1"/>
  <c r="H540" i="9" s="1"/>
  <c r="J540" i="9" s="1"/>
  <c r="I540" i="9" l="1"/>
  <c r="B541" i="9" l="1"/>
  <c r="K540" i="9"/>
  <c r="O540" i="9" s="1"/>
  <c r="L540" i="9" l="1"/>
  <c r="M540" i="9" s="1"/>
  <c r="N540" i="9" s="1"/>
  <c r="C541" i="9"/>
  <c r="D541" i="9" l="1"/>
  <c r="G541" i="9" s="1"/>
  <c r="H541" i="9" s="1"/>
  <c r="I541" i="9" s="1"/>
  <c r="B542" i="9" l="1"/>
  <c r="K541" i="9"/>
  <c r="O541" i="9" s="1"/>
  <c r="J541" i="9"/>
  <c r="L541" i="9" l="1"/>
  <c r="M541" i="9" s="1"/>
  <c r="N541" i="9" s="1"/>
  <c r="C542" i="9"/>
  <c r="D542" i="9" l="1"/>
  <c r="G542" i="9" s="1"/>
  <c r="H542" i="9" s="1"/>
  <c r="J542" i="9" s="1"/>
  <c r="I542" i="9" l="1"/>
  <c r="B543" i="9" l="1"/>
  <c r="K542" i="9"/>
  <c r="O542" i="9" s="1"/>
  <c r="L542" i="9" l="1"/>
  <c r="M542" i="9" s="1"/>
  <c r="N542" i="9" s="1"/>
  <c r="C543" i="9"/>
  <c r="D543" i="9" l="1"/>
  <c r="G543" i="9" s="1"/>
  <c r="H543" i="9" s="1"/>
  <c r="J543" i="9" s="1"/>
  <c r="I543" i="9" l="1"/>
  <c r="B544" i="9" l="1"/>
  <c r="K543" i="9"/>
  <c r="O543" i="9" s="1"/>
  <c r="L543" i="9" l="1"/>
  <c r="M543" i="9" s="1"/>
  <c r="N543" i="9" s="1"/>
  <c r="C544" i="9"/>
  <c r="D544" i="9" l="1"/>
  <c r="G544" i="9" s="1"/>
  <c r="H544" i="9" s="1"/>
  <c r="I544" i="9" s="1"/>
  <c r="B545" i="9" l="1"/>
  <c r="K544" i="9"/>
  <c r="O544" i="9" s="1"/>
  <c r="J544" i="9"/>
  <c r="L544" i="9" l="1"/>
  <c r="M544" i="9" s="1"/>
  <c r="N544" i="9" s="1"/>
  <c r="C545" i="9"/>
  <c r="D545" i="9" l="1"/>
  <c r="G545" i="9" s="1"/>
  <c r="H545" i="9" s="1"/>
  <c r="J545" i="9" s="1"/>
  <c r="I545" i="9" l="1"/>
  <c r="B546" i="9" l="1"/>
  <c r="K545" i="9"/>
  <c r="O545" i="9" s="1"/>
  <c r="L545" i="9" l="1"/>
  <c r="M545" i="9" s="1"/>
  <c r="N545" i="9" s="1"/>
  <c r="C546" i="9"/>
  <c r="D546" i="9" l="1"/>
  <c r="G546" i="9" s="1"/>
  <c r="H546" i="9" s="1"/>
  <c r="J546" i="9" s="1"/>
  <c r="I546" i="9" l="1"/>
  <c r="B547" i="9" l="1"/>
  <c r="K546" i="9"/>
  <c r="O546" i="9" s="1"/>
  <c r="L546" i="9" l="1"/>
  <c r="M546" i="9" s="1"/>
  <c r="N546" i="9" s="1"/>
  <c r="C547" i="9"/>
  <c r="D547" i="9" l="1"/>
  <c r="G547" i="9" s="1"/>
  <c r="H547" i="9" s="1"/>
  <c r="J547" i="9" s="1"/>
  <c r="I547" i="9" l="1"/>
  <c r="B548" i="9" l="1"/>
  <c r="K547" i="9"/>
  <c r="O547" i="9" s="1"/>
  <c r="L547" i="9" l="1"/>
  <c r="M547" i="9" s="1"/>
  <c r="N547" i="9" s="1"/>
  <c r="C548" i="9"/>
  <c r="D548" i="9" l="1"/>
  <c r="G548" i="9" s="1"/>
  <c r="H548" i="9" s="1"/>
  <c r="J548" i="9" s="1"/>
  <c r="I548" i="9" l="1"/>
  <c r="B549" i="9" l="1"/>
  <c r="K548" i="9"/>
  <c r="O548" i="9" s="1"/>
  <c r="L548" i="9" l="1"/>
  <c r="M548" i="9" s="1"/>
  <c r="N548" i="9" s="1"/>
  <c r="C549" i="9"/>
  <c r="D549" i="9" l="1"/>
  <c r="G549" i="9" s="1"/>
  <c r="H549" i="9" s="1"/>
  <c r="I549" i="9" s="1"/>
  <c r="B550" i="9" l="1"/>
  <c r="K549" i="9"/>
  <c r="O549" i="9" s="1"/>
  <c r="J549" i="9"/>
  <c r="L549" i="9" l="1"/>
  <c r="M549" i="9" s="1"/>
  <c r="N549" i="9" s="1"/>
  <c r="C550" i="9"/>
  <c r="D550" i="9" l="1"/>
  <c r="G550" i="9" s="1"/>
  <c r="H550" i="9" s="1"/>
  <c r="J550" i="9" s="1"/>
  <c r="I550" i="9" l="1"/>
  <c r="B551" i="9" l="1"/>
  <c r="K550" i="9"/>
  <c r="O550" i="9" s="1"/>
  <c r="L550" i="9" l="1"/>
  <c r="M550" i="9" s="1"/>
  <c r="N550" i="9" s="1"/>
  <c r="C551" i="9"/>
  <c r="D551" i="9" l="1"/>
  <c r="G551" i="9" s="1"/>
  <c r="H551" i="9" s="1"/>
  <c r="J551" i="9" s="1"/>
  <c r="I551" i="9" l="1"/>
  <c r="B552" i="9" l="1"/>
  <c r="K551" i="9"/>
  <c r="O551" i="9" s="1"/>
  <c r="L551" i="9" l="1"/>
  <c r="M551" i="9" s="1"/>
  <c r="N551" i="9" s="1"/>
  <c r="C552" i="9"/>
  <c r="D552" i="9" l="1"/>
  <c r="G552" i="9" s="1"/>
  <c r="H552" i="9" s="1"/>
  <c r="I552" i="9" s="1"/>
  <c r="B553" i="9" l="1"/>
  <c r="K552" i="9"/>
  <c r="O552" i="9" s="1"/>
  <c r="J552" i="9"/>
  <c r="L552" i="9" l="1"/>
  <c r="M552" i="9" s="1"/>
  <c r="N552" i="9" s="1"/>
  <c r="C553" i="9"/>
  <c r="D553" i="9" l="1"/>
  <c r="G553" i="9" s="1"/>
  <c r="H553" i="9" s="1"/>
  <c r="J553" i="9" s="1"/>
  <c r="I553" i="9" l="1"/>
  <c r="B554" i="9" l="1"/>
  <c r="K553" i="9"/>
  <c r="O553" i="9" s="1"/>
  <c r="L553" i="9" l="1"/>
  <c r="M553" i="9" s="1"/>
  <c r="N553" i="9" s="1"/>
  <c r="C554" i="9"/>
  <c r="D554" i="9" l="1"/>
  <c r="G554" i="9" s="1"/>
  <c r="H554" i="9" s="1"/>
  <c r="J554" i="9" s="1"/>
  <c r="I554" i="9" l="1"/>
  <c r="B555" i="9" s="1"/>
  <c r="K554" i="9" l="1"/>
  <c r="O554" i="9" s="1"/>
  <c r="C555" i="9"/>
  <c r="L554" i="9" l="1"/>
  <c r="M554" i="9" s="1"/>
  <c r="N554" i="9" s="1"/>
  <c r="D555" i="9"/>
  <c r="G555" i="9" s="1"/>
  <c r="H555" i="9" s="1"/>
  <c r="J555" i="9" s="1"/>
  <c r="I555" i="9" l="1"/>
  <c r="B556" i="9" l="1"/>
  <c r="K555" i="9"/>
  <c r="O555" i="9" s="1"/>
  <c r="L555" i="9" l="1"/>
  <c r="M555" i="9" s="1"/>
  <c r="N555" i="9" s="1"/>
  <c r="C556" i="9"/>
  <c r="D556" i="9" l="1"/>
  <c r="G556" i="9" s="1"/>
  <c r="H556" i="9" s="1"/>
  <c r="I556" i="9" s="1"/>
  <c r="B557" i="9" l="1"/>
  <c r="K556" i="9"/>
  <c r="O556" i="9" s="1"/>
  <c r="J556" i="9"/>
  <c r="L556" i="9" l="1"/>
  <c r="M556" i="9" s="1"/>
  <c r="N556" i="9" s="1"/>
  <c r="C557" i="9"/>
  <c r="D557" i="9" l="1"/>
  <c r="G557" i="9" s="1"/>
  <c r="H557" i="9" s="1"/>
  <c r="J557" i="9" s="1"/>
  <c r="I557" i="9" l="1"/>
  <c r="B558" i="9" l="1"/>
  <c r="K557" i="9"/>
  <c r="O557" i="9" s="1"/>
  <c r="L557" i="9" l="1"/>
  <c r="M557" i="9" s="1"/>
  <c r="N557" i="9" s="1"/>
  <c r="C558" i="9"/>
  <c r="D558" i="9" l="1"/>
  <c r="G558" i="9" s="1"/>
  <c r="H558" i="9" s="1"/>
  <c r="I558" i="9" s="1"/>
  <c r="B559" i="9" l="1"/>
  <c r="K558" i="9"/>
  <c r="O558" i="9" s="1"/>
  <c r="J558" i="9"/>
  <c r="L558" i="9" l="1"/>
  <c r="M558" i="9" s="1"/>
  <c r="N558" i="9" s="1"/>
  <c r="C559" i="9"/>
  <c r="D559" i="9" l="1"/>
  <c r="G559" i="9" s="1"/>
  <c r="H559" i="9" s="1"/>
  <c r="J559" i="9" s="1"/>
  <c r="I559" i="9" l="1"/>
  <c r="B560" i="9" l="1"/>
  <c r="K559" i="9"/>
  <c r="O559" i="9" s="1"/>
  <c r="L559" i="9" l="1"/>
  <c r="M559" i="9" s="1"/>
  <c r="N559" i="9" s="1"/>
  <c r="C560" i="9"/>
  <c r="D560" i="9" l="1"/>
  <c r="G560" i="9" s="1"/>
  <c r="H560" i="9" s="1"/>
  <c r="J560" i="9" s="1"/>
  <c r="I560" i="9" l="1"/>
  <c r="B561" i="9" l="1"/>
  <c r="K560" i="9"/>
  <c r="O560" i="9" s="1"/>
  <c r="L560" i="9" l="1"/>
  <c r="M560" i="9" s="1"/>
  <c r="N560" i="9" s="1"/>
  <c r="C561" i="9"/>
  <c r="D561" i="9" l="1"/>
  <c r="G561" i="9" s="1"/>
  <c r="H561" i="9" s="1"/>
  <c r="J561" i="9" s="1"/>
  <c r="I561" i="9" l="1"/>
  <c r="B562" i="9" s="1"/>
  <c r="K561" i="9" l="1"/>
  <c r="O561" i="9" s="1"/>
  <c r="C562" i="9"/>
  <c r="L561" i="9" l="1"/>
  <c r="M561" i="9" s="1"/>
  <c r="N561" i="9" s="1"/>
  <c r="D562" i="9"/>
  <c r="G562" i="9" s="1"/>
  <c r="H562" i="9" s="1"/>
  <c r="J562" i="9" s="1"/>
  <c r="I562" i="9" l="1"/>
  <c r="B563" i="9" l="1"/>
  <c r="K562" i="9"/>
  <c r="O562" i="9" s="1"/>
  <c r="L562" i="9" l="1"/>
  <c r="M562" i="9" s="1"/>
  <c r="N562" i="9" s="1"/>
  <c r="C563" i="9"/>
  <c r="D563" i="9" l="1"/>
  <c r="G563" i="9" s="1"/>
  <c r="H563" i="9" s="1"/>
  <c r="J563" i="9" s="1"/>
  <c r="I563" i="9" l="1"/>
  <c r="B564" i="9" l="1"/>
  <c r="K563" i="9"/>
  <c r="O563" i="9" s="1"/>
  <c r="L563" i="9" l="1"/>
  <c r="M563" i="9" s="1"/>
  <c r="N563" i="9" s="1"/>
  <c r="C564" i="9"/>
  <c r="D564" i="9" l="1"/>
  <c r="G564" i="9" s="1"/>
  <c r="H564" i="9" s="1"/>
  <c r="J564" i="9" s="1"/>
  <c r="I564" i="9" l="1"/>
  <c r="B565" i="9" l="1"/>
  <c r="K564" i="9"/>
  <c r="O564" i="9" s="1"/>
  <c r="L564" i="9" l="1"/>
  <c r="M564" i="9" s="1"/>
  <c r="N564" i="9" s="1"/>
  <c r="C565" i="9"/>
  <c r="D565" i="9" l="1"/>
  <c r="G565" i="9" s="1"/>
  <c r="H565" i="9" s="1"/>
  <c r="I565" i="9" s="1"/>
  <c r="B566" i="9" l="1"/>
  <c r="K565" i="9"/>
  <c r="O565" i="9" s="1"/>
  <c r="J565" i="9"/>
  <c r="L565" i="9" l="1"/>
  <c r="M565" i="9" s="1"/>
  <c r="N565" i="9" s="1"/>
  <c r="C566" i="9"/>
  <c r="D566" i="9" l="1"/>
  <c r="G566" i="9" s="1"/>
  <c r="H566" i="9" s="1"/>
  <c r="I566" i="9" s="1"/>
  <c r="B567" i="9" l="1"/>
  <c r="K566" i="9"/>
  <c r="O566" i="9" s="1"/>
  <c r="J566" i="9"/>
  <c r="L566" i="9" l="1"/>
  <c r="M566" i="9" s="1"/>
  <c r="N566" i="9" s="1"/>
  <c r="C567" i="9"/>
  <c r="D567" i="9" l="1"/>
  <c r="G567" i="9" s="1"/>
  <c r="H567" i="9" s="1"/>
  <c r="I567" i="9" s="1"/>
  <c r="B568" i="9" l="1"/>
  <c r="K567" i="9"/>
  <c r="O567" i="9" s="1"/>
  <c r="J567" i="9"/>
  <c r="L567" i="9" l="1"/>
  <c r="M567" i="9" s="1"/>
  <c r="N567" i="9" s="1"/>
  <c r="C568" i="9"/>
  <c r="D568" i="9" l="1"/>
  <c r="G568" i="9" s="1"/>
  <c r="H568" i="9" s="1"/>
  <c r="J568" i="9" s="1"/>
  <c r="I568" i="9" l="1"/>
  <c r="B569" i="9" l="1"/>
  <c r="K568" i="9"/>
  <c r="O568" i="9" s="1"/>
  <c r="L568" i="9" l="1"/>
  <c r="M568" i="9" s="1"/>
  <c r="N568" i="9" s="1"/>
  <c r="C569" i="9"/>
  <c r="D569" i="9" l="1"/>
  <c r="G569" i="9" s="1"/>
  <c r="H569" i="9" s="1"/>
  <c r="I569" i="9" s="1"/>
  <c r="B570" i="9" l="1"/>
  <c r="K569" i="9"/>
  <c r="O569" i="9" s="1"/>
  <c r="J569" i="9"/>
  <c r="L569" i="9" l="1"/>
  <c r="M569" i="9" s="1"/>
  <c r="N569" i="9" s="1"/>
  <c r="C570" i="9"/>
  <c r="D570" i="9" l="1"/>
  <c r="G570" i="9" s="1"/>
  <c r="H570" i="9" s="1"/>
  <c r="J570" i="9" s="1"/>
  <c r="I570" i="9" l="1"/>
  <c r="B571" i="9" l="1"/>
  <c r="K570" i="9"/>
  <c r="O570" i="9" s="1"/>
  <c r="L570" i="9" l="1"/>
  <c r="M570" i="9" s="1"/>
  <c r="N570" i="9" s="1"/>
  <c r="C571" i="9"/>
  <c r="D571" i="9" l="1"/>
  <c r="G571" i="9" s="1"/>
  <c r="H571" i="9" s="1"/>
  <c r="J571" i="9" s="1"/>
  <c r="I571" i="9" l="1"/>
  <c r="B572" i="9" l="1"/>
  <c r="K571" i="9"/>
  <c r="O571" i="9" s="1"/>
  <c r="L571" i="9" l="1"/>
  <c r="M571" i="9" s="1"/>
  <c r="N571" i="9" s="1"/>
  <c r="C572" i="9"/>
  <c r="D572" i="9" l="1"/>
  <c r="G572" i="9" s="1"/>
  <c r="H572" i="9" s="1"/>
  <c r="I572" i="9" s="1"/>
  <c r="B573" i="9" l="1"/>
  <c r="K572" i="9"/>
  <c r="O572" i="9" s="1"/>
  <c r="J572" i="9"/>
  <c r="L572" i="9" l="1"/>
  <c r="M572" i="9" s="1"/>
  <c r="N572" i="9" s="1"/>
  <c r="C573" i="9"/>
  <c r="D573" i="9" l="1"/>
  <c r="G573" i="9" s="1"/>
  <c r="H573" i="9" s="1"/>
  <c r="I573" i="9" s="1"/>
  <c r="J573" i="9" l="1"/>
  <c r="B574" i="9"/>
  <c r="K573" i="9"/>
  <c r="O573" i="9" s="1"/>
  <c r="L573" i="9" l="1"/>
  <c r="M573" i="9" s="1"/>
  <c r="N573" i="9" s="1"/>
  <c r="C574" i="9"/>
  <c r="D574" i="9" l="1"/>
  <c r="G574" i="9" s="1"/>
  <c r="H574" i="9" s="1"/>
  <c r="I574" i="9" s="1"/>
  <c r="B575" i="9" l="1"/>
  <c r="K574" i="9"/>
  <c r="O574" i="9" s="1"/>
  <c r="J574" i="9"/>
  <c r="L574" i="9" l="1"/>
  <c r="M574" i="9" s="1"/>
  <c r="N574" i="9" s="1"/>
  <c r="C575" i="9"/>
  <c r="D575" i="9" l="1"/>
  <c r="G575" i="9" s="1"/>
  <c r="H575" i="9" s="1"/>
  <c r="J575" i="9" s="1"/>
  <c r="I575" i="9" l="1"/>
  <c r="B576" i="9" l="1"/>
  <c r="K575" i="9"/>
  <c r="O575" i="9" s="1"/>
  <c r="L575" i="9" l="1"/>
  <c r="M575" i="9" s="1"/>
  <c r="N575" i="9" s="1"/>
  <c r="C576" i="9"/>
  <c r="D576" i="9" l="1"/>
  <c r="G576" i="9" s="1"/>
  <c r="H576" i="9" s="1"/>
  <c r="J576" i="9" s="1"/>
  <c r="I576" i="9" l="1"/>
  <c r="B577" i="9" s="1"/>
  <c r="K576" i="9" l="1"/>
  <c r="O576" i="9" s="1"/>
  <c r="C577" i="9"/>
  <c r="L576" i="9" l="1"/>
  <c r="M576" i="9" s="1"/>
  <c r="N576" i="9" s="1"/>
  <c r="D577" i="9"/>
  <c r="G577" i="9" s="1"/>
  <c r="H577" i="9" s="1"/>
  <c r="J577" i="9" s="1"/>
  <c r="I577" i="9" l="1"/>
  <c r="B578" i="9" l="1"/>
  <c r="K577" i="9"/>
  <c r="O577" i="9" s="1"/>
  <c r="L577" i="9" l="1"/>
  <c r="M577" i="9" s="1"/>
  <c r="N577" i="9" s="1"/>
  <c r="C578" i="9"/>
  <c r="D578" i="9" l="1"/>
  <c r="G578" i="9" s="1"/>
  <c r="H578" i="9" s="1"/>
  <c r="J578" i="9" s="1"/>
  <c r="I578" i="9" l="1"/>
  <c r="B579" i="9" l="1"/>
  <c r="K578" i="9"/>
  <c r="O578" i="9" s="1"/>
  <c r="L578" i="9" l="1"/>
  <c r="M578" i="9" s="1"/>
  <c r="N578" i="9" s="1"/>
  <c r="C579" i="9"/>
  <c r="D579" i="9" l="1"/>
  <c r="G579" i="9" s="1"/>
  <c r="H579" i="9" s="1"/>
  <c r="J579" i="9" s="1"/>
  <c r="I579" i="9" l="1"/>
  <c r="B580" i="9" l="1"/>
  <c r="K579" i="9"/>
  <c r="O579" i="9" s="1"/>
  <c r="L579" i="9" l="1"/>
  <c r="M579" i="9" s="1"/>
  <c r="N579" i="9" s="1"/>
  <c r="C580" i="9"/>
  <c r="D580" i="9" l="1"/>
  <c r="G580" i="9" s="1"/>
  <c r="H580" i="9" s="1"/>
  <c r="J580" i="9" s="1"/>
  <c r="I580" i="9" l="1"/>
  <c r="B581" i="9" l="1"/>
  <c r="K580" i="9"/>
  <c r="O580" i="9" s="1"/>
  <c r="L580" i="9" l="1"/>
  <c r="M580" i="9" s="1"/>
  <c r="N580" i="9" s="1"/>
  <c r="C581" i="9"/>
  <c r="D581" i="9" l="1"/>
  <c r="G581" i="9" s="1"/>
  <c r="H581" i="9" s="1"/>
  <c r="I581" i="9" s="1"/>
  <c r="B582" i="9" l="1"/>
  <c r="K581" i="9"/>
  <c r="O581" i="9" s="1"/>
  <c r="J581" i="9"/>
  <c r="L581" i="9" l="1"/>
  <c r="M581" i="9" s="1"/>
  <c r="N581" i="9" s="1"/>
  <c r="C582" i="9"/>
  <c r="D582" i="9" l="1"/>
  <c r="G582" i="9" s="1"/>
  <c r="H582" i="9" s="1"/>
  <c r="I582" i="9" s="1"/>
  <c r="B583" i="9" l="1"/>
  <c r="K582" i="9"/>
  <c r="O582" i="9" s="1"/>
  <c r="J582" i="9"/>
  <c r="L582" i="9" l="1"/>
  <c r="M582" i="9" s="1"/>
  <c r="N582" i="9" s="1"/>
  <c r="C583" i="9"/>
  <c r="D583" i="9" l="1"/>
  <c r="G583" i="9" s="1"/>
  <c r="H583" i="9" s="1"/>
  <c r="J583" i="9" s="1"/>
  <c r="I583" i="9" l="1"/>
  <c r="B584" i="9" l="1"/>
  <c r="K583" i="9"/>
  <c r="O583" i="9" s="1"/>
  <c r="L583" i="9" l="1"/>
  <c r="M583" i="9" s="1"/>
  <c r="N583" i="9" s="1"/>
  <c r="C584" i="9"/>
  <c r="D584" i="9" l="1"/>
  <c r="G584" i="9" s="1"/>
  <c r="H584" i="9" s="1"/>
  <c r="J584" i="9" s="1"/>
  <c r="I584" i="9" l="1"/>
  <c r="B585" i="9" s="1"/>
  <c r="K584" i="9" l="1"/>
  <c r="O584" i="9" s="1"/>
  <c r="C585" i="9"/>
  <c r="L584" i="9" l="1"/>
  <c r="M584" i="9" s="1"/>
  <c r="N584" i="9" s="1"/>
  <c r="D585" i="9"/>
  <c r="G585" i="9" s="1"/>
  <c r="H585" i="9" s="1"/>
  <c r="J585" i="9" s="1"/>
  <c r="I585" i="9" l="1"/>
  <c r="B586" i="9" s="1"/>
  <c r="K585" i="9" l="1"/>
  <c r="O585" i="9" s="1"/>
  <c r="C586" i="9"/>
  <c r="L585" i="9" l="1"/>
  <c r="M585" i="9" s="1"/>
  <c r="N585" i="9" s="1"/>
  <c r="D586" i="9"/>
  <c r="G586" i="9" s="1"/>
  <c r="H586" i="9" s="1"/>
  <c r="J586" i="9" s="1"/>
  <c r="I586" i="9" l="1"/>
  <c r="B587" i="9" l="1"/>
  <c r="K586" i="9"/>
  <c r="O586" i="9" s="1"/>
  <c r="L586" i="9" l="1"/>
  <c r="M586" i="9" s="1"/>
  <c r="N586" i="9" s="1"/>
  <c r="C587" i="9"/>
  <c r="D587" i="9" l="1"/>
  <c r="G587" i="9" s="1"/>
  <c r="H587" i="9" s="1"/>
  <c r="J587" i="9" s="1"/>
  <c r="I587" i="9" l="1"/>
  <c r="B588" i="9" l="1"/>
  <c r="K587" i="9"/>
  <c r="O587" i="9" s="1"/>
  <c r="L587" i="9" l="1"/>
  <c r="M587" i="9" s="1"/>
  <c r="N587" i="9" s="1"/>
  <c r="C588" i="9"/>
  <c r="D588" i="9" l="1"/>
  <c r="G588" i="9" s="1"/>
  <c r="H588" i="9" s="1"/>
  <c r="J588" i="9" s="1"/>
  <c r="I588" i="9" l="1"/>
  <c r="B589" i="9" l="1"/>
  <c r="K588" i="9"/>
  <c r="O588" i="9" s="1"/>
  <c r="L588" i="9" l="1"/>
  <c r="M588" i="9" s="1"/>
  <c r="N588" i="9" s="1"/>
  <c r="C589" i="9"/>
  <c r="D589" i="9" l="1"/>
  <c r="G589" i="9" s="1"/>
  <c r="H589" i="9" s="1"/>
  <c r="J589" i="9" s="1"/>
  <c r="I589" i="9" l="1"/>
  <c r="B590" i="9" l="1"/>
  <c r="K589" i="9"/>
  <c r="O589" i="9" s="1"/>
  <c r="L589" i="9" l="1"/>
  <c r="M589" i="9" s="1"/>
  <c r="N589" i="9" s="1"/>
  <c r="C590" i="9"/>
  <c r="D590" i="9" l="1"/>
  <c r="G590" i="9" s="1"/>
  <c r="H590" i="9" s="1"/>
  <c r="I590" i="9" s="1"/>
  <c r="B591" i="9" l="1"/>
  <c r="K590" i="9"/>
  <c r="O590" i="9" s="1"/>
  <c r="J590" i="9"/>
  <c r="L590" i="9" l="1"/>
  <c r="M590" i="9" s="1"/>
  <c r="N590" i="9" s="1"/>
  <c r="C591" i="9"/>
  <c r="D591" i="9" l="1"/>
  <c r="G591" i="9" s="1"/>
  <c r="H591" i="9" s="1"/>
  <c r="J591" i="9" s="1"/>
  <c r="I591" i="9" l="1"/>
  <c r="B592" i="9" l="1"/>
  <c r="K591" i="9"/>
  <c r="O591" i="9" s="1"/>
  <c r="C592" i="9" l="1"/>
  <c r="L591" i="9"/>
  <c r="M591" i="9" s="1"/>
  <c r="N591" i="9" s="1"/>
  <c r="D592" i="9" l="1"/>
  <c r="G592" i="9" s="1"/>
  <c r="H592" i="9" s="1"/>
  <c r="J592" i="9" s="1"/>
  <c r="I592" i="9" l="1"/>
  <c r="B593" i="9" l="1"/>
  <c r="K592" i="9"/>
  <c r="O592" i="9" s="1"/>
  <c r="L592" i="9" l="1"/>
  <c r="M592" i="9" s="1"/>
  <c r="N592" i="9" s="1"/>
  <c r="C593" i="9"/>
  <c r="D593" i="9" l="1"/>
  <c r="G593" i="9" s="1"/>
  <c r="H593" i="9" s="1"/>
  <c r="J593" i="9" s="1"/>
  <c r="I593" i="9" l="1"/>
  <c r="B594" i="9" l="1"/>
  <c r="K593" i="9"/>
  <c r="O593" i="9" s="1"/>
  <c r="L593" i="9" l="1"/>
  <c r="M593" i="9" s="1"/>
  <c r="N593" i="9" s="1"/>
  <c r="C594" i="9"/>
  <c r="D594" i="9" l="1"/>
  <c r="G594" i="9" s="1"/>
  <c r="H594" i="9" s="1"/>
  <c r="J594" i="9" s="1"/>
  <c r="I594" i="9" l="1"/>
  <c r="B595" i="9" l="1"/>
  <c r="K594" i="9"/>
  <c r="O594" i="9" s="1"/>
  <c r="L594" i="9" l="1"/>
  <c r="M594" i="9" s="1"/>
  <c r="N594" i="9" s="1"/>
  <c r="C595" i="9"/>
  <c r="D595" i="9" l="1"/>
  <c r="G595" i="9" s="1"/>
  <c r="H595" i="9" s="1"/>
  <c r="J595" i="9" s="1"/>
  <c r="I595" i="9" l="1"/>
  <c r="B596" i="9" l="1"/>
  <c r="K595" i="9"/>
  <c r="O595" i="9" s="1"/>
  <c r="L595" i="9" l="1"/>
  <c r="M595" i="9" s="1"/>
  <c r="N595" i="9" s="1"/>
  <c r="C596" i="9"/>
  <c r="D596" i="9" l="1"/>
  <c r="G596" i="9" s="1"/>
  <c r="H596" i="9" s="1"/>
  <c r="J596" i="9" s="1"/>
  <c r="I596" i="9" l="1"/>
  <c r="B597" i="9" l="1"/>
  <c r="K596" i="9"/>
  <c r="O596" i="9" s="1"/>
  <c r="L596" i="9" l="1"/>
  <c r="M596" i="9" s="1"/>
  <c r="N596" i="9" s="1"/>
  <c r="C597" i="9"/>
  <c r="D597" i="9" l="1"/>
  <c r="G597" i="9" s="1"/>
  <c r="H597" i="9" s="1"/>
  <c r="J597" i="9" s="1"/>
  <c r="I597" i="9" l="1"/>
  <c r="B598" i="9" l="1"/>
  <c r="K597" i="9"/>
  <c r="O597" i="9" s="1"/>
  <c r="L597" i="9" l="1"/>
  <c r="M597" i="9" s="1"/>
  <c r="N597" i="9" s="1"/>
  <c r="C598" i="9"/>
  <c r="D598" i="9" l="1"/>
  <c r="G598" i="9" s="1"/>
  <c r="H598" i="9" s="1"/>
  <c r="I598" i="9" s="1"/>
  <c r="B599" i="9" l="1"/>
  <c r="K598" i="9"/>
  <c r="O598" i="9" s="1"/>
  <c r="J598" i="9"/>
  <c r="L598" i="9" l="1"/>
  <c r="M598" i="9" s="1"/>
  <c r="N598" i="9" s="1"/>
  <c r="C599" i="9"/>
  <c r="D599" i="9" l="1"/>
  <c r="G599" i="9" s="1"/>
  <c r="H599" i="9" s="1"/>
  <c r="J599" i="9" s="1"/>
  <c r="I599" i="9" l="1"/>
  <c r="B600" i="9" l="1"/>
  <c r="K599" i="9"/>
  <c r="O599" i="9" s="1"/>
  <c r="L599" i="9" l="1"/>
  <c r="M599" i="9" s="1"/>
  <c r="N599" i="9" s="1"/>
  <c r="C600" i="9"/>
  <c r="D600" i="9" l="1"/>
  <c r="G600" i="9" s="1"/>
  <c r="H600" i="9" s="1"/>
  <c r="J600" i="9" s="1"/>
  <c r="I600" i="9" l="1"/>
  <c r="B601" i="9" l="1"/>
  <c r="K600" i="9"/>
  <c r="O600" i="9" s="1"/>
  <c r="L600" i="9" l="1"/>
  <c r="M600" i="9" s="1"/>
  <c r="N600" i="9" s="1"/>
  <c r="C601" i="9"/>
  <c r="D601" i="9" l="1"/>
  <c r="G601" i="9" s="1"/>
  <c r="H601" i="9" s="1"/>
  <c r="J601" i="9" s="1"/>
  <c r="I601" i="9" l="1"/>
  <c r="B602" i="9" l="1"/>
  <c r="K601" i="9"/>
  <c r="O601" i="9" s="1"/>
  <c r="L601" i="9" l="1"/>
  <c r="M601" i="9" s="1"/>
  <c r="N601" i="9" s="1"/>
  <c r="C602" i="9"/>
  <c r="D602" i="9" l="1"/>
  <c r="G602" i="9" s="1"/>
  <c r="H602" i="9" s="1"/>
  <c r="J602" i="9" s="1"/>
  <c r="I602" i="9" l="1"/>
  <c r="B603" i="9" l="1"/>
  <c r="K602" i="9"/>
  <c r="O602" i="9" s="1"/>
  <c r="L602" i="9" l="1"/>
  <c r="M602" i="9" s="1"/>
  <c r="N602" i="9" s="1"/>
  <c r="C603" i="9"/>
  <c r="D603" i="9" l="1"/>
  <c r="G603" i="9" s="1"/>
  <c r="H603" i="9" s="1"/>
  <c r="J603" i="9" s="1"/>
  <c r="I603" i="9" l="1"/>
  <c r="B604" i="9" l="1"/>
  <c r="K603" i="9"/>
  <c r="O603" i="9" s="1"/>
  <c r="L603" i="9" l="1"/>
  <c r="M603" i="9" s="1"/>
  <c r="N603" i="9" s="1"/>
  <c r="C604" i="9"/>
  <c r="D604" i="9" l="1"/>
  <c r="G604" i="9" s="1"/>
  <c r="H604" i="9" s="1"/>
  <c r="J604" i="9" s="1"/>
  <c r="I604" i="9" l="1"/>
  <c r="B605" i="9" l="1"/>
  <c r="K604" i="9"/>
  <c r="O604" i="9" s="1"/>
  <c r="L604" i="9" l="1"/>
  <c r="M604" i="9" s="1"/>
  <c r="N604" i="9" s="1"/>
  <c r="C605" i="9"/>
  <c r="D605" i="9" l="1"/>
  <c r="G605" i="9" s="1"/>
  <c r="H605" i="9" s="1"/>
  <c r="J605" i="9" s="1"/>
  <c r="I605" i="9" l="1"/>
  <c r="B606" i="9" l="1"/>
  <c r="K605" i="9"/>
  <c r="O605" i="9" s="1"/>
  <c r="L605" i="9" l="1"/>
  <c r="M605" i="9" s="1"/>
  <c r="N605" i="9" s="1"/>
  <c r="C606" i="9"/>
  <c r="D606" i="9" l="1"/>
  <c r="G606" i="9" s="1"/>
  <c r="H606" i="9" s="1"/>
  <c r="J606" i="9" s="1"/>
  <c r="I606" i="9" l="1"/>
  <c r="B607" i="9" l="1"/>
  <c r="K606" i="9"/>
  <c r="O606" i="9" s="1"/>
  <c r="L606" i="9" l="1"/>
  <c r="M606" i="9" s="1"/>
  <c r="N606" i="9" s="1"/>
  <c r="C607" i="9"/>
  <c r="D607" i="9" l="1"/>
  <c r="G607" i="9" s="1"/>
  <c r="H607" i="9" s="1"/>
  <c r="J607" i="9" s="1"/>
  <c r="I607" i="9" l="1"/>
  <c r="B608" i="9" l="1"/>
  <c r="K607" i="9"/>
  <c r="O607" i="9" s="1"/>
  <c r="L607" i="9" l="1"/>
  <c r="M607" i="9" s="1"/>
  <c r="N607" i="9" s="1"/>
  <c r="C608" i="9"/>
  <c r="D608" i="9" l="1"/>
  <c r="G608" i="9" s="1"/>
  <c r="H608" i="9" s="1"/>
  <c r="J608" i="9" s="1"/>
  <c r="I608" i="9" l="1"/>
  <c r="B609" i="9" l="1"/>
  <c r="K608" i="9"/>
  <c r="O608" i="9" s="1"/>
  <c r="L608" i="9" l="1"/>
  <c r="M608" i="9" s="1"/>
  <c r="N608" i="9" s="1"/>
  <c r="C609" i="9"/>
  <c r="D609" i="9" l="1"/>
  <c r="G609" i="9" s="1"/>
  <c r="H609" i="9" s="1"/>
  <c r="J609" i="9" s="1"/>
  <c r="I609" i="9" l="1"/>
  <c r="B610" i="9" l="1"/>
  <c r="K609" i="9"/>
  <c r="O609" i="9" s="1"/>
  <c r="L609" i="9" l="1"/>
  <c r="M609" i="9" s="1"/>
  <c r="N609" i="9" s="1"/>
  <c r="C610" i="9"/>
  <c r="D610" i="9" l="1"/>
  <c r="G610" i="9" s="1"/>
  <c r="H610" i="9" s="1"/>
  <c r="J610" i="9" s="1"/>
  <c r="I610" i="9" l="1"/>
  <c r="B611" i="9" l="1"/>
  <c r="K610" i="9"/>
  <c r="O610" i="9" s="1"/>
  <c r="L610" i="9" l="1"/>
  <c r="M610" i="9" s="1"/>
  <c r="N610" i="9" s="1"/>
  <c r="C611" i="9"/>
  <c r="D611" i="9" l="1"/>
  <c r="G611" i="9" s="1"/>
  <c r="H611" i="9" s="1"/>
  <c r="J611" i="9" s="1"/>
  <c r="I611" i="9" l="1"/>
  <c r="B612" i="9" l="1"/>
  <c r="K611" i="9"/>
  <c r="O611" i="9" s="1"/>
  <c r="L611" i="9" l="1"/>
  <c r="M611" i="9" s="1"/>
  <c r="N611" i="9" s="1"/>
  <c r="C612" i="9"/>
  <c r="D612" i="9" l="1"/>
  <c r="G612" i="9" s="1"/>
  <c r="H612" i="9" s="1"/>
  <c r="J612" i="9" s="1"/>
  <c r="I612" i="9" l="1"/>
  <c r="B613" i="9" l="1"/>
  <c r="K612" i="9"/>
  <c r="O612" i="9" s="1"/>
  <c r="L612" i="9" l="1"/>
  <c r="M612" i="9" s="1"/>
  <c r="N612" i="9" s="1"/>
  <c r="C613" i="9"/>
  <c r="D613" i="9" l="1"/>
  <c r="G613" i="9" s="1"/>
  <c r="H613" i="9" s="1"/>
  <c r="I613" i="9" s="1"/>
  <c r="B614" i="9" l="1"/>
  <c r="K613" i="9"/>
  <c r="O613" i="9" s="1"/>
  <c r="J613" i="9"/>
  <c r="L613" i="9" l="1"/>
  <c r="M613" i="9" s="1"/>
  <c r="N613" i="9" s="1"/>
  <c r="C614" i="9"/>
  <c r="D614" i="9" l="1"/>
  <c r="G614" i="9" s="1"/>
  <c r="H614" i="9" s="1"/>
  <c r="J614" i="9" s="1"/>
  <c r="I614" i="9" l="1"/>
  <c r="B615" i="9" l="1"/>
  <c r="K614" i="9"/>
  <c r="O614" i="9" s="1"/>
  <c r="L614" i="9" l="1"/>
  <c r="M614" i="9" s="1"/>
  <c r="N614" i="9" s="1"/>
  <c r="C615" i="9"/>
  <c r="D615" i="9" l="1"/>
  <c r="G615" i="9" s="1"/>
  <c r="H615" i="9" s="1"/>
  <c r="I615" i="9" s="1"/>
  <c r="B616" i="9" l="1"/>
  <c r="K615" i="9"/>
  <c r="O615" i="9" s="1"/>
  <c r="J615" i="9"/>
  <c r="L615" i="9" l="1"/>
  <c r="M615" i="9" s="1"/>
  <c r="N615" i="9" s="1"/>
  <c r="C616" i="9"/>
  <c r="D616" i="9" l="1"/>
  <c r="G616" i="9" s="1"/>
  <c r="H616" i="9" s="1"/>
  <c r="J616" i="9" s="1"/>
  <c r="I616" i="9" l="1"/>
  <c r="B617" i="9" l="1"/>
  <c r="K616" i="9"/>
  <c r="O616" i="9" s="1"/>
  <c r="L616" i="9" l="1"/>
  <c r="M616" i="9" s="1"/>
  <c r="N616" i="9" s="1"/>
  <c r="C617" i="9"/>
  <c r="D617" i="9" l="1"/>
  <c r="G617" i="9" s="1"/>
  <c r="H617" i="9" s="1"/>
  <c r="J617" i="9" s="1"/>
  <c r="I617" i="9" l="1"/>
  <c r="B618" i="9" l="1"/>
  <c r="K617" i="9"/>
  <c r="O617" i="9" s="1"/>
  <c r="L617" i="9" l="1"/>
  <c r="M617" i="9" s="1"/>
  <c r="N617" i="9" s="1"/>
  <c r="C618" i="9"/>
  <c r="D618" i="9" l="1"/>
  <c r="G618" i="9" s="1"/>
  <c r="H618" i="9" s="1"/>
  <c r="J618" i="9" s="1"/>
  <c r="I618" i="9" l="1"/>
  <c r="B619" i="9" l="1"/>
  <c r="K618" i="9"/>
  <c r="O618" i="9" s="1"/>
  <c r="L618" i="9" l="1"/>
  <c r="M618" i="9" s="1"/>
  <c r="N618" i="9" s="1"/>
  <c r="C619" i="9"/>
  <c r="D619" i="9" l="1"/>
  <c r="G619" i="9" s="1"/>
  <c r="H619" i="9" s="1"/>
  <c r="J619" i="9" s="1"/>
  <c r="I619" i="9" l="1"/>
  <c r="B620" i="9" l="1"/>
  <c r="K619" i="9"/>
  <c r="O619" i="9" s="1"/>
  <c r="L619" i="9" l="1"/>
  <c r="M619" i="9" s="1"/>
  <c r="N619" i="9" s="1"/>
  <c r="C620" i="9"/>
  <c r="D620" i="9" l="1"/>
  <c r="G620" i="9" s="1"/>
  <c r="H620" i="9" s="1"/>
  <c r="I620" i="9" s="1"/>
  <c r="B621" i="9" l="1"/>
  <c r="K620" i="9"/>
  <c r="O620" i="9" s="1"/>
  <c r="J620" i="9"/>
  <c r="L620" i="9" l="1"/>
  <c r="M620" i="9" s="1"/>
  <c r="N620" i="9" s="1"/>
  <c r="C621" i="9"/>
  <c r="D621" i="9" l="1"/>
  <c r="G621" i="9" s="1"/>
  <c r="H621" i="9" s="1"/>
  <c r="J621" i="9" s="1"/>
  <c r="I621" i="9" l="1"/>
  <c r="B622" i="9" s="1"/>
  <c r="K621" i="9" l="1"/>
  <c r="O621" i="9" s="1"/>
  <c r="C622" i="9"/>
  <c r="L621" i="9" l="1"/>
  <c r="M621" i="9" s="1"/>
  <c r="N621" i="9" s="1"/>
  <c r="D622" i="9"/>
  <c r="G622" i="9" s="1"/>
  <c r="H622" i="9" s="1"/>
  <c r="I622" i="9" s="1"/>
  <c r="B623" i="9" l="1"/>
  <c r="K622" i="9"/>
  <c r="O622" i="9" s="1"/>
  <c r="J622" i="9"/>
  <c r="L622" i="9" l="1"/>
  <c r="M622" i="9" s="1"/>
  <c r="N622" i="9" s="1"/>
  <c r="C623" i="9"/>
  <c r="D623" i="9" l="1"/>
  <c r="G623" i="9" s="1"/>
  <c r="H623" i="9" s="1"/>
  <c r="I623" i="9" s="1"/>
  <c r="B624" i="9" l="1"/>
  <c r="K623" i="9"/>
  <c r="O623" i="9" s="1"/>
  <c r="J623" i="9"/>
  <c r="L623" i="9" l="1"/>
  <c r="M623" i="9" s="1"/>
  <c r="N623" i="9" s="1"/>
  <c r="C624" i="9"/>
  <c r="D624" i="9" l="1"/>
  <c r="G624" i="9" s="1"/>
  <c r="H624" i="9" s="1"/>
  <c r="J624" i="9" s="1"/>
  <c r="I624" i="9" l="1"/>
  <c r="B625" i="9" l="1"/>
  <c r="K624" i="9"/>
  <c r="O624" i="9" s="1"/>
  <c r="L624" i="9" l="1"/>
  <c r="M624" i="9" s="1"/>
  <c r="N624" i="9" s="1"/>
  <c r="C625" i="9"/>
  <c r="D625" i="9" l="1"/>
  <c r="G625" i="9" s="1"/>
  <c r="H625" i="9" s="1"/>
  <c r="J625" i="9" s="1"/>
  <c r="I625" i="9" l="1"/>
  <c r="B626" i="9" l="1"/>
  <c r="K625" i="9"/>
  <c r="O625" i="9" s="1"/>
  <c r="L625" i="9" l="1"/>
  <c r="M625" i="9" s="1"/>
  <c r="N625" i="9" s="1"/>
  <c r="C626" i="9"/>
  <c r="D626" i="9" l="1"/>
  <c r="G626" i="9" s="1"/>
  <c r="H626" i="9" s="1"/>
  <c r="J626" i="9" s="1"/>
  <c r="I626" i="9" l="1"/>
  <c r="B627" i="9" s="1"/>
  <c r="K626" i="9" l="1"/>
  <c r="O626" i="9" s="1"/>
  <c r="C627" i="9"/>
  <c r="L626" i="9" l="1"/>
  <c r="M626" i="9" s="1"/>
  <c r="N626" i="9" s="1"/>
  <c r="D627" i="9"/>
  <c r="G627" i="9" s="1"/>
  <c r="H627" i="9" s="1"/>
  <c r="J627" i="9" s="1"/>
  <c r="I627" i="9" l="1"/>
  <c r="B628" i="9" l="1"/>
  <c r="K627" i="9"/>
  <c r="O627" i="9" s="1"/>
  <c r="L627" i="9" l="1"/>
  <c r="M627" i="9" s="1"/>
  <c r="N627" i="9" s="1"/>
  <c r="C628" i="9"/>
  <c r="D628" i="9" l="1"/>
  <c r="G628" i="9" s="1"/>
  <c r="H628" i="9" s="1"/>
  <c r="J628" i="9" s="1"/>
  <c r="I628" i="9" l="1"/>
  <c r="B629" i="9" l="1"/>
  <c r="K628" i="9"/>
  <c r="O628" i="9" s="1"/>
  <c r="L628" i="9" l="1"/>
  <c r="M628" i="9" s="1"/>
  <c r="N628" i="9" s="1"/>
  <c r="C629" i="9"/>
  <c r="D629" i="9" l="1"/>
  <c r="G629" i="9" s="1"/>
  <c r="H629" i="9" s="1"/>
  <c r="J629" i="9" s="1"/>
  <c r="I629" i="9" l="1"/>
  <c r="B630" i="9" l="1"/>
  <c r="K629" i="9"/>
  <c r="O629" i="9" s="1"/>
  <c r="L629" i="9" l="1"/>
  <c r="M629" i="9" s="1"/>
  <c r="N629" i="9" s="1"/>
  <c r="C630" i="9"/>
  <c r="D630" i="9" l="1"/>
  <c r="G630" i="9" s="1"/>
  <c r="H630" i="9" s="1"/>
  <c r="J630" i="9" s="1"/>
  <c r="I630" i="9" l="1"/>
  <c r="B631" i="9" l="1"/>
  <c r="K630" i="9"/>
  <c r="O630" i="9" s="1"/>
  <c r="L630" i="9" l="1"/>
  <c r="M630" i="9" s="1"/>
  <c r="N630" i="9" s="1"/>
  <c r="C631" i="9"/>
  <c r="D631" i="9" l="1"/>
  <c r="G631" i="9" s="1"/>
  <c r="H631" i="9" s="1"/>
  <c r="I631" i="9" s="1"/>
  <c r="B632" i="9" l="1"/>
  <c r="K631" i="9"/>
  <c r="O631" i="9" s="1"/>
  <c r="J631" i="9"/>
  <c r="L631" i="9" l="1"/>
  <c r="M631" i="9" s="1"/>
  <c r="N631" i="9" s="1"/>
  <c r="C632" i="9"/>
  <c r="D632" i="9" l="1"/>
  <c r="G632" i="9" s="1"/>
  <c r="H632" i="9" s="1"/>
  <c r="J632" i="9" s="1"/>
  <c r="I632" i="9" l="1"/>
  <c r="B633" i="9" l="1"/>
  <c r="K632" i="9"/>
  <c r="O632" i="9" s="1"/>
  <c r="L632" i="9" l="1"/>
  <c r="M632" i="9" s="1"/>
  <c r="N632" i="9" s="1"/>
  <c r="C633" i="9"/>
  <c r="D633" i="9" l="1"/>
  <c r="G633" i="9" s="1"/>
  <c r="H633" i="9" s="1"/>
  <c r="J633" i="9" s="1"/>
  <c r="I633" i="9" l="1"/>
  <c r="B634" i="9" l="1"/>
  <c r="K633" i="9"/>
  <c r="O633" i="9" s="1"/>
  <c r="L633" i="9" l="1"/>
  <c r="M633" i="9" s="1"/>
  <c r="N633" i="9" s="1"/>
  <c r="C634" i="9"/>
  <c r="D634" i="9" l="1"/>
  <c r="G634" i="9" s="1"/>
  <c r="H634" i="9" s="1"/>
  <c r="J634" i="9" s="1"/>
  <c r="I634" i="9" l="1"/>
  <c r="B635" i="9" l="1"/>
  <c r="K634" i="9"/>
  <c r="O634" i="9" s="1"/>
  <c r="L634" i="9" l="1"/>
  <c r="M634" i="9" s="1"/>
  <c r="N634" i="9" s="1"/>
  <c r="C635" i="9"/>
  <c r="D635" i="9" l="1"/>
  <c r="G635" i="9" s="1"/>
  <c r="H635" i="9" s="1"/>
  <c r="J635" i="9" s="1"/>
  <c r="I635" i="9" l="1"/>
  <c r="B636" i="9" s="1"/>
  <c r="K635" i="9" l="1"/>
  <c r="O635" i="9" s="1"/>
  <c r="C636" i="9"/>
  <c r="L635" i="9" l="1"/>
  <c r="M635" i="9" s="1"/>
  <c r="N635" i="9" s="1"/>
  <c r="D636" i="9"/>
  <c r="G636" i="9" s="1"/>
  <c r="H636" i="9" s="1"/>
  <c r="J636" i="9" s="1"/>
  <c r="I636" i="9" l="1"/>
  <c r="B637" i="9" l="1"/>
  <c r="K636" i="9"/>
  <c r="O636" i="9" s="1"/>
  <c r="L636" i="9" l="1"/>
  <c r="M636" i="9" s="1"/>
  <c r="N636" i="9" s="1"/>
  <c r="C637" i="9"/>
  <c r="D637" i="9" l="1"/>
  <c r="G637" i="9" s="1"/>
  <c r="H637" i="9" s="1"/>
  <c r="J637" i="9" s="1"/>
  <c r="I637" i="9" l="1"/>
  <c r="B638" i="9" l="1"/>
  <c r="K637" i="9"/>
  <c r="O637" i="9" s="1"/>
  <c r="L637" i="9" l="1"/>
  <c r="M637" i="9" s="1"/>
  <c r="N637" i="9" s="1"/>
  <c r="C638" i="9"/>
  <c r="D638" i="9" l="1"/>
  <c r="G638" i="9" s="1"/>
  <c r="H638" i="9" s="1"/>
  <c r="J638" i="9" s="1"/>
  <c r="I638" i="9" l="1"/>
  <c r="B639" i="9" s="1"/>
  <c r="K638" i="9" l="1"/>
  <c r="O638" i="9" s="1"/>
  <c r="C639" i="9"/>
  <c r="L638" i="9" l="1"/>
  <c r="M638" i="9" s="1"/>
  <c r="N638" i="9" s="1"/>
  <c r="D639" i="9"/>
  <c r="G639" i="9" s="1"/>
  <c r="H639" i="9" s="1"/>
  <c r="I639" i="9" s="1"/>
  <c r="B640" i="9" l="1"/>
  <c r="K639" i="9"/>
  <c r="O639" i="9" s="1"/>
  <c r="J639" i="9"/>
  <c r="L639" i="9" l="1"/>
  <c r="M639" i="9" s="1"/>
  <c r="N639" i="9" s="1"/>
  <c r="C640" i="9"/>
  <c r="D640" i="9" l="1"/>
  <c r="G640" i="9" s="1"/>
  <c r="H640" i="9" s="1"/>
  <c r="J640" i="9" s="1"/>
  <c r="I640" i="9" l="1"/>
  <c r="B641" i="9" l="1"/>
  <c r="K640" i="9"/>
  <c r="O640" i="9" s="1"/>
  <c r="L640" i="9" l="1"/>
  <c r="M640" i="9" s="1"/>
  <c r="N640" i="9" s="1"/>
  <c r="C641" i="9"/>
  <c r="D641" i="9" l="1"/>
  <c r="G641" i="9" s="1"/>
  <c r="H641" i="9" s="1"/>
  <c r="I641" i="9" s="1"/>
  <c r="B642" i="9" l="1"/>
  <c r="K641" i="9"/>
  <c r="O641" i="9" s="1"/>
  <c r="J641" i="9"/>
  <c r="L641" i="9" l="1"/>
  <c r="M641" i="9" s="1"/>
  <c r="N641" i="9" s="1"/>
  <c r="C642" i="9"/>
  <c r="D642" i="9" l="1"/>
  <c r="G642" i="9" s="1"/>
  <c r="H642" i="9" s="1"/>
  <c r="J642" i="9" s="1"/>
  <c r="I642" i="9" l="1"/>
  <c r="B643" i="9" l="1"/>
  <c r="K642" i="9"/>
  <c r="O642" i="9" s="1"/>
  <c r="L642" i="9" l="1"/>
  <c r="M642" i="9" s="1"/>
  <c r="N642" i="9" s="1"/>
  <c r="C643" i="9"/>
  <c r="D643" i="9" l="1"/>
  <c r="G643" i="9" s="1"/>
  <c r="H643" i="9" s="1"/>
  <c r="I643" i="9" s="1"/>
  <c r="B644" i="9" l="1"/>
  <c r="K643" i="9"/>
  <c r="O643" i="9" s="1"/>
  <c r="J643" i="9"/>
  <c r="L643" i="9" l="1"/>
  <c r="M643" i="9" s="1"/>
  <c r="N643" i="9" s="1"/>
  <c r="C644" i="9"/>
  <c r="D644" i="9" l="1"/>
  <c r="G644" i="9" s="1"/>
  <c r="H644" i="9" s="1"/>
  <c r="J644" i="9" s="1"/>
  <c r="I644" i="9" l="1"/>
  <c r="B645" i="9" l="1"/>
  <c r="K644" i="9"/>
  <c r="O644" i="9" s="1"/>
  <c r="L644" i="9" l="1"/>
  <c r="M644" i="9" s="1"/>
  <c r="N644" i="9" s="1"/>
  <c r="C645" i="9"/>
  <c r="D645" i="9" l="1"/>
  <c r="G645" i="9" s="1"/>
  <c r="H645" i="9" s="1"/>
  <c r="J645" i="9" s="1"/>
  <c r="I645" i="9" l="1"/>
  <c r="B646" i="9" l="1"/>
  <c r="K645" i="9"/>
  <c r="O645" i="9" s="1"/>
  <c r="L645" i="9" l="1"/>
  <c r="M645" i="9" s="1"/>
  <c r="N645" i="9" s="1"/>
  <c r="C646" i="9"/>
  <c r="D646" i="9" l="1"/>
  <c r="G646" i="9" s="1"/>
  <c r="H646" i="9" s="1"/>
  <c r="J646" i="9" s="1"/>
  <c r="I646" i="9" l="1"/>
  <c r="B647" i="9" l="1"/>
  <c r="K646" i="9"/>
  <c r="O646" i="9" s="1"/>
  <c r="L646" i="9" l="1"/>
  <c r="M646" i="9" s="1"/>
  <c r="N646" i="9" s="1"/>
  <c r="C647" i="9"/>
  <c r="D647" i="9" l="1"/>
  <c r="G647" i="9" s="1"/>
  <c r="H647" i="9" s="1"/>
  <c r="I647" i="9" s="1"/>
  <c r="B648" i="9" l="1"/>
  <c r="K647" i="9"/>
  <c r="O647" i="9" s="1"/>
  <c r="J647" i="9"/>
  <c r="L647" i="9" l="1"/>
  <c r="M647" i="9" s="1"/>
  <c r="N647" i="9" s="1"/>
  <c r="C648" i="9"/>
  <c r="D648" i="9" l="1"/>
  <c r="G648" i="9" s="1"/>
  <c r="H648" i="9" s="1"/>
  <c r="I648" i="9" s="1"/>
  <c r="B649" i="9" l="1"/>
  <c r="K648" i="9"/>
  <c r="O648" i="9" s="1"/>
  <c r="J648" i="9"/>
  <c r="L648" i="9" l="1"/>
  <c r="M648" i="9" s="1"/>
  <c r="N648" i="9" s="1"/>
  <c r="C649" i="9"/>
  <c r="D649" i="9" l="1"/>
  <c r="G649" i="9" s="1"/>
  <c r="H649" i="9" s="1"/>
  <c r="J649" i="9" s="1"/>
  <c r="I649" i="9" l="1"/>
  <c r="B650" i="9" l="1"/>
  <c r="K649" i="9"/>
  <c r="O649" i="9" s="1"/>
  <c r="L649" i="9" l="1"/>
  <c r="M649" i="9" s="1"/>
  <c r="N649" i="9" s="1"/>
  <c r="C650" i="9"/>
  <c r="D650" i="9" l="1"/>
  <c r="G650" i="9" s="1"/>
  <c r="H650" i="9" s="1"/>
  <c r="I650" i="9" s="1"/>
  <c r="J650" i="9" l="1"/>
  <c r="B651" i="9"/>
  <c r="K650" i="9"/>
  <c r="O650" i="9" s="1"/>
  <c r="L650" i="9" l="1"/>
  <c r="M650" i="9" s="1"/>
  <c r="N650" i="9" s="1"/>
  <c r="C651" i="9"/>
  <c r="D651" i="9" l="1"/>
  <c r="G651" i="9" s="1"/>
  <c r="H651" i="9" s="1"/>
  <c r="J651" i="9" s="1"/>
  <c r="I651" i="9" l="1"/>
  <c r="B652" i="9" s="1"/>
  <c r="K651" i="9" l="1"/>
  <c r="O651" i="9" s="1"/>
  <c r="C652" i="9"/>
  <c r="L651" i="9" l="1"/>
  <c r="M651" i="9" s="1"/>
  <c r="N651" i="9" s="1"/>
  <c r="D652" i="9"/>
  <c r="G652" i="9" s="1"/>
  <c r="H652" i="9" s="1"/>
  <c r="J652" i="9" s="1"/>
  <c r="I652" i="9" l="1"/>
  <c r="B653" i="9" l="1"/>
  <c r="K652" i="9"/>
  <c r="O652" i="9" s="1"/>
  <c r="L652" i="9" l="1"/>
  <c r="M652" i="9" s="1"/>
  <c r="N652" i="9" s="1"/>
  <c r="C653" i="9"/>
  <c r="D653" i="9" l="1"/>
  <c r="G653" i="9" s="1"/>
  <c r="H653" i="9" s="1"/>
  <c r="J653" i="9" s="1"/>
  <c r="I653" i="9" l="1"/>
  <c r="B654" i="9" l="1"/>
  <c r="K653" i="9"/>
  <c r="O653" i="9" s="1"/>
  <c r="L653" i="9" l="1"/>
  <c r="M653" i="9" s="1"/>
  <c r="N653" i="9" s="1"/>
  <c r="C654" i="9"/>
  <c r="D654" i="9" l="1"/>
  <c r="G654" i="9" s="1"/>
  <c r="H654" i="9" s="1"/>
  <c r="J654" i="9" s="1"/>
  <c r="I654" i="9" l="1"/>
  <c r="B655" i="9" l="1"/>
  <c r="K654" i="9"/>
  <c r="O654" i="9" s="1"/>
  <c r="L654" i="9" l="1"/>
  <c r="M654" i="9" s="1"/>
  <c r="N654" i="9" s="1"/>
  <c r="C655" i="9"/>
  <c r="D655" i="9" l="1"/>
  <c r="G655" i="9" s="1"/>
  <c r="H655" i="9" s="1"/>
  <c r="I655" i="9" s="1"/>
  <c r="B656" i="9" l="1"/>
  <c r="K655" i="9"/>
  <c r="O655" i="9" s="1"/>
  <c r="J655" i="9"/>
  <c r="L655" i="9" l="1"/>
  <c r="M655" i="9" s="1"/>
  <c r="N655" i="9" s="1"/>
  <c r="C656" i="9"/>
  <c r="D656" i="9" l="1"/>
  <c r="G656" i="9" s="1"/>
  <c r="H656" i="9" s="1"/>
  <c r="J656" i="9" s="1"/>
  <c r="I656" i="9" l="1"/>
  <c r="B657" i="9" l="1"/>
  <c r="K656" i="9"/>
  <c r="O656" i="9" s="1"/>
  <c r="L656" i="9" l="1"/>
  <c r="M656" i="9" s="1"/>
  <c r="N656" i="9" s="1"/>
  <c r="C657" i="9"/>
  <c r="D657" i="9" l="1"/>
  <c r="G657" i="9" s="1"/>
  <c r="H657" i="9" s="1"/>
  <c r="J657" i="9" s="1"/>
  <c r="I657" i="9" l="1"/>
  <c r="B658" i="9" l="1"/>
  <c r="K657" i="9"/>
  <c r="O657" i="9" s="1"/>
  <c r="L657" i="9" l="1"/>
  <c r="M657" i="9" s="1"/>
  <c r="N657" i="9" s="1"/>
  <c r="C658" i="9"/>
  <c r="D658" i="9" l="1"/>
  <c r="G658" i="9" s="1"/>
  <c r="H658" i="9" s="1"/>
  <c r="J658" i="9" s="1"/>
  <c r="I658" i="9" l="1"/>
  <c r="B659" i="9" l="1"/>
  <c r="K658" i="9"/>
  <c r="O658" i="9" s="1"/>
  <c r="L658" i="9" l="1"/>
  <c r="M658" i="9" s="1"/>
  <c r="N658" i="9" s="1"/>
  <c r="C659" i="9"/>
  <c r="D659" i="9" l="1"/>
  <c r="G659" i="9" s="1"/>
  <c r="H659" i="9" s="1"/>
  <c r="J659" i="9" s="1"/>
  <c r="I659" i="9" l="1"/>
  <c r="B660" i="9" l="1"/>
  <c r="K659" i="9"/>
  <c r="O659" i="9" s="1"/>
  <c r="L659" i="9" l="1"/>
  <c r="M659" i="9" s="1"/>
  <c r="N659" i="9" s="1"/>
  <c r="C660" i="9"/>
  <c r="D660" i="9" l="1"/>
  <c r="G660" i="9" s="1"/>
  <c r="H660" i="9" s="1"/>
  <c r="J660" i="9" s="1"/>
  <c r="I660" i="9" l="1"/>
  <c r="B661" i="9" l="1"/>
  <c r="K660" i="9"/>
  <c r="O660" i="9" s="1"/>
  <c r="L660" i="9" l="1"/>
  <c r="M660" i="9" s="1"/>
  <c r="N660" i="9" s="1"/>
  <c r="C661" i="9"/>
  <c r="D661" i="9" l="1"/>
  <c r="G661" i="9" s="1"/>
  <c r="H661" i="9" s="1"/>
  <c r="I661" i="9" s="1"/>
  <c r="B662" i="9" l="1"/>
  <c r="K661" i="9"/>
  <c r="O661" i="9" s="1"/>
  <c r="J661" i="9"/>
  <c r="L661" i="9" l="1"/>
  <c r="M661" i="9" s="1"/>
  <c r="N661" i="9" s="1"/>
  <c r="C662" i="9"/>
  <c r="D662" i="9" l="1"/>
  <c r="G662" i="9" s="1"/>
  <c r="H662" i="9" s="1"/>
  <c r="J662" i="9" s="1"/>
  <c r="I662" i="9" l="1"/>
  <c r="B663" i="9" l="1"/>
  <c r="K662" i="9"/>
  <c r="O662" i="9" s="1"/>
  <c r="L662" i="9" l="1"/>
  <c r="M662" i="9" s="1"/>
  <c r="N662" i="9" s="1"/>
  <c r="C663" i="9"/>
  <c r="D663" i="9" l="1"/>
  <c r="G663" i="9" s="1"/>
  <c r="H663" i="9" s="1"/>
  <c r="I663" i="9" s="1"/>
  <c r="B664" i="9" l="1"/>
  <c r="K663" i="9"/>
  <c r="O663" i="9" s="1"/>
  <c r="J663" i="9"/>
  <c r="L663" i="9" l="1"/>
  <c r="M663" i="9" s="1"/>
  <c r="N663" i="9" s="1"/>
  <c r="C664" i="9"/>
  <c r="D664" i="9" l="1"/>
  <c r="G664" i="9" s="1"/>
  <c r="H664" i="9" s="1"/>
  <c r="J664" i="9" s="1"/>
  <c r="I664" i="9" l="1"/>
  <c r="B665" i="9" l="1"/>
  <c r="K664" i="9"/>
  <c r="O664" i="9" s="1"/>
  <c r="L664" i="9" l="1"/>
  <c r="M664" i="9" s="1"/>
  <c r="N664" i="9" s="1"/>
  <c r="C665" i="9"/>
  <c r="D665" i="9" l="1"/>
  <c r="G665" i="9" s="1"/>
  <c r="H665" i="9" s="1"/>
  <c r="J665" i="9" s="1"/>
  <c r="I665" i="9" l="1"/>
  <c r="B666" i="9" l="1"/>
  <c r="K665" i="9"/>
  <c r="O665" i="9" s="1"/>
  <c r="L665" i="9" l="1"/>
  <c r="M665" i="9" s="1"/>
  <c r="N665" i="9" s="1"/>
  <c r="C666" i="9"/>
  <c r="D666" i="9" l="1"/>
  <c r="G666" i="9" s="1"/>
  <c r="H666" i="9" s="1"/>
  <c r="J666" i="9" s="1"/>
  <c r="I666" i="9" l="1"/>
  <c r="B667" i="9" l="1"/>
  <c r="K666" i="9"/>
  <c r="O666" i="9" s="1"/>
  <c r="L666" i="9" l="1"/>
  <c r="M666" i="9" s="1"/>
  <c r="N666" i="9" s="1"/>
  <c r="C667" i="9"/>
  <c r="D667" i="9" l="1"/>
  <c r="G667" i="9" s="1"/>
  <c r="H667" i="9" s="1"/>
  <c r="J667" i="9" s="1"/>
  <c r="I667" i="9" l="1"/>
  <c r="B668" i="9" l="1"/>
  <c r="K667" i="9"/>
  <c r="O667" i="9" s="1"/>
  <c r="L667" i="9" l="1"/>
  <c r="M667" i="9" s="1"/>
  <c r="N667" i="9" s="1"/>
  <c r="C668" i="9"/>
  <c r="D668" i="9" l="1"/>
  <c r="G668" i="9" s="1"/>
  <c r="H668" i="9" s="1"/>
  <c r="I668" i="9" s="1"/>
  <c r="B669" i="9" l="1"/>
  <c r="K668" i="9"/>
  <c r="O668" i="9" s="1"/>
  <c r="J668" i="9"/>
  <c r="L668" i="9" l="1"/>
  <c r="M668" i="9" s="1"/>
  <c r="N668" i="9" s="1"/>
  <c r="C669" i="9"/>
  <c r="D669" i="9" l="1"/>
  <c r="G669" i="9" s="1"/>
  <c r="H669" i="9" s="1"/>
  <c r="J669" i="9" s="1"/>
  <c r="I669" i="9" l="1"/>
  <c r="B670" i="9" l="1"/>
  <c r="K669" i="9"/>
  <c r="O669" i="9" s="1"/>
  <c r="L669" i="9" l="1"/>
  <c r="M669" i="9" s="1"/>
  <c r="N669" i="9" s="1"/>
  <c r="C670" i="9"/>
  <c r="D670" i="9" l="1"/>
  <c r="G670" i="9" s="1"/>
  <c r="H670" i="9" s="1"/>
  <c r="J670" i="9" s="1"/>
  <c r="I670" i="9" l="1"/>
  <c r="B671" i="9" l="1"/>
  <c r="K670" i="9"/>
  <c r="O670" i="9" s="1"/>
  <c r="L670" i="9" l="1"/>
  <c r="M670" i="9" s="1"/>
  <c r="N670" i="9" s="1"/>
  <c r="C671" i="9"/>
  <c r="D671" i="9" l="1"/>
  <c r="G671" i="9" s="1"/>
  <c r="H671" i="9" s="1"/>
  <c r="I671" i="9" s="1"/>
  <c r="B672" i="9" l="1"/>
  <c r="K671" i="9"/>
  <c r="O671" i="9" s="1"/>
  <c r="J671" i="9"/>
  <c r="L671" i="9" l="1"/>
  <c r="M671" i="9" s="1"/>
  <c r="N671" i="9" s="1"/>
  <c r="C672" i="9"/>
  <c r="D672" i="9" l="1"/>
  <c r="G672" i="9" s="1"/>
  <c r="H672" i="9" s="1"/>
  <c r="J672" i="9" s="1"/>
  <c r="I672" i="9" l="1"/>
  <c r="B673" i="9" l="1"/>
  <c r="K672" i="9"/>
  <c r="O672" i="9" s="1"/>
  <c r="L672" i="9" l="1"/>
  <c r="M672" i="9" s="1"/>
  <c r="N672" i="9" s="1"/>
  <c r="C673" i="9"/>
  <c r="D673" i="9" l="1"/>
  <c r="G673" i="9" s="1"/>
  <c r="H673" i="9" s="1"/>
  <c r="J673" i="9" s="1"/>
  <c r="I673" i="9" l="1"/>
  <c r="B674" i="9" l="1"/>
  <c r="K673" i="9"/>
  <c r="O673" i="9" s="1"/>
  <c r="L673" i="9" l="1"/>
  <c r="M673" i="9" s="1"/>
  <c r="N673" i="9" s="1"/>
  <c r="C674" i="9"/>
  <c r="D674" i="9" l="1"/>
  <c r="G674" i="9" s="1"/>
  <c r="H674" i="9" s="1"/>
  <c r="J674" i="9" s="1"/>
  <c r="I674" i="9" l="1"/>
  <c r="B675" i="9" l="1"/>
  <c r="K674" i="9"/>
  <c r="O674" i="9" s="1"/>
  <c r="L674" i="9" l="1"/>
  <c r="M674" i="9" s="1"/>
  <c r="N674" i="9" s="1"/>
  <c r="C675" i="9"/>
  <c r="D675" i="9" l="1"/>
  <c r="G675" i="9" s="1"/>
  <c r="H675" i="9" s="1"/>
  <c r="J675" i="9" s="1"/>
  <c r="I675" i="9" l="1"/>
  <c r="B676" i="9" l="1"/>
  <c r="K675" i="9"/>
  <c r="O675" i="9" s="1"/>
  <c r="L675" i="9" l="1"/>
  <c r="M675" i="9" s="1"/>
  <c r="N675" i="9" s="1"/>
  <c r="C676" i="9"/>
  <c r="D676" i="9" l="1"/>
  <c r="G676" i="9" s="1"/>
  <c r="H676" i="9" s="1"/>
  <c r="J676" i="9" s="1"/>
  <c r="I676" i="9" l="1"/>
  <c r="B677" i="9" l="1"/>
  <c r="K676" i="9"/>
  <c r="O676" i="9" s="1"/>
  <c r="L676" i="9" l="1"/>
  <c r="M676" i="9" s="1"/>
  <c r="N676" i="9" s="1"/>
  <c r="C677" i="9"/>
  <c r="D677" i="9" l="1"/>
  <c r="G677" i="9" s="1"/>
  <c r="H677" i="9" s="1"/>
  <c r="J677" i="9" s="1"/>
  <c r="I677" i="9" l="1"/>
  <c r="B678" i="9" l="1"/>
  <c r="K677" i="9"/>
  <c r="O677" i="9" s="1"/>
  <c r="L677" i="9" l="1"/>
  <c r="M677" i="9" s="1"/>
  <c r="N677" i="9" s="1"/>
  <c r="C678" i="9"/>
  <c r="D678" i="9" l="1"/>
  <c r="G678" i="9" s="1"/>
  <c r="H678" i="9" s="1"/>
  <c r="J678" i="9" s="1"/>
  <c r="I678" i="9" l="1"/>
  <c r="B679" i="9" l="1"/>
  <c r="K678" i="9"/>
  <c r="O678" i="9" s="1"/>
  <c r="L678" i="9" l="1"/>
  <c r="M678" i="9" s="1"/>
  <c r="N678" i="9" s="1"/>
  <c r="C679" i="9"/>
  <c r="D679" i="9" l="1"/>
  <c r="G679" i="9" s="1"/>
  <c r="H679" i="9" s="1"/>
  <c r="I679" i="9" s="1"/>
  <c r="B680" i="9" l="1"/>
  <c r="K679" i="9"/>
  <c r="O679" i="9" s="1"/>
  <c r="J679" i="9"/>
  <c r="L679" i="9" l="1"/>
  <c r="M679" i="9" s="1"/>
  <c r="N679" i="9" s="1"/>
  <c r="C680" i="9"/>
  <c r="D680" i="9" l="1"/>
  <c r="G680" i="9" s="1"/>
  <c r="H680" i="9" s="1"/>
  <c r="J680" i="9" s="1"/>
  <c r="I680" i="9" l="1"/>
  <c r="B681" i="9" l="1"/>
  <c r="K680" i="9"/>
  <c r="O680" i="9" s="1"/>
  <c r="L680" i="9" l="1"/>
  <c r="M680" i="9" s="1"/>
  <c r="N680" i="9" s="1"/>
  <c r="C681" i="9"/>
  <c r="D681" i="9" l="1"/>
  <c r="G681" i="9" s="1"/>
  <c r="H681" i="9" s="1"/>
  <c r="J681" i="9" s="1"/>
  <c r="I681" i="9" l="1"/>
  <c r="B682" i="9" l="1"/>
  <c r="K681" i="9"/>
  <c r="O681" i="9" s="1"/>
  <c r="L681" i="9" l="1"/>
  <c r="M681" i="9" s="1"/>
  <c r="N681" i="9" s="1"/>
  <c r="C682" i="9"/>
  <c r="D682" i="9" l="1"/>
  <c r="G682" i="9" s="1"/>
  <c r="H682" i="9" s="1"/>
  <c r="J682" i="9" s="1"/>
  <c r="I682" i="9" l="1"/>
  <c r="B683" i="9" l="1"/>
  <c r="K682" i="9"/>
  <c r="O682" i="9" s="1"/>
  <c r="L682" i="9" l="1"/>
  <c r="M682" i="9" s="1"/>
  <c r="N682" i="9" s="1"/>
  <c r="C683" i="9"/>
  <c r="D683" i="9" l="1"/>
  <c r="G683" i="9" s="1"/>
  <c r="H683" i="9" s="1"/>
  <c r="J683" i="9" s="1"/>
  <c r="I683" i="9" l="1"/>
  <c r="B684" i="9" l="1"/>
  <c r="K683" i="9"/>
  <c r="O683" i="9" s="1"/>
  <c r="L683" i="9" l="1"/>
  <c r="M683" i="9" s="1"/>
  <c r="N683" i="9" s="1"/>
  <c r="C684" i="9"/>
  <c r="D684" i="9" l="1"/>
  <c r="G684" i="9" s="1"/>
  <c r="H684" i="9" s="1"/>
  <c r="J684" i="9" s="1"/>
  <c r="I684" i="9" l="1"/>
  <c r="B685" i="9" l="1"/>
  <c r="K684" i="9"/>
  <c r="O684" i="9" s="1"/>
  <c r="L684" i="9" l="1"/>
  <c r="M684" i="9" s="1"/>
  <c r="N684" i="9" s="1"/>
  <c r="C685" i="9"/>
  <c r="D685" i="9" l="1"/>
  <c r="G685" i="9" s="1"/>
  <c r="H685" i="9" s="1"/>
  <c r="J685" i="9" s="1"/>
  <c r="I685" i="9" l="1"/>
  <c r="B686" i="9" s="1"/>
  <c r="K685" i="9" l="1"/>
  <c r="O685" i="9" s="1"/>
  <c r="C686" i="9"/>
  <c r="L685" i="9" l="1"/>
  <c r="M685" i="9" s="1"/>
  <c r="N685" i="9" s="1"/>
  <c r="D686" i="9"/>
  <c r="G686" i="9" s="1"/>
  <c r="H686" i="9" s="1"/>
  <c r="J686" i="9" s="1"/>
  <c r="I686" i="9" l="1"/>
  <c r="B687" i="9" l="1"/>
  <c r="K686" i="9"/>
  <c r="O686" i="9" s="1"/>
  <c r="L686" i="9" l="1"/>
  <c r="M686" i="9" s="1"/>
  <c r="N686" i="9" s="1"/>
  <c r="C687" i="9"/>
  <c r="D687" i="9" l="1"/>
  <c r="G687" i="9" s="1"/>
  <c r="H687" i="9" s="1"/>
  <c r="I687" i="9" s="1"/>
  <c r="B688" i="9" l="1"/>
  <c r="K687" i="9"/>
  <c r="O687" i="9" s="1"/>
  <c r="J687" i="9"/>
  <c r="L687" i="9" l="1"/>
  <c r="M687" i="9" s="1"/>
  <c r="N687" i="9" s="1"/>
  <c r="C688" i="9"/>
  <c r="D688" i="9" l="1"/>
  <c r="G688" i="9" s="1"/>
  <c r="H688" i="9" s="1"/>
  <c r="J688" i="9" s="1"/>
  <c r="I688" i="9" l="1"/>
  <c r="B689" i="9" l="1"/>
  <c r="K688" i="9"/>
  <c r="O688" i="9" s="1"/>
  <c r="L688" i="9" l="1"/>
  <c r="M688" i="9" s="1"/>
  <c r="N688" i="9" s="1"/>
  <c r="C689" i="9"/>
  <c r="D689" i="9" l="1"/>
  <c r="G689" i="9" s="1"/>
  <c r="H689" i="9" s="1"/>
  <c r="J689" i="9" s="1"/>
  <c r="I689" i="9" l="1"/>
  <c r="B690" i="9" l="1"/>
  <c r="K689" i="9"/>
  <c r="O689" i="9" s="1"/>
  <c r="L689" i="9" l="1"/>
  <c r="M689" i="9" s="1"/>
  <c r="N689" i="9" s="1"/>
  <c r="C690" i="9"/>
  <c r="D690" i="9" l="1"/>
  <c r="G690" i="9" s="1"/>
  <c r="H690" i="9" s="1"/>
  <c r="I690" i="9" s="1"/>
  <c r="B691" i="9" l="1"/>
  <c r="K690" i="9"/>
  <c r="O690" i="9" s="1"/>
  <c r="J690" i="9"/>
  <c r="L690" i="9" l="1"/>
  <c r="M690" i="9" s="1"/>
  <c r="N690" i="9" s="1"/>
  <c r="C691" i="9"/>
  <c r="D691" i="9" l="1"/>
  <c r="G691" i="9" s="1"/>
  <c r="H691" i="9" s="1"/>
  <c r="J691" i="9" s="1"/>
  <c r="I691" i="9" l="1"/>
  <c r="B692" i="9" l="1"/>
  <c r="K691" i="9"/>
  <c r="O691" i="9" s="1"/>
  <c r="L691" i="9" l="1"/>
  <c r="M691" i="9" s="1"/>
  <c r="N691" i="9" s="1"/>
  <c r="C692" i="9"/>
  <c r="D692" i="9" l="1"/>
  <c r="G692" i="9" s="1"/>
  <c r="H692" i="9" s="1"/>
  <c r="J692" i="9" s="1"/>
  <c r="I692" i="9" l="1"/>
  <c r="B693" i="9" l="1"/>
  <c r="K692" i="9"/>
  <c r="O692" i="9" s="1"/>
  <c r="L692" i="9" l="1"/>
  <c r="M692" i="9" s="1"/>
  <c r="N692" i="9" s="1"/>
  <c r="C693" i="9"/>
  <c r="D693" i="9" l="1"/>
  <c r="G693" i="9" s="1"/>
  <c r="H693" i="9" s="1"/>
  <c r="J693" i="9" s="1"/>
  <c r="I693" i="9" l="1"/>
  <c r="B694" i="9" l="1"/>
  <c r="K693" i="9"/>
  <c r="O693" i="9" s="1"/>
  <c r="L693" i="9" l="1"/>
  <c r="M693" i="9" s="1"/>
  <c r="N693" i="9" s="1"/>
  <c r="C694" i="9"/>
  <c r="D694" i="9" l="1"/>
  <c r="G694" i="9" s="1"/>
  <c r="H694" i="9" s="1"/>
  <c r="I694" i="9" s="1"/>
  <c r="B695" i="9" l="1"/>
  <c r="K694" i="9"/>
  <c r="O694" i="9" s="1"/>
  <c r="J694" i="9"/>
  <c r="L694" i="9" l="1"/>
  <c r="M694" i="9" s="1"/>
  <c r="N694" i="9" s="1"/>
  <c r="C695" i="9"/>
  <c r="D695" i="9" l="1"/>
  <c r="G695" i="9" s="1"/>
  <c r="H695" i="9" s="1"/>
  <c r="I695" i="9" s="1"/>
  <c r="B696" i="9" l="1"/>
  <c r="K695" i="9"/>
  <c r="O695" i="9" s="1"/>
  <c r="J695" i="9"/>
  <c r="L695" i="9" l="1"/>
  <c r="M695" i="9" s="1"/>
  <c r="N695" i="9" s="1"/>
  <c r="C696" i="9"/>
  <c r="D696" i="9" l="1"/>
  <c r="G696" i="9" s="1"/>
  <c r="H696" i="9" s="1"/>
  <c r="J696" i="9" s="1"/>
  <c r="I696" i="9" l="1"/>
  <c r="B697" i="9" l="1"/>
  <c r="K696" i="9"/>
  <c r="O696" i="9" s="1"/>
  <c r="L696" i="9" l="1"/>
  <c r="M696" i="9" s="1"/>
  <c r="N696" i="9" s="1"/>
  <c r="C697" i="9"/>
  <c r="D697" i="9" l="1"/>
  <c r="G697" i="9" s="1"/>
  <c r="H697" i="9" s="1"/>
  <c r="I697" i="9" s="1"/>
  <c r="J697" i="9" l="1"/>
  <c r="B698" i="9"/>
  <c r="K697" i="9"/>
  <c r="O697" i="9" s="1"/>
  <c r="L697" i="9" l="1"/>
  <c r="M697" i="9" s="1"/>
  <c r="N697" i="9" s="1"/>
  <c r="C698" i="9"/>
  <c r="D698" i="9" l="1"/>
  <c r="G698" i="9" s="1"/>
  <c r="H698" i="9" s="1"/>
  <c r="J698" i="9" s="1"/>
  <c r="I698" i="9" l="1"/>
  <c r="B699" i="9" s="1"/>
  <c r="K698" i="9" l="1"/>
  <c r="O698" i="9" s="1"/>
  <c r="C699" i="9"/>
  <c r="L698" i="9" l="1"/>
  <c r="M698" i="9" s="1"/>
  <c r="N698" i="9" s="1"/>
  <c r="D699" i="9"/>
  <c r="G699" i="9" s="1"/>
  <c r="H699" i="9" s="1"/>
  <c r="J699" i="9" s="1"/>
  <c r="I699" i="9" l="1"/>
  <c r="B700" i="9" l="1"/>
  <c r="K699" i="9"/>
  <c r="O699" i="9" s="1"/>
  <c r="L699" i="9" l="1"/>
  <c r="M699" i="9" s="1"/>
  <c r="N699" i="9" s="1"/>
  <c r="C700" i="9"/>
  <c r="D700" i="9" l="1"/>
  <c r="G700" i="9" s="1"/>
  <c r="H700" i="9" s="1"/>
  <c r="J700" i="9" s="1"/>
  <c r="I700" i="9" l="1"/>
  <c r="B701" i="9" s="1"/>
  <c r="K700" i="9" l="1"/>
  <c r="O700" i="9" s="1"/>
  <c r="C701" i="9"/>
  <c r="L700" i="9" l="1"/>
  <c r="M700" i="9" s="1"/>
  <c r="N700" i="9" s="1"/>
  <c r="D701" i="9"/>
  <c r="G701" i="9" s="1"/>
  <c r="H701" i="9" s="1"/>
  <c r="I701" i="9" s="1"/>
  <c r="B702" i="9" l="1"/>
  <c r="K701" i="9"/>
  <c r="O701" i="9" s="1"/>
  <c r="J701" i="9"/>
  <c r="L701" i="9" l="1"/>
  <c r="M701" i="9" s="1"/>
  <c r="N701" i="9" s="1"/>
  <c r="C702" i="9"/>
  <c r="D702" i="9" l="1"/>
  <c r="G702" i="9" s="1"/>
  <c r="H702" i="9" s="1"/>
  <c r="J702" i="9" s="1"/>
  <c r="I702" i="9" l="1"/>
  <c r="B703" i="9" l="1"/>
  <c r="K702" i="9"/>
  <c r="O702" i="9" s="1"/>
  <c r="L702" i="9" l="1"/>
  <c r="M702" i="9" s="1"/>
  <c r="N702" i="9" s="1"/>
  <c r="C703" i="9"/>
  <c r="D703" i="9" l="1"/>
  <c r="G703" i="9" s="1"/>
  <c r="H703" i="9" s="1"/>
  <c r="I703" i="9" s="1"/>
  <c r="B704" i="9" l="1"/>
  <c r="K703" i="9"/>
  <c r="O703" i="9" s="1"/>
  <c r="J703" i="9"/>
  <c r="L703" i="9" l="1"/>
  <c r="M703" i="9" s="1"/>
  <c r="N703" i="9" s="1"/>
  <c r="C704" i="9"/>
  <c r="D704" i="9" l="1"/>
  <c r="G704" i="9" s="1"/>
  <c r="H704" i="9" s="1"/>
  <c r="J704" i="9" s="1"/>
  <c r="I704" i="9" l="1"/>
  <c r="B705" i="9" l="1"/>
  <c r="K704" i="9"/>
  <c r="O704" i="9" s="1"/>
  <c r="L704" i="9" l="1"/>
  <c r="M704" i="9" s="1"/>
  <c r="N704" i="9" s="1"/>
  <c r="C705" i="9"/>
  <c r="D705" i="9" l="1"/>
  <c r="G705" i="9" s="1"/>
  <c r="H705" i="9" s="1"/>
  <c r="J705" i="9" s="1"/>
  <c r="I705" i="9" l="1"/>
  <c r="B706" i="9" l="1"/>
  <c r="K705" i="9"/>
  <c r="O705" i="9" s="1"/>
  <c r="L705" i="9" l="1"/>
  <c r="M705" i="9" s="1"/>
  <c r="N705" i="9" s="1"/>
  <c r="C706" i="9"/>
  <c r="D706" i="9" l="1"/>
  <c r="G706" i="9" s="1"/>
  <c r="H706" i="9" s="1"/>
  <c r="I706" i="9" s="1"/>
  <c r="B707" i="9" l="1"/>
  <c r="K706" i="9"/>
  <c r="O706" i="9" s="1"/>
  <c r="J706" i="9"/>
  <c r="L706" i="9" l="1"/>
  <c r="M706" i="9" s="1"/>
  <c r="N706" i="9" s="1"/>
  <c r="C707" i="9"/>
  <c r="D707" i="9" l="1"/>
  <c r="G707" i="9" s="1"/>
  <c r="H707" i="9" s="1"/>
  <c r="J707" i="9" s="1"/>
  <c r="I707" i="9" l="1"/>
  <c r="B708" i="9" l="1"/>
  <c r="K707" i="9"/>
  <c r="O707" i="9" s="1"/>
  <c r="L707" i="9" l="1"/>
  <c r="M707" i="9" s="1"/>
  <c r="N707" i="9" s="1"/>
  <c r="C708" i="9"/>
  <c r="D708" i="9" l="1"/>
  <c r="G708" i="9" s="1"/>
  <c r="H708" i="9" s="1"/>
  <c r="I708" i="9" s="1"/>
  <c r="B709" i="9" l="1"/>
  <c r="K708" i="9"/>
  <c r="O708" i="9" s="1"/>
  <c r="J708" i="9"/>
  <c r="L708" i="9" l="1"/>
  <c r="M708" i="9" s="1"/>
  <c r="N708" i="9" s="1"/>
  <c r="C709" i="9"/>
  <c r="D709" i="9" l="1"/>
  <c r="G709" i="9" s="1"/>
  <c r="H709" i="9" s="1"/>
  <c r="I709" i="9" s="1"/>
  <c r="B710" i="9" l="1"/>
  <c r="K709" i="9"/>
  <c r="O709" i="9" s="1"/>
  <c r="J709" i="9"/>
  <c r="L709" i="9" l="1"/>
  <c r="M709" i="9" s="1"/>
  <c r="N709" i="9" s="1"/>
  <c r="C710" i="9"/>
  <c r="D710" i="9" l="1"/>
  <c r="G710" i="9" s="1"/>
  <c r="H710" i="9" s="1"/>
  <c r="J710" i="9" s="1"/>
  <c r="I710" i="9" l="1"/>
  <c r="B711" i="9" l="1"/>
  <c r="K710" i="9"/>
  <c r="O710" i="9" s="1"/>
  <c r="L710" i="9" l="1"/>
  <c r="M710" i="9" s="1"/>
  <c r="N710" i="9" s="1"/>
  <c r="C711" i="9"/>
  <c r="D711" i="9" l="1"/>
  <c r="G711" i="9" s="1"/>
  <c r="H711" i="9" s="1"/>
  <c r="J711" i="9" s="1"/>
  <c r="I711" i="9" l="1"/>
  <c r="B712" i="9" l="1"/>
  <c r="K711" i="9"/>
  <c r="O711" i="9" s="1"/>
  <c r="L711" i="9" l="1"/>
  <c r="M711" i="9" s="1"/>
  <c r="N711" i="9" s="1"/>
  <c r="C712" i="9"/>
  <c r="D712" i="9" l="1"/>
  <c r="G712" i="9" s="1"/>
  <c r="H712" i="9" s="1"/>
  <c r="I712" i="9" s="1"/>
  <c r="B713" i="9" l="1"/>
  <c r="K712" i="9"/>
  <c r="O712" i="9" s="1"/>
  <c r="J712" i="9"/>
  <c r="L712" i="9" l="1"/>
  <c r="M712" i="9" s="1"/>
  <c r="N712" i="9" s="1"/>
  <c r="C713" i="9"/>
  <c r="D713" i="9" l="1"/>
  <c r="G713" i="9" s="1"/>
  <c r="H713" i="9" s="1"/>
  <c r="J713" i="9" s="1"/>
  <c r="I713" i="9" l="1"/>
  <c r="B714" i="9" s="1"/>
  <c r="K713" i="9" l="1"/>
  <c r="O713" i="9" s="1"/>
  <c r="C714" i="9"/>
  <c r="L713" i="9" l="1"/>
  <c r="M713" i="9" s="1"/>
  <c r="N713" i="9" s="1"/>
  <c r="D714" i="9"/>
  <c r="G714" i="9" s="1"/>
  <c r="H714" i="9" s="1"/>
  <c r="I714" i="9" s="1"/>
  <c r="B715" i="9" l="1"/>
  <c r="K714" i="9"/>
  <c r="O714" i="9" s="1"/>
  <c r="J714" i="9"/>
  <c r="L714" i="9" l="1"/>
  <c r="M714" i="9" s="1"/>
  <c r="N714" i="9" s="1"/>
  <c r="C715" i="9"/>
  <c r="D715" i="9" l="1"/>
  <c r="G715" i="9" s="1"/>
  <c r="H715" i="9" s="1"/>
  <c r="I715" i="9" s="1"/>
  <c r="B716" i="9" l="1"/>
  <c r="K715" i="9"/>
  <c r="O715" i="9" s="1"/>
  <c r="J715" i="9"/>
  <c r="L715" i="9" l="1"/>
  <c r="M715" i="9" s="1"/>
  <c r="N715" i="9" s="1"/>
  <c r="C716" i="9"/>
  <c r="D716" i="9" l="1"/>
  <c r="G716" i="9" s="1"/>
  <c r="H716" i="9" s="1"/>
  <c r="J716" i="9" s="1"/>
  <c r="I716" i="9" l="1"/>
  <c r="B717" i="9" l="1"/>
  <c r="K716" i="9"/>
  <c r="O716" i="9" s="1"/>
  <c r="L716" i="9" l="1"/>
  <c r="M716" i="9" s="1"/>
  <c r="N716" i="9" s="1"/>
  <c r="C717" i="9"/>
  <c r="D717" i="9" l="1"/>
  <c r="G717" i="9" s="1"/>
  <c r="H717" i="9" s="1"/>
  <c r="I717" i="9" s="1"/>
  <c r="B718" i="9" l="1"/>
  <c r="K717" i="9"/>
  <c r="O717" i="9" s="1"/>
  <c r="J717" i="9"/>
  <c r="L717" i="9" l="1"/>
  <c r="M717" i="9" s="1"/>
  <c r="N717" i="9" s="1"/>
  <c r="C718" i="9"/>
  <c r="D718" i="9" l="1"/>
  <c r="G718" i="9" s="1"/>
  <c r="H718" i="9" s="1"/>
  <c r="J718" i="9" s="1"/>
  <c r="I718" i="9" l="1"/>
  <c r="B719" i="9" l="1"/>
  <c r="K718" i="9"/>
  <c r="O718" i="9" s="1"/>
  <c r="L718" i="9" l="1"/>
  <c r="M718" i="9" s="1"/>
  <c r="N718" i="9" s="1"/>
  <c r="C719" i="9"/>
  <c r="D719" i="9" l="1"/>
  <c r="G719" i="9" s="1"/>
  <c r="H719" i="9" s="1"/>
  <c r="J719" i="9" s="1"/>
  <c r="I719" i="9" l="1"/>
  <c r="B720" i="9" l="1"/>
  <c r="K719" i="9"/>
  <c r="O719" i="9" s="1"/>
  <c r="L719" i="9" l="1"/>
  <c r="M719" i="9" s="1"/>
  <c r="N719" i="9" s="1"/>
  <c r="C720" i="9"/>
  <c r="D720" i="9" l="1"/>
  <c r="G720" i="9" s="1"/>
  <c r="H720" i="9" s="1"/>
  <c r="I720" i="9" s="1"/>
  <c r="B721" i="9" l="1"/>
  <c r="K720" i="9"/>
  <c r="O720" i="9" s="1"/>
  <c r="J720" i="9"/>
  <c r="L720" i="9" l="1"/>
  <c r="M720" i="9" s="1"/>
  <c r="N720" i="9" s="1"/>
  <c r="C721" i="9"/>
  <c r="D721" i="9" l="1"/>
  <c r="G721" i="9" s="1"/>
  <c r="H721" i="9" s="1"/>
  <c r="J721" i="9" s="1"/>
  <c r="I721" i="9" l="1"/>
  <c r="B722" i="9" l="1"/>
  <c r="K721" i="9"/>
  <c r="O721" i="9" s="1"/>
  <c r="L721" i="9" l="1"/>
  <c r="M721" i="9" s="1"/>
  <c r="N721" i="9" s="1"/>
  <c r="C722" i="9"/>
  <c r="D722" i="9" l="1"/>
  <c r="G722" i="9" s="1"/>
  <c r="H722" i="9" s="1"/>
  <c r="J722" i="9" s="1"/>
  <c r="I722" i="9" l="1"/>
  <c r="B723" i="9" l="1"/>
  <c r="K722" i="9"/>
  <c r="O722" i="9" s="1"/>
  <c r="L722" i="9" l="1"/>
  <c r="M722" i="9" s="1"/>
  <c r="N722" i="9" s="1"/>
  <c r="C723" i="9"/>
  <c r="D723" i="9" l="1"/>
  <c r="G723" i="9" s="1"/>
  <c r="H723" i="9" s="1"/>
  <c r="I723" i="9" s="1"/>
  <c r="B724" i="9" l="1"/>
  <c r="K723" i="9"/>
  <c r="O723" i="9" s="1"/>
  <c r="J723" i="9"/>
  <c r="L723" i="9" l="1"/>
  <c r="M723" i="9" s="1"/>
  <c r="N723" i="9" s="1"/>
  <c r="C724" i="9"/>
  <c r="D724" i="9" l="1"/>
  <c r="G724" i="9" s="1"/>
  <c r="H724" i="9" s="1"/>
  <c r="J724" i="9" s="1"/>
  <c r="I724" i="9" l="1"/>
  <c r="B725" i="9" l="1"/>
  <c r="K724" i="9"/>
  <c r="O724" i="9" s="1"/>
  <c r="L724" i="9" l="1"/>
  <c r="M724" i="9" s="1"/>
  <c r="N724" i="9" s="1"/>
  <c r="C725" i="9"/>
  <c r="D725" i="9" l="1"/>
  <c r="G725" i="9" s="1"/>
  <c r="H725" i="9" s="1"/>
  <c r="J725" i="9" s="1"/>
  <c r="I725" i="9" l="1"/>
  <c r="B726" i="9" l="1"/>
  <c r="K725" i="9"/>
  <c r="O725" i="9" s="1"/>
  <c r="L725" i="9" l="1"/>
  <c r="M725" i="9" s="1"/>
  <c r="N725" i="9" s="1"/>
  <c r="C726" i="9"/>
  <c r="D726" i="9" l="1"/>
  <c r="G726" i="9" s="1"/>
  <c r="H726" i="9" s="1"/>
  <c r="J726" i="9" s="1"/>
  <c r="I726" i="9" l="1"/>
  <c r="B727" i="9" l="1"/>
  <c r="K726" i="9"/>
  <c r="O726" i="9" s="1"/>
  <c r="L726" i="9" l="1"/>
  <c r="M726" i="9" s="1"/>
  <c r="N726" i="9" s="1"/>
  <c r="C727" i="9"/>
  <c r="D727" i="9" l="1"/>
  <c r="G727" i="9" s="1"/>
  <c r="H727" i="9" s="1"/>
  <c r="J727" i="9" s="1"/>
  <c r="I727" i="9" l="1"/>
  <c r="B728" i="9" l="1"/>
  <c r="K727" i="9"/>
  <c r="O727" i="9" s="1"/>
  <c r="L727" i="9" l="1"/>
  <c r="M727" i="9" s="1"/>
  <c r="N727" i="9" s="1"/>
  <c r="C728" i="9"/>
  <c r="D728" i="9" l="1"/>
  <c r="G728" i="9" s="1"/>
  <c r="H728" i="9" s="1"/>
  <c r="I728" i="9" s="1"/>
  <c r="B729" i="9" l="1"/>
  <c r="K728" i="9"/>
  <c r="O728" i="9" s="1"/>
  <c r="J728" i="9"/>
  <c r="L728" i="9" l="1"/>
  <c r="M728" i="9" s="1"/>
  <c r="N728" i="9" s="1"/>
  <c r="C729" i="9"/>
  <c r="D729" i="9" l="1"/>
  <c r="G729" i="9" s="1"/>
  <c r="H729" i="9" s="1"/>
  <c r="J729" i="9" s="1"/>
  <c r="I729" i="9" l="1"/>
  <c r="B730" i="9" l="1"/>
  <c r="K729" i="9"/>
  <c r="O729" i="9" s="1"/>
  <c r="L729" i="9" l="1"/>
  <c r="M729" i="9" s="1"/>
  <c r="N729" i="9" s="1"/>
  <c r="C730" i="9"/>
  <c r="D730" i="9" l="1"/>
  <c r="G730" i="9" s="1"/>
  <c r="H730" i="9" s="1"/>
  <c r="J730" i="9" s="1"/>
  <c r="I730" i="9" l="1"/>
  <c r="B731" i="9" l="1"/>
  <c r="K730" i="9"/>
  <c r="O730" i="9" s="1"/>
  <c r="L730" i="9" l="1"/>
  <c r="M730" i="9" s="1"/>
  <c r="N730" i="9" s="1"/>
  <c r="C731" i="9"/>
  <c r="D731" i="9" l="1"/>
  <c r="G731" i="9" s="1"/>
  <c r="H731" i="9" s="1"/>
  <c r="I731" i="9" s="1"/>
  <c r="B732" i="9" l="1"/>
  <c r="K731" i="9"/>
  <c r="O731" i="9" s="1"/>
  <c r="J731" i="9"/>
  <c r="L731" i="9" l="1"/>
  <c r="M731" i="9" s="1"/>
  <c r="N731" i="9" s="1"/>
  <c r="C732" i="9"/>
  <c r="D732" i="9" l="1"/>
  <c r="G732" i="9" s="1"/>
  <c r="H732" i="9" s="1"/>
  <c r="J732" i="9" s="1"/>
  <c r="I732" i="9" l="1"/>
  <c r="B733" i="9" l="1"/>
  <c r="K732" i="9"/>
  <c r="O732" i="9" s="1"/>
  <c r="L732" i="9" l="1"/>
  <c r="M732" i="9" s="1"/>
  <c r="N732" i="9" s="1"/>
  <c r="C733" i="9"/>
  <c r="D733" i="9" l="1"/>
  <c r="G733" i="9" s="1"/>
  <c r="H733" i="9" s="1"/>
  <c r="J733" i="9" s="1"/>
  <c r="I733" i="9" l="1"/>
  <c r="B734" i="9" l="1"/>
  <c r="K733" i="9"/>
  <c r="O733" i="9" s="1"/>
  <c r="L733" i="9" l="1"/>
  <c r="M733" i="9" s="1"/>
  <c r="N733" i="9" s="1"/>
  <c r="C734" i="9"/>
  <c r="D734" i="9" l="1"/>
  <c r="G734" i="9" s="1"/>
  <c r="H734" i="9" s="1"/>
  <c r="J734" i="9" s="1"/>
  <c r="I734" i="9" l="1"/>
  <c r="B735" i="9" l="1"/>
  <c r="K734" i="9"/>
  <c r="O734" i="9" s="1"/>
  <c r="L734" i="9" l="1"/>
  <c r="M734" i="9" s="1"/>
  <c r="N734" i="9" s="1"/>
  <c r="C735" i="9"/>
  <c r="D735" i="9" l="1"/>
  <c r="G735" i="9" s="1"/>
  <c r="H735" i="9" s="1"/>
  <c r="I735" i="9" s="1"/>
  <c r="B736" i="9" l="1"/>
  <c r="K735" i="9"/>
  <c r="O735" i="9" s="1"/>
  <c r="J735" i="9"/>
  <c r="L735" i="9" l="1"/>
  <c r="M735" i="9" s="1"/>
  <c r="N735" i="9" s="1"/>
  <c r="C736" i="9"/>
  <c r="D736" i="9" l="1"/>
  <c r="G736" i="9" s="1"/>
  <c r="H736" i="9" s="1"/>
  <c r="I736" i="9" s="1"/>
  <c r="B737" i="9" l="1"/>
  <c r="K736" i="9"/>
  <c r="O736" i="9" s="1"/>
  <c r="J736" i="9"/>
  <c r="L736" i="9" l="1"/>
  <c r="M736" i="9" s="1"/>
  <c r="N736" i="9" s="1"/>
  <c r="C737" i="9"/>
  <c r="D737" i="9" l="1"/>
  <c r="G737" i="9" s="1"/>
  <c r="H737" i="9" s="1"/>
  <c r="J737" i="9" s="1"/>
  <c r="I737" i="9" l="1"/>
  <c r="B738" i="9" l="1"/>
  <c r="K737" i="9"/>
  <c r="O737" i="9" s="1"/>
  <c r="L737" i="9" l="1"/>
  <c r="M737" i="9" s="1"/>
  <c r="N737" i="9" s="1"/>
  <c r="C738" i="9"/>
  <c r="D738" i="9" l="1"/>
  <c r="G738" i="9" s="1"/>
  <c r="H738" i="9" s="1"/>
  <c r="I738" i="9" s="1"/>
  <c r="B739" i="9" l="1"/>
  <c r="K738" i="9"/>
  <c r="O738" i="9" s="1"/>
  <c r="J738" i="9"/>
  <c r="L738" i="9" l="1"/>
  <c r="M738" i="9" s="1"/>
  <c r="N738" i="9" s="1"/>
  <c r="C739" i="9"/>
  <c r="D739" i="9" l="1"/>
  <c r="G739" i="9" s="1"/>
  <c r="H739" i="9" s="1"/>
  <c r="I739" i="9" s="1"/>
  <c r="B740" i="9" l="1"/>
  <c r="K739" i="9"/>
  <c r="O739" i="9" s="1"/>
  <c r="J739" i="9"/>
  <c r="L739" i="9" l="1"/>
  <c r="M739" i="9" s="1"/>
  <c r="N739" i="9" s="1"/>
  <c r="C740" i="9"/>
  <c r="D740" i="9" l="1"/>
  <c r="G740" i="9" s="1"/>
  <c r="H740" i="9" s="1"/>
  <c r="J740" i="9" s="1"/>
  <c r="I740" i="9" l="1"/>
  <c r="B741" i="9" l="1"/>
  <c r="K740" i="9"/>
  <c r="O740" i="9" s="1"/>
  <c r="L740" i="9" l="1"/>
  <c r="M740" i="9" s="1"/>
  <c r="N740" i="9" s="1"/>
  <c r="C741" i="9"/>
  <c r="D741" i="9" l="1"/>
  <c r="G741" i="9" s="1"/>
  <c r="H741" i="9" s="1"/>
  <c r="I741" i="9" s="1"/>
  <c r="B742" i="9" l="1"/>
  <c r="K741" i="9"/>
  <c r="O741" i="9" s="1"/>
  <c r="J741" i="9"/>
  <c r="L741" i="9" l="1"/>
  <c r="M741" i="9" s="1"/>
  <c r="N741" i="9" s="1"/>
  <c r="C742" i="9"/>
  <c r="D742" i="9" l="1"/>
  <c r="G742" i="9" s="1"/>
  <c r="H742" i="9" s="1"/>
  <c r="I742" i="9" s="1"/>
  <c r="B743" i="9" l="1"/>
  <c r="K742" i="9"/>
  <c r="O742" i="9" s="1"/>
  <c r="J742" i="9"/>
  <c r="L742" i="9" l="1"/>
  <c r="M742" i="9" s="1"/>
  <c r="N742" i="9" s="1"/>
  <c r="C743" i="9"/>
  <c r="D743" i="9" l="1"/>
  <c r="G743" i="9" s="1"/>
  <c r="H743" i="9" s="1"/>
  <c r="I743" i="9" s="1"/>
  <c r="B744" i="9" l="1"/>
  <c r="K743" i="9"/>
  <c r="O743" i="9" s="1"/>
  <c r="J743" i="9"/>
  <c r="L743" i="9" l="1"/>
  <c r="M743" i="9" s="1"/>
  <c r="N743" i="9" s="1"/>
  <c r="C744" i="9"/>
  <c r="D744" i="9" l="1"/>
  <c r="G744" i="9" s="1"/>
  <c r="H744" i="9" s="1"/>
  <c r="I744" i="9" s="1"/>
  <c r="B745" i="9" l="1"/>
  <c r="K744" i="9"/>
  <c r="O744" i="9" s="1"/>
  <c r="J744" i="9"/>
  <c r="L744" i="9" l="1"/>
  <c r="M744" i="9" s="1"/>
  <c r="N744" i="9" s="1"/>
  <c r="C745" i="9"/>
  <c r="D745" i="9" l="1"/>
  <c r="G745" i="9" s="1"/>
  <c r="H745" i="9" s="1"/>
  <c r="J745" i="9" s="1"/>
  <c r="I745" i="9" l="1"/>
  <c r="B746" i="9" l="1"/>
  <c r="K745" i="9"/>
  <c r="O745" i="9" s="1"/>
  <c r="L745" i="9" l="1"/>
  <c r="M745" i="9" s="1"/>
  <c r="N745" i="9" s="1"/>
  <c r="C746" i="9"/>
  <c r="D746" i="9" l="1"/>
  <c r="G746" i="9" s="1"/>
  <c r="H746" i="9" s="1"/>
  <c r="I746" i="9" s="1"/>
  <c r="B747" i="9" l="1"/>
  <c r="K746" i="9"/>
  <c r="O746" i="9" s="1"/>
  <c r="J746" i="9"/>
  <c r="L746" i="9" l="1"/>
  <c r="M746" i="9" s="1"/>
  <c r="N746" i="9" s="1"/>
  <c r="C747" i="9"/>
  <c r="D747" i="9" l="1"/>
  <c r="G747" i="9" s="1"/>
  <c r="H747" i="9" s="1"/>
  <c r="I747" i="9" s="1"/>
  <c r="B748" i="9" l="1"/>
  <c r="K747" i="9"/>
  <c r="O747" i="9" s="1"/>
  <c r="J747" i="9"/>
  <c r="L747" i="9" l="1"/>
  <c r="M747" i="9" s="1"/>
  <c r="N747" i="9" s="1"/>
  <c r="C748" i="9"/>
  <c r="D748" i="9" l="1"/>
  <c r="G748" i="9" s="1"/>
  <c r="H748" i="9" s="1"/>
  <c r="J748" i="9" s="1"/>
  <c r="I748" i="9" l="1"/>
  <c r="B749" i="9" l="1"/>
  <c r="K748" i="9"/>
  <c r="O748" i="9" s="1"/>
  <c r="L748" i="9" l="1"/>
  <c r="M748" i="9" s="1"/>
  <c r="N748" i="9" s="1"/>
  <c r="C749" i="9"/>
  <c r="D749" i="9" l="1"/>
  <c r="G749" i="9" s="1"/>
  <c r="H749" i="9" s="1"/>
  <c r="I749" i="9" s="1"/>
  <c r="B750" i="9" l="1"/>
  <c r="K749" i="9"/>
  <c r="O749" i="9" s="1"/>
  <c r="J749" i="9"/>
  <c r="L749" i="9" l="1"/>
  <c r="M749" i="9" s="1"/>
  <c r="N749" i="9" s="1"/>
  <c r="C750" i="9"/>
  <c r="D750" i="9" l="1"/>
  <c r="G750" i="9" s="1"/>
  <c r="H750" i="9" s="1"/>
  <c r="J750" i="9" s="1"/>
  <c r="I750" i="9" l="1"/>
  <c r="B751" i="9" l="1"/>
  <c r="K750" i="9"/>
  <c r="O750" i="9" s="1"/>
  <c r="L750" i="9" l="1"/>
  <c r="M750" i="9" s="1"/>
  <c r="N750" i="9" s="1"/>
  <c r="C751" i="9"/>
  <c r="D751" i="9" l="1"/>
  <c r="G751" i="9" s="1"/>
  <c r="H751" i="9" s="1"/>
  <c r="J751" i="9" s="1"/>
  <c r="I751" i="9" l="1"/>
  <c r="B752" i="9" l="1"/>
  <c r="K751" i="9"/>
  <c r="O751" i="9" s="1"/>
  <c r="L751" i="9" l="1"/>
  <c r="M751" i="9" s="1"/>
  <c r="N751" i="9" s="1"/>
  <c r="C752" i="9"/>
  <c r="D752" i="9" l="1"/>
  <c r="G752" i="9" s="1"/>
  <c r="H752" i="9" s="1"/>
  <c r="I752" i="9" s="1"/>
  <c r="B753" i="9" l="1"/>
  <c r="K752" i="9"/>
  <c r="O752" i="9" s="1"/>
  <c r="J752" i="9"/>
  <c r="L752" i="9" l="1"/>
  <c r="M752" i="9" s="1"/>
  <c r="N752" i="9" s="1"/>
  <c r="C753" i="9"/>
  <c r="D753" i="9" l="1"/>
  <c r="G753" i="9" s="1"/>
  <c r="H753" i="9" s="1"/>
  <c r="J753" i="9" s="1"/>
  <c r="I753" i="9" l="1"/>
  <c r="B754" i="9" l="1"/>
  <c r="K753" i="9"/>
  <c r="O753" i="9" s="1"/>
  <c r="L753" i="9" l="1"/>
  <c r="M753" i="9" s="1"/>
  <c r="N753" i="9" s="1"/>
  <c r="C754" i="9"/>
  <c r="D754" i="9" l="1"/>
  <c r="G754" i="9" s="1"/>
  <c r="H754" i="9" s="1"/>
  <c r="J754" i="9" s="1"/>
  <c r="I754" i="9" l="1"/>
  <c r="B755" i="9" l="1"/>
  <c r="K754" i="9"/>
  <c r="O754" i="9" s="1"/>
  <c r="L754" i="9" l="1"/>
  <c r="M754" i="9" s="1"/>
  <c r="N754" i="9" s="1"/>
  <c r="C755" i="9"/>
  <c r="D755" i="9" l="1"/>
  <c r="G755" i="9" s="1"/>
  <c r="H755" i="9" s="1"/>
  <c r="I755" i="9" s="1"/>
  <c r="B756" i="9" l="1"/>
  <c r="K755" i="9"/>
  <c r="O755" i="9" s="1"/>
  <c r="J755" i="9"/>
  <c r="L755" i="9" l="1"/>
  <c r="M755" i="9" s="1"/>
  <c r="N755" i="9" s="1"/>
  <c r="C756" i="9"/>
  <c r="D756" i="9" l="1"/>
  <c r="G756" i="9" s="1"/>
  <c r="H756" i="9" s="1"/>
  <c r="J756" i="9" s="1"/>
  <c r="I756" i="9" l="1"/>
  <c r="B757" i="9" l="1"/>
  <c r="K756" i="9"/>
  <c r="O756" i="9" s="1"/>
  <c r="L756" i="9" l="1"/>
  <c r="M756" i="9" s="1"/>
  <c r="N756" i="9" s="1"/>
  <c r="C757" i="9"/>
  <c r="D757" i="9" l="1"/>
  <c r="G757" i="9" s="1"/>
  <c r="H757" i="9" s="1"/>
  <c r="J757" i="9" s="1"/>
  <c r="I757" i="9" l="1"/>
  <c r="B758" i="9" l="1"/>
  <c r="K757" i="9"/>
  <c r="O757" i="9" s="1"/>
  <c r="L757" i="9" l="1"/>
  <c r="M757" i="9" s="1"/>
  <c r="N757" i="9" s="1"/>
  <c r="C758" i="9"/>
  <c r="D758" i="9" l="1"/>
  <c r="G758" i="9" s="1"/>
  <c r="H758" i="9" s="1"/>
  <c r="J758" i="9" s="1"/>
  <c r="I758" i="9" l="1"/>
  <c r="B759" i="9" s="1"/>
  <c r="K758" i="9" l="1"/>
  <c r="O758" i="9" s="1"/>
  <c r="C759" i="9"/>
  <c r="L758" i="9" l="1"/>
  <c r="M758" i="9" s="1"/>
  <c r="N758" i="9" s="1"/>
  <c r="D759" i="9"/>
  <c r="G759" i="9" s="1"/>
  <c r="H759" i="9" s="1"/>
  <c r="J759" i="9" s="1"/>
  <c r="I759" i="9" l="1"/>
  <c r="B760" i="9" l="1"/>
  <c r="K759" i="9"/>
  <c r="O759" i="9" s="1"/>
  <c r="L759" i="9" l="1"/>
  <c r="M759" i="9" s="1"/>
  <c r="N759" i="9" s="1"/>
  <c r="C760" i="9"/>
  <c r="D760" i="9" l="1"/>
  <c r="G760" i="9" s="1"/>
  <c r="H760" i="9" s="1"/>
  <c r="I760" i="9" s="1"/>
  <c r="B761" i="9" l="1"/>
  <c r="K760" i="9"/>
  <c r="O760" i="9" s="1"/>
  <c r="J760" i="9"/>
  <c r="L760" i="9" l="1"/>
  <c r="M760" i="9" s="1"/>
  <c r="N760" i="9" s="1"/>
  <c r="C761" i="9"/>
  <c r="D761" i="9" l="1"/>
  <c r="G761" i="9" s="1"/>
  <c r="H761" i="9" s="1"/>
  <c r="J761" i="9" s="1"/>
  <c r="I761" i="9" l="1"/>
  <c r="B762" i="9" l="1"/>
  <c r="K761" i="9"/>
  <c r="O761" i="9" s="1"/>
  <c r="L761" i="9" l="1"/>
  <c r="M761" i="9" s="1"/>
  <c r="N761" i="9" s="1"/>
  <c r="C762" i="9"/>
  <c r="D762" i="9" l="1"/>
  <c r="G762" i="9" s="1"/>
  <c r="H762" i="9" s="1"/>
  <c r="J762" i="9" s="1"/>
  <c r="I762" i="9" l="1"/>
  <c r="K762" i="9" s="1"/>
  <c r="O762" i="9" s="1"/>
  <c r="B763" i="9" l="1"/>
  <c r="C763" i="9" s="1"/>
  <c r="L762" i="9"/>
  <c r="M762" i="9" s="1"/>
  <c r="N762" i="9" s="1"/>
  <c r="D763" i="9" l="1"/>
  <c r="G763" i="9" s="1"/>
  <c r="H763" i="9" s="1"/>
  <c r="I763" i="9" s="1"/>
  <c r="B764" i="9" l="1"/>
  <c r="K763" i="9"/>
  <c r="O763" i="9" s="1"/>
  <c r="J763" i="9"/>
  <c r="L763" i="9" l="1"/>
  <c r="M763" i="9" s="1"/>
  <c r="N763" i="9" s="1"/>
  <c r="C764" i="9"/>
  <c r="D764" i="9" l="1"/>
  <c r="G764" i="9" s="1"/>
  <c r="H764" i="9" s="1"/>
  <c r="J764" i="9" s="1"/>
  <c r="I764" i="9" l="1"/>
  <c r="B765" i="9" l="1"/>
  <c r="K764" i="9"/>
  <c r="O764" i="9" s="1"/>
  <c r="L764" i="9" l="1"/>
  <c r="M764" i="9" s="1"/>
  <c r="N764" i="9" s="1"/>
  <c r="C765" i="9"/>
  <c r="D765" i="9" l="1"/>
  <c r="G765" i="9" s="1"/>
  <c r="H765" i="9" s="1"/>
  <c r="J765" i="9" s="1"/>
  <c r="I765" i="9" l="1"/>
  <c r="B766" i="9" l="1"/>
  <c r="K765" i="9"/>
  <c r="O765" i="9" s="1"/>
  <c r="L765" i="9" l="1"/>
  <c r="M765" i="9" s="1"/>
  <c r="N765" i="9" s="1"/>
  <c r="C766" i="9"/>
  <c r="D766" i="9" l="1"/>
  <c r="G766" i="9" s="1"/>
  <c r="H766" i="9" s="1"/>
  <c r="J766" i="9" s="1"/>
  <c r="I766" i="9" l="1"/>
  <c r="B767" i="9" s="1"/>
  <c r="K766" i="9" l="1"/>
  <c r="O766" i="9" s="1"/>
  <c r="C767" i="9"/>
  <c r="L766" i="9" l="1"/>
  <c r="M766" i="9" s="1"/>
  <c r="N766" i="9" s="1"/>
  <c r="D767" i="9"/>
  <c r="G767" i="9" s="1"/>
  <c r="H767" i="9" s="1"/>
  <c r="I767" i="9" s="1"/>
  <c r="B768" i="9" l="1"/>
  <c r="K767" i="9"/>
  <c r="O767" i="9" s="1"/>
  <c r="J767" i="9"/>
  <c r="L767" i="9" l="1"/>
  <c r="M767" i="9" s="1"/>
  <c r="N767" i="9" s="1"/>
  <c r="C768" i="9"/>
  <c r="D768" i="9" l="1"/>
  <c r="G768" i="9" s="1"/>
  <c r="H768" i="9" s="1"/>
  <c r="I768" i="9" s="1"/>
  <c r="B769" i="9" l="1"/>
  <c r="K768" i="9"/>
  <c r="O768" i="9" s="1"/>
  <c r="J768" i="9"/>
  <c r="L768" i="9" l="1"/>
  <c r="M768" i="9" s="1"/>
  <c r="N768" i="9" s="1"/>
  <c r="C769" i="9"/>
  <c r="D769" i="9" l="1"/>
  <c r="G769" i="9" s="1"/>
  <c r="H769" i="9" s="1"/>
  <c r="J769" i="9" s="1"/>
  <c r="I769" i="9" l="1"/>
  <c r="B770" i="9" s="1"/>
  <c r="K769" i="9" l="1"/>
  <c r="O769" i="9" s="1"/>
  <c r="C770" i="9"/>
  <c r="L769" i="9" l="1"/>
  <c r="M769" i="9" s="1"/>
  <c r="N769" i="9" s="1"/>
  <c r="D770" i="9"/>
  <c r="G770" i="9" s="1"/>
  <c r="H770" i="9" s="1"/>
  <c r="I770" i="9" s="1"/>
  <c r="B771" i="9" l="1"/>
  <c r="K770" i="9"/>
  <c r="O770" i="9" s="1"/>
  <c r="J770" i="9"/>
  <c r="L770" i="9" l="1"/>
  <c r="M770" i="9" s="1"/>
  <c r="N770" i="9" s="1"/>
  <c r="C771" i="9"/>
  <c r="D771" i="9" l="1"/>
  <c r="G771" i="9" s="1"/>
  <c r="H771" i="9" s="1"/>
  <c r="I771" i="9" s="1"/>
  <c r="B772" i="9" l="1"/>
  <c r="K771" i="9"/>
  <c r="O771" i="9" s="1"/>
  <c r="J771" i="9"/>
  <c r="L771" i="9" l="1"/>
  <c r="M771" i="9" s="1"/>
  <c r="N771" i="9" s="1"/>
  <c r="C772" i="9"/>
  <c r="D772" i="9" l="1"/>
  <c r="G772" i="9" s="1"/>
  <c r="H772" i="9" s="1"/>
  <c r="J772" i="9" s="1"/>
  <c r="I772" i="9" l="1"/>
  <c r="B773" i="9" s="1"/>
  <c r="K772" i="9" l="1"/>
  <c r="O772" i="9" s="1"/>
  <c r="C773" i="9"/>
  <c r="L772" i="9" l="1"/>
  <c r="M772" i="9" s="1"/>
  <c r="N772" i="9" s="1"/>
  <c r="D773" i="9"/>
  <c r="G773" i="9" s="1"/>
  <c r="H773" i="9" s="1"/>
  <c r="I773" i="9" s="1"/>
  <c r="B774" i="9" l="1"/>
  <c r="K773" i="9"/>
  <c r="O773" i="9" s="1"/>
  <c r="J773" i="9"/>
  <c r="L773" i="9" l="1"/>
  <c r="M773" i="9" s="1"/>
  <c r="N773" i="9" s="1"/>
  <c r="C774" i="9"/>
  <c r="D774" i="9" l="1"/>
  <c r="G774" i="9" s="1"/>
  <c r="H774" i="9" s="1"/>
  <c r="J774" i="9" s="1"/>
  <c r="I774" i="9" l="1"/>
  <c r="B775" i="9" s="1"/>
  <c r="K774" i="9" l="1"/>
  <c r="O774" i="9" s="1"/>
  <c r="C775" i="9"/>
  <c r="L774" i="9" l="1"/>
  <c r="M774" i="9" s="1"/>
  <c r="N774" i="9" s="1"/>
  <c r="D775" i="9"/>
  <c r="G775" i="9" s="1"/>
  <c r="H775" i="9" s="1"/>
  <c r="I775" i="9" s="1"/>
  <c r="B776" i="9" l="1"/>
  <c r="K775" i="9"/>
  <c r="O775" i="9" s="1"/>
  <c r="J775" i="9"/>
  <c r="L775" i="9" l="1"/>
  <c r="M775" i="9" s="1"/>
  <c r="N775" i="9" s="1"/>
  <c r="C776" i="9"/>
  <c r="D776" i="9" l="1"/>
  <c r="G776" i="9" s="1"/>
  <c r="H776" i="9" s="1"/>
  <c r="I776" i="9" s="1"/>
  <c r="B777" i="9" l="1"/>
  <c r="K776" i="9"/>
  <c r="O776" i="9" s="1"/>
  <c r="J776" i="9"/>
  <c r="L776" i="9" l="1"/>
  <c r="M776" i="9" s="1"/>
  <c r="N776" i="9" s="1"/>
  <c r="C777" i="9"/>
  <c r="D777" i="9" l="1"/>
  <c r="G777" i="9" s="1"/>
  <c r="H777" i="9" s="1"/>
  <c r="J777" i="9" s="1"/>
  <c r="I777" i="9" l="1"/>
  <c r="B778" i="9" s="1"/>
  <c r="K777" i="9" l="1"/>
  <c r="O777" i="9" s="1"/>
  <c r="C778" i="9"/>
  <c r="L777" i="9" l="1"/>
  <c r="M777" i="9" s="1"/>
  <c r="N777" i="9" s="1"/>
  <c r="D778" i="9"/>
  <c r="G778" i="9" s="1"/>
  <c r="H778" i="9" s="1"/>
  <c r="I778" i="9" s="1"/>
  <c r="B779" i="9" l="1"/>
  <c r="K778" i="9"/>
  <c r="O778" i="9" s="1"/>
  <c r="J778" i="9"/>
  <c r="L778" i="9" l="1"/>
  <c r="M778" i="9" s="1"/>
  <c r="N778" i="9" s="1"/>
  <c r="C779" i="9"/>
  <c r="D779" i="9" l="1"/>
  <c r="G779" i="9" s="1"/>
  <c r="H779" i="9" s="1"/>
  <c r="I779" i="9" s="1"/>
  <c r="B780" i="9" l="1"/>
  <c r="K779" i="9"/>
  <c r="O779" i="9" s="1"/>
  <c r="J779" i="9"/>
  <c r="L779" i="9" l="1"/>
  <c r="M779" i="9" s="1"/>
  <c r="N779" i="9" s="1"/>
  <c r="C780" i="9"/>
  <c r="D780" i="9" l="1"/>
  <c r="G780" i="9" s="1"/>
  <c r="H780" i="9" s="1"/>
  <c r="J780" i="9" s="1"/>
  <c r="I780" i="9" l="1"/>
  <c r="B781" i="9" l="1"/>
  <c r="K780" i="9"/>
  <c r="O780" i="9" s="1"/>
  <c r="L780" i="9" l="1"/>
  <c r="M780" i="9" s="1"/>
  <c r="N780" i="9" s="1"/>
  <c r="C781" i="9"/>
  <c r="D781" i="9" l="1"/>
  <c r="G781" i="9" s="1"/>
  <c r="H781" i="9" s="1"/>
  <c r="I781" i="9" s="1"/>
  <c r="J781" i="9" l="1"/>
  <c r="B782" i="9"/>
  <c r="K781" i="9"/>
  <c r="O781" i="9" s="1"/>
  <c r="L781" i="9" l="1"/>
  <c r="M781" i="9" s="1"/>
  <c r="N781" i="9" s="1"/>
  <c r="C782" i="9"/>
  <c r="D782" i="9" l="1"/>
  <c r="G782" i="9" s="1"/>
  <c r="H782" i="9" s="1"/>
  <c r="J782" i="9" s="1"/>
  <c r="I782" i="9" l="1"/>
  <c r="B783" i="9" s="1"/>
  <c r="K782" i="9" l="1"/>
  <c r="O782" i="9" s="1"/>
  <c r="C783" i="9"/>
  <c r="L782" i="9" l="1"/>
  <c r="M782" i="9" s="1"/>
  <c r="N782" i="9" s="1"/>
  <c r="D783" i="9"/>
  <c r="G783" i="9" s="1"/>
  <c r="H783" i="9" s="1"/>
  <c r="J783" i="9" s="1"/>
  <c r="I783" i="9" l="1"/>
  <c r="B784" i="9" s="1"/>
  <c r="K783" i="9" l="1"/>
  <c r="O783" i="9" s="1"/>
  <c r="C784" i="9"/>
  <c r="L783" i="9" l="1"/>
  <c r="M783" i="9" s="1"/>
  <c r="N783" i="9" s="1"/>
  <c r="D784" i="9"/>
  <c r="G784" i="9" s="1"/>
  <c r="H784" i="9" s="1"/>
  <c r="I784" i="9" s="1"/>
  <c r="B785" i="9" l="1"/>
  <c r="K784" i="9"/>
  <c r="O784" i="9" s="1"/>
  <c r="J784" i="9"/>
  <c r="L784" i="9" l="1"/>
  <c r="M784" i="9" s="1"/>
  <c r="N784" i="9" s="1"/>
  <c r="C785" i="9"/>
  <c r="D785" i="9" l="1"/>
  <c r="G785" i="9" s="1"/>
  <c r="H785" i="9" s="1"/>
  <c r="J785" i="9" s="1"/>
  <c r="I785" i="9" l="1"/>
  <c r="B786" i="9" s="1"/>
  <c r="K785" i="9" l="1"/>
  <c r="O785" i="9" s="1"/>
  <c r="C786" i="9"/>
  <c r="L785" i="9" l="1"/>
  <c r="M785" i="9" s="1"/>
  <c r="N785" i="9" s="1"/>
  <c r="D786" i="9"/>
  <c r="G786" i="9" s="1"/>
  <c r="H786" i="9" s="1"/>
  <c r="J786" i="9" s="1"/>
  <c r="I786" i="9" l="1"/>
  <c r="B787" i="9" l="1"/>
  <c r="K786" i="9"/>
  <c r="O786" i="9" s="1"/>
  <c r="L786" i="9" l="1"/>
  <c r="M786" i="9" s="1"/>
  <c r="N786" i="9" s="1"/>
  <c r="C787" i="9"/>
  <c r="D787" i="9" l="1"/>
  <c r="G787" i="9" s="1"/>
  <c r="H787" i="9" s="1"/>
  <c r="I787" i="9" s="1"/>
  <c r="B788" i="9" l="1"/>
  <c r="K787" i="9"/>
  <c r="O787" i="9" s="1"/>
  <c r="J787" i="9"/>
  <c r="L787" i="9" l="1"/>
  <c r="M787" i="9" s="1"/>
  <c r="N787" i="9" s="1"/>
  <c r="C788" i="9"/>
  <c r="D788" i="9" l="1"/>
  <c r="G788" i="9" s="1"/>
  <c r="H788" i="9" s="1"/>
  <c r="J788" i="9" s="1"/>
  <c r="I788" i="9" l="1"/>
  <c r="B789" i="9" s="1"/>
  <c r="K788" i="9" l="1"/>
  <c r="O788" i="9" s="1"/>
  <c r="C789" i="9"/>
  <c r="L788" i="9" l="1"/>
  <c r="M788" i="9" s="1"/>
  <c r="N788" i="9" s="1"/>
  <c r="D789" i="9"/>
  <c r="G789" i="9" s="1"/>
  <c r="H789" i="9" s="1"/>
  <c r="J789" i="9" s="1"/>
  <c r="I789" i="9" l="1"/>
  <c r="B790" i="9" s="1"/>
  <c r="K789" i="9" l="1"/>
  <c r="O789" i="9" s="1"/>
  <c r="C790" i="9"/>
  <c r="L789" i="9" l="1"/>
  <c r="M789" i="9" s="1"/>
  <c r="N789" i="9" s="1"/>
  <c r="D790" i="9"/>
  <c r="G790" i="9" s="1"/>
  <c r="H790" i="9" s="1"/>
  <c r="J790" i="9" s="1"/>
  <c r="I790" i="9" l="1"/>
  <c r="B791" i="9" s="1"/>
  <c r="K790" i="9" l="1"/>
  <c r="O790" i="9" s="1"/>
  <c r="C791" i="9"/>
  <c r="L790" i="9" l="1"/>
  <c r="M790" i="9" s="1"/>
  <c r="N790" i="9" s="1"/>
  <c r="D791" i="9"/>
  <c r="G791" i="9" s="1"/>
  <c r="H791" i="9" s="1"/>
  <c r="J791" i="9" s="1"/>
  <c r="I791" i="9" l="1"/>
  <c r="B792" i="9" s="1"/>
  <c r="K791" i="9" l="1"/>
  <c r="O791" i="9" s="1"/>
  <c r="C792" i="9"/>
  <c r="L791" i="9" l="1"/>
  <c r="M791" i="9" s="1"/>
  <c r="N791" i="9" s="1"/>
  <c r="D792" i="9"/>
  <c r="G792" i="9" s="1"/>
  <c r="H792" i="9" s="1"/>
  <c r="I792" i="9" s="1"/>
  <c r="J792" i="9" l="1"/>
  <c r="B793" i="9"/>
  <c r="K792" i="9"/>
  <c r="O792" i="9" s="1"/>
  <c r="L792" i="9" l="1"/>
  <c r="M792" i="9" s="1"/>
  <c r="N792" i="9" s="1"/>
  <c r="C793" i="9"/>
  <c r="D793" i="9" l="1"/>
  <c r="G793" i="9" s="1"/>
  <c r="H793" i="9" s="1"/>
  <c r="J793" i="9" s="1"/>
  <c r="I793" i="9" l="1"/>
  <c r="B794" i="9" s="1"/>
  <c r="K793" i="9" l="1"/>
  <c r="O793" i="9" s="1"/>
  <c r="C794" i="9"/>
  <c r="L793" i="9" l="1"/>
  <c r="M793" i="9" s="1"/>
  <c r="N793" i="9" s="1"/>
  <c r="D794" i="9"/>
  <c r="G794" i="9" s="1"/>
  <c r="H794" i="9" s="1"/>
  <c r="I794" i="9" s="1"/>
  <c r="J794" i="9" l="1"/>
  <c r="B795" i="9"/>
  <c r="K794" i="9"/>
  <c r="O794" i="9" s="1"/>
  <c r="L794" i="9" l="1"/>
  <c r="M794" i="9" s="1"/>
  <c r="N794" i="9" s="1"/>
  <c r="C795" i="9"/>
  <c r="D795" i="9" l="1"/>
  <c r="G795" i="9" s="1"/>
  <c r="H795" i="9" s="1"/>
  <c r="I795" i="9" s="1"/>
  <c r="J795" i="9" l="1"/>
  <c r="B796" i="9"/>
  <c r="K795" i="9"/>
  <c r="O795" i="9" s="1"/>
  <c r="L795" i="9" l="1"/>
  <c r="M795" i="9" s="1"/>
  <c r="N795" i="9" s="1"/>
  <c r="C796" i="9"/>
  <c r="D796" i="9" l="1"/>
  <c r="G796" i="9" s="1"/>
  <c r="H796" i="9" s="1"/>
  <c r="J796" i="9" s="1"/>
  <c r="I796" i="9" l="1"/>
  <c r="B797" i="9" l="1"/>
  <c r="K796" i="9"/>
  <c r="O796" i="9" s="1"/>
  <c r="L796" i="9" l="1"/>
  <c r="M796" i="9" s="1"/>
  <c r="N796" i="9" s="1"/>
  <c r="C797" i="9"/>
  <c r="D797" i="9" l="1"/>
  <c r="G797" i="9" s="1"/>
  <c r="H797" i="9" s="1"/>
  <c r="J797" i="9" s="1"/>
  <c r="I797" i="9" l="1"/>
  <c r="B798" i="9" l="1"/>
  <c r="K797" i="9"/>
  <c r="O797" i="9" s="1"/>
  <c r="L797" i="9" l="1"/>
  <c r="M797" i="9" s="1"/>
  <c r="N797" i="9" s="1"/>
  <c r="C798" i="9"/>
  <c r="D798" i="9" l="1"/>
  <c r="G798" i="9" s="1"/>
  <c r="H798" i="9" s="1"/>
  <c r="I798" i="9" s="1"/>
  <c r="J798" i="9" l="1"/>
  <c r="B799" i="9"/>
  <c r="K798" i="9"/>
  <c r="O798" i="9" s="1"/>
  <c r="L798" i="9" l="1"/>
  <c r="M798" i="9" s="1"/>
  <c r="N798" i="9" s="1"/>
  <c r="C799" i="9"/>
  <c r="D799" i="9" l="1"/>
  <c r="G799" i="9" s="1"/>
  <c r="H799" i="9" s="1"/>
  <c r="I799" i="9" s="1"/>
  <c r="J799" i="9" l="1"/>
  <c r="B800" i="9"/>
  <c r="K799" i="9"/>
  <c r="O799" i="9" s="1"/>
  <c r="L799" i="9" l="1"/>
  <c r="M799" i="9" s="1"/>
  <c r="N799" i="9" s="1"/>
  <c r="C800" i="9"/>
  <c r="D800" i="9" l="1"/>
  <c r="G800" i="9" s="1"/>
  <c r="H800" i="9" s="1"/>
  <c r="I800" i="9" s="1"/>
  <c r="J800" i="9" l="1"/>
  <c r="B801" i="9"/>
  <c r="K800" i="9"/>
  <c r="O800" i="9" s="1"/>
  <c r="L800" i="9" l="1"/>
  <c r="M800" i="9" s="1"/>
  <c r="N800" i="9" s="1"/>
  <c r="C801" i="9"/>
  <c r="D801" i="9" l="1"/>
  <c r="G801" i="9" s="1"/>
  <c r="H801" i="9" s="1"/>
  <c r="J801" i="9" s="1"/>
  <c r="I801" i="9" l="1"/>
  <c r="B802" i="9" s="1"/>
  <c r="K801" i="9" l="1"/>
  <c r="O801" i="9" s="1"/>
  <c r="C802" i="9"/>
  <c r="L801" i="9" l="1"/>
  <c r="M801" i="9" s="1"/>
  <c r="N801" i="9" s="1"/>
  <c r="D802" i="9"/>
  <c r="G802" i="9" s="1"/>
  <c r="H802" i="9" s="1"/>
  <c r="I802" i="9" s="1"/>
  <c r="J802" i="9" l="1"/>
  <c r="B803" i="9"/>
  <c r="K802" i="9"/>
  <c r="O802" i="9" s="1"/>
  <c r="L802" i="9" l="1"/>
  <c r="M802" i="9" s="1"/>
  <c r="N802" i="9" s="1"/>
  <c r="C803" i="9"/>
  <c r="D803" i="9" l="1"/>
  <c r="G803" i="9" s="1"/>
  <c r="H803" i="9" s="1"/>
  <c r="I803" i="9" s="1"/>
  <c r="J803" i="9" l="1"/>
  <c r="B804" i="9"/>
  <c r="K803" i="9"/>
  <c r="O803" i="9" s="1"/>
  <c r="L803" i="9" l="1"/>
  <c r="M803" i="9" s="1"/>
  <c r="N803" i="9" s="1"/>
  <c r="C804" i="9"/>
  <c r="D804" i="9" l="1"/>
  <c r="G804" i="9" s="1"/>
  <c r="H804" i="9" s="1"/>
  <c r="J804" i="9" s="1"/>
  <c r="I804" i="9" l="1"/>
  <c r="B805" i="9" l="1"/>
  <c r="K804" i="9"/>
  <c r="O804" i="9" s="1"/>
  <c r="L804" i="9" l="1"/>
  <c r="M804" i="9" s="1"/>
  <c r="N804" i="9" s="1"/>
  <c r="C805" i="9"/>
  <c r="D805" i="9" l="1"/>
  <c r="G805" i="9" s="1"/>
  <c r="H805" i="9" s="1"/>
  <c r="I805" i="9" s="1"/>
  <c r="B806" i="9" l="1"/>
  <c r="K805" i="9"/>
  <c r="O805" i="9" s="1"/>
  <c r="J805" i="9"/>
  <c r="L805" i="9" l="1"/>
  <c r="M805" i="9" s="1"/>
  <c r="N805" i="9" s="1"/>
  <c r="C806" i="9"/>
  <c r="D806" i="9" l="1"/>
  <c r="G806" i="9" s="1"/>
  <c r="H806" i="9" s="1"/>
  <c r="I806" i="9" s="1"/>
  <c r="J806" i="9" l="1"/>
  <c r="B807" i="9"/>
  <c r="K806" i="9"/>
  <c r="O806" i="9" s="1"/>
  <c r="L806" i="9" l="1"/>
  <c r="M806" i="9" s="1"/>
  <c r="N806" i="9" s="1"/>
  <c r="C807" i="9"/>
  <c r="D807" i="9" l="1"/>
  <c r="G807" i="9" s="1"/>
  <c r="H807" i="9" s="1"/>
  <c r="J807" i="9" s="1"/>
  <c r="I807" i="9" l="1"/>
  <c r="B808" i="9" l="1"/>
  <c r="K807" i="9"/>
  <c r="O807" i="9" s="1"/>
  <c r="L807" i="9" l="1"/>
  <c r="M807" i="9" s="1"/>
  <c r="N807" i="9" s="1"/>
  <c r="C808" i="9"/>
  <c r="D808" i="9" l="1"/>
  <c r="G808" i="9" s="1"/>
  <c r="H808" i="9" s="1"/>
  <c r="I808" i="9" s="1"/>
  <c r="B809" i="9" l="1"/>
  <c r="K808" i="9"/>
  <c r="O808" i="9" s="1"/>
  <c r="J808" i="9"/>
  <c r="L808" i="9" l="1"/>
  <c r="M808" i="9" s="1"/>
  <c r="N808" i="9" s="1"/>
  <c r="C809" i="9"/>
  <c r="D809" i="9" l="1"/>
  <c r="G809" i="9" s="1"/>
  <c r="H809" i="9" s="1"/>
  <c r="J809" i="9" s="1"/>
  <c r="I809" i="9" l="1"/>
  <c r="B810" i="9" s="1"/>
  <c r="K809" i="9" l="1"/>
  <c r="O809" i="9" s="1"/>
  <c r="C810" i="9"/>
  <c r="L809" i="9" l="1"/>
  <c r="M809" i="9" s="1"/>
  <c r="N809" i="9" s="1"/>
  <c r="D810" i="9"/>
  <c r="G810" i="9" s="1"/>
  <c r="H810" i="9" s="1"/>
  <c r="J810" i="9" s="1"/>
  <c r="I810" i="9" l="1"/>
  <c r="B811" i="9" l="1"/>
  <c r="K810" i="9"/>
  <c r="O810" i="9" s="1"/>
  <c r="L810" i="9" l="1"/>
  <c r="M810" i="9" s="1"/>
  <c r="N810" i="9" s="1"/>
  <c r="C811" i="9"/>
  <c r="D811" i="9" l="1"/>
  <c r="G811" i="9" s="1"/>
  <c r="H811" i="9" s="1"/>
  <c r="I811" i="9" s="1"/>
  <c r="B812" i="9" l="1"/>
  <c r="K811" i="9"/>
  <c r="O811" i="9" s="1"/>
  <c r="J811" i="9"/>
  <c r="L811" i="9" l="1"/>
  <c r="M811" i="9" s="1"/>
  <c r="N811" i="9" s="1"/>
  <c r="C812" i="9"/>
  <c r="D812" i="9" l="1"/>
  <c r="G812" i="9" s="1"/>
  <c r="H812" i="9" s="1"/>
  <c r="J812" i="9" s="1"/>
  <c r="I812" i="9" l="1"/>
  <c r="B813" i="9" l="1"/>
  <c r="K812" i="9"/>
  <c r="O812" i="9" s="1"/>
  <c r="L812" i="9" l="1"/>
  <c r="M812" i="9" s="1"/>
  <c r="N812" i="9" s="1"/>
  <c r="C813" i="9"/>
  <c r="D813" i="9" l="1"/>
  <c r="G813" i="9" s="1"/>
  <c r="H813" i="9" s="1"/>
  <c r="J813" i="9" s="1"/>
  <c r="I813" i="9" l="1"/>
  <c r="B814" i="9" l="1"/>
  <c r="K813" i="9"/>
  <c r="O813" i="9" s="1"/>
  <c r="L813" i="9" l="1"/>
  <c r="M813" i="9" s="1"/>
  <c r="N813" i="9" s="1"/>
  <c r="C814" i="9"/>
  <c r="D814" i="9" l="1"/>
  <c r="G814" i="9" s="1"/>
  <c r="H814" i="9" s="1"/>
  <c r="J814" i="9" s="1"/>
  <c r="I814" i="9" l="1"/>
  <c r="B815" i="9" s="1"/>
  <c r="K814" i="9" l="1"/>
  <c r="O814" i="9" s="1"/>
  <c r="C815" i="9"/>
  <c r="L814" i="9" l="1"/>
  <c r="M814" i="9" s="1"/>
  <c r="N814" i="9" s="1"/>
  <c r="D815" i="9"/>
  <c r="G815" i="9" s="1"/>
  <c r="H815" i="9" s="1"/>
  <c r="J815" i="9" s="1"/>
  <c r="I815" i="9" l="1"/>
  <c r="B816" i="9" l="1"/>
  <c r="K815" i="9"/>
  <c r="O815" i="9" s="1"/>
  <c r="L815" i="9" l="1"/>
  <c r="M815" i="9" s="1"/>
  <c r="N815" i="9" s="1"/>
  <c r="C816" i="9"/>
  <c r="D816" i="9" l="1"/>
  <c r="G816" i="9" s="1"/>
  <c r="H816" i="9" s="1"/>
  <c r="I816" i="9" s="1"/>
  <c r="B817" i="9" l="1"/>
  <c r="K816" i="9"/>
  <c r="O816" i="9" s="1"/>
  <c r="J816" i="9"/>
  <c r="L816" i="9" l="1"/>
  <c r="M816" i="9" s="1"/>
  <c r="N816" i="9" s="1"/>
  <c r="C817" i="9"/>
  <c r="D817" i="9" l="1"/>
  <c r="G817" i="9" s="1"/>
  <c r="H817" i="9" s="1"/>
  <c r="J817" i="9" s="1"/>
  <c r="I817" i="9" l="1"/>
  <c r="B818" i="9" s="1"/>
  <c r="K817" i="9" l="1"/>
  <c r="O817" i="9" s="1"/>
  <c r="C818" i="9"/>
  <c r="L817" i="9" l="1"/>
  <c r="M817" i="9" s="1"/>
  <c r="N817" i="9" s="1"/>
  <c r="D818" i="9"/>
  <c r="G818" i="9" s="1"/>
  <c r="H818" i="9" s="1"/>
  <c r="J818" i="9" s="1"/>
  <c r="I818" i="9" l="1"/>
  <c r="B819" i="9" l="1"/>
  <c r="K818" i="9"/>
  <c r="O818" i="9" s="1"/>
  <c r="L818" i="9" l="1"/>
  <c r="M818" i="9" s="1"/>
  <c r="N818" i="9" s="1"/>
  <c r="C819" i="9"/>
  <c r="D819" i="9" l="1"/>
  <c r="G819" i="9" s="1"/>
  <c r="H819" i="9" s="1"/>
  <c r="I819" i="9" s="1"/>
  <c r="B820" i="9" l="1"/>
  <c r="K819" i="9"/>
  <c r="O819" i="9" s="1"/>
  <c r="J819" i="9"/>
  <c r="L819" i="9" l="1"/>
  <c r="M819" i="9" s="1"/>
  <c r="N819" i="9" s="1"/>
  <c r="C820" i="9"/>
  <c r="D820" i="9" l="1"/>
  <c r="G820" i="9" s="1"/>
  <c r="H820" i="9" s="1"/>
  <c r="J820" i="9" s="1"/>
  <c r="I820" i="9" l="1"/>
  <c r="B821" i="9" s="1"/>
  <c r="K820" i="9" l="1"/>
  <c r="O820" i="9" s="1"/>
  <c r="C821" i="9"/>
  <c r="L820" i="9" l="1"/>
  <c r="M820" i="9" s="1"/>
  <c r="N820" i="9" s="1"/>
  <c r="D821" i="9"/>
  <c r="G821" i="9" s="1"/>
  <c r="H821" i="9" s="1"/>
  <c r="J821" i="9" s="1"/>
  <c r="I821" i="9" l="1"/>
  <c r="B822" i="9" l="1"/>
  <c r="K821" i="9"/>
  <c r="O821" i="9" s="1"/>
  <c r="L821" i="9" l="1"/>
  <c r="M821" i="9" s="1"/>
  <c r="N821" i="9" s="1"/>
  <c r="C822" i="9"/>
  <c r="D822" i="9" l="1"/>
  <c r="G822" i="9" s="1"/>
  <c r="H822" i="9" s="1"/>
  <c r="J822" i="9" s="1"/>
  <c r="I822" i="9" l="1"/>
  <c r="B823" i="9" s="1"/>
  <c r="K822" i="9" l="1"/>
  <c r="O822" i="9" s="1"/>
  <c r="C823" i="9"/>
  <c r="L822" i="9" l="1"/>
  <c r="M822" i="9" s="1"/>
  <c r="N822" i="9" s="1"/>
  <c r="D823" i="9"/>
  <c r="G823" i="9" s="1"/>
  <c r="H823" i="9" s="1"/>
  <c r="J823" i="9" s="1"/>
  <c r="I823" i="9" l="1"/>
  <c r="B824" i="9" s="1"/>
  <c r="K823" i="9" l="1"/>
  <c r="O823" i="9" s="1"/>
  <c r="C824" i="9"/>
  <c r="L823" i="9" l="1"/>
  <c r="M823" i="9" s="1"/>
  <c r="N823" i="9" s="1"/>
  <c r="D824" i="9"/>
  <c r="G824" i="9" s="1"/>
  <c r="H824" i="9" s="1"/>
  <c r="I824" i="9" s="1"/>
  <c r="B825" i="9" l="1"/>
  <c r="K824" i="9"/>
  <c r="O824" i="9" s="1"/>
  <c r="J824" i="9"/>
  <c r="L824" i="9" l="1"/>
  <c r="M824" i="9" s="1"/>
  <c r="N824" i="9" s="1"/>
  <c r="C825" i="9"/>
  <c r="D825" i="9" l="1"/>
  <c r="G825" i="9" s="1"/>
  <c r="H825" i="9" s="1"/>
  <c r="J825" i="9" s="1"/>
  <c r="I825" i="9" l="1"/>
  <c r="B826" i="9" s="1"/>
  <c r="K825" i="9" l="1"/>
  <c r="O825" i="9" s="1"/>
  <c r="C826" i="9"/>
  <c r="L825" i="9" l="1"/>
  <c r="M825" i="9" s="1"/>
  <c r="N825" i="9" s="1"/>
  <c r="D826" i="9"/>
  <c r="G826" i="9" s="1"/>
  <c r="H826" i="9" s="1"/>
  <c r="J826" i="9" s="1"/>
  <c r="I826" i="9" l="1"/>
  <c r="B827" i="9" s="1"/>
  <c r="K826" i="9" l="1"/>
  <c r="O826" i="9" s="1"/>
  <c r="C827" i="9"/>
  <c r="L826" i="9" l="1"/>
  <c r="M826" i="9" s="1"/>
  <c r="N826" i="9" s="1"/>
  <c r="D827" i="9"/>
  <c r="G827" i="9" s="1"/>
  <c r="H827" i="9" s="1"/>
  <c r="I827" i="9" s="1"/>
  <c r="B828" i="9" l="1"/>
  <c r="K827" i="9"/>
  <c r="O827" i="9" s="1"/>
  <c r="J827" i="9"/>
  <c r="L827" i="9" l="1"/>
  <c r="M827" i="9" s="1"/>
  <c r="N827" i="9" s="1"/>
  <c r="C828" i="9"/>
  <c r="D828" i="9" l="1"/>
  <c r="G828" i="9" s="1"/>
  <c r="H828" i="9" s="1"/>
  <c r="J828" i="9" s="1"/>
  <c r="I828" i="9" l="1"/>
  <c r="B829" i="9" l="1"/>
  <c r="K828" i="9"/>
  <c r="O828" i="9" s="1"/>
  <c r="L828" i="9" l="1"/>
  <c r="M828" i="9" s="1"/>
  <c r="N828" i="9" s="1"/>
  <c r="C829" i="9"/>
  <c r="D829" i="9" l="1"/>
  <c r="G829" i="9" s="1"/>
  <c r="H829" i="9" s="1"/>
  <c r="J829" i="9" s="1"/>
  <c r="I829" i="9" l="1"/>
  <c r="B830" i="9" s="1"/>
  <c r="K829" i="9" l="1"/>
  <c r="O829" i="9" s="1"/>
  <c r="C830" i="9"/>
  <c r="L829" i="9" l="1"/>
  <c r="M829" i="9" s="1"/>
  <c r="N829" i="9" s="1"/>
  <c r="D830" i="9"/>
  <c r="G830" i="9" s="1"/>
  <c r="H830" i="9" s="1"/>
  <c r="J830" i="9" s="1"/>
  <c r="I830" i="9" l="1"/>
  <c r="B831" i="9" s="1"/>
  <c r="K830" i="9" l="1"/>
  <c r="O830" i="9" s="1"/>
  <c r="C831" i="9"/>
  <c r="L830" i="9" l="1"/>
  <c r="M830" i="9" s="1"/>
  <c r="N830" i="9" s="1"/>
  <c r="D831" i="9"/>
  <c r="G831" i="9" s="1"/>
  <c r="H831" i="9" s="1"/>
  <c r="J831" i="9" s="1"/>
  <c r="I831" i="9" l="1"/>
  <c r="B832" i="9" l="1"/>
  <c r="K831" i="9"/>
  <c r="O831" i="9" s="1"/>
  <c r="L831" i="9" l="1"/>
  <c r="M831" i="9" s="1"/>
  <c r="N831" i="9" s="1"/>
  <c r="C832" i="9"/>
  <c r="D832" i="9" l="1"/>
  <c r="G832" i="9" s="1"/>
  <c r="H832" i="9" s="1"/>
  <c r="I832" i="9" s="1"/>
  <c r="J832" i="9" l="1"/>
  <c r="B833" i="9"/>
  <c r="K832" i="9"/>
  <c r="O832" i="9" s="1"/>
  <c r="L832" i="9" l="1"/>
  <c r="M832" i="9" s="1"/>
  <c r="N832" i="9" s="1"/>
  <c r="C833" i="9"/>
  <c r="D833" i="9" l="1"/>
  <c r="G833" i="9" s="1"/>
  <c r="H833" i="9" s="1"/>
  <c r="J833" i="9" s="1"/>
  <c r="I833" i="9" l="1"/>
  <c r="B834" i="9" s="1"/>
  <c r="K833" i="9" l="1"/>
  <c r="O833" i="9" s="1"/>
  <c r="C834" i="9"/>
  <c r="L833" i="9" l="1"/>
  <c r="M833" i="9" s="1"/>
  <c r="N833" i="9" s="1"/>
  <c r="D834" i="9"/>
  <c r="G834" i="9" s="1"/>
  <c r="H834" i="9" s="1"/>
  <c r="J834" i="9" s="1"/>
  <c r="I834" i="9" l="1"/>
  <c r="B835" i="9" l="1"/>
  <c r="K834" i="9"/>
  <c r="O834" i="9" s="1"/>
  <c r="L834" i="9" l="1"/>
  <c r="M834" i="9" s="1"/>
  <c r="N834" i="9" s="1"/>
  <c r="C835" i="9"/>
  <c r="D835" i="9" l="1"/>
  <c r="G835" i="9" s="1"/>
  <c r="H835" i="9" s="1"/>
  <c r="I835" i="9" s="1"/>
  <c r="J835" i="9" l="1"/>
  <c r="B836" i="9"/>
  <c r="K835" i="9"/>
  <c r="O835" i="9" s="1"/>
  <c r="L835" i="9" l="1"/>
  <c r="M835" i="9" s="1"/>
  <c r="N835" i="9" s="1"/>
  <c r="C836" i="9"/>
  <c r="D836" i="9" l="1"/>
  <c r="G836" i="9" s="1"/>
  <c r="H836" i="9" s="1"/>
  <c r="J836" i="9" s="1"/>
  <c r="I836" i="9" l="1"/>
  <c r="B837" i="9" s="1"/>
  <c r="K836" i="9" l="1"/>
  <c r="O836" i="9" s="1"/>
  <c r="C837" i="9"/>
  <c r="L836" i="9" l="1"/>
  <c r="M836" i="9" s="1"/>
  <c r="N836" i="9" s="1"/>
  <c r="D837" i="9"/>
  <c r="G837" i="9" s="1"/>
  <c r="H837" i="9" s="1"/>
  <c r="J837" i="9" s="1"/>
  <c r="I837" i="9" l="1"/>
  <c r="B838" i="9" l="1"/>
  <c r="K837" i="9"/>
  <c r="O837" i="9" s="1"/>
  <c r="L837" i="9" l="1"/>
  <c r="M837" i="9" s="1"/>
  <c r="N837" i="9" s="1"/>
  <c r="C838" i="9"/>
  <c r="D838" i="9" l="1"/>
  <c r="G838" i="9" s="1"/>
  <c r="H838" i="9" s="1"/>
  <c r="I838" i="9" s="1"/>
  <c r="B839" i="9" l="1"/>
  <c r="K838" i="9"/>
  <c r="O838" i="9" s="1"/>
  <c r="J838" i="9"/>
  <c r="L838" i="9" l="1"/>
  <c r="M838" i="9" s="1"/>
  <c r="N838" i="9" s="1"/>
  <c r="C839" i="9"/>
  <c r="D839" i="9" l="1"/>
  <c r="G839" i="9" s="1"/>
  <c r="H839" i="9" s="1"/>
  <c r="J839" i="9" s="1"/>
  <c r="I839" i="9" l="1"/>
  <c r="B840" i="9" l="1"/>
  <c r="K839" i="9"/>
  <c r="O839" i="9" s="1"/>
  <c r="L839" i="9" l="1"/>
  <c r="M839" i="9" s="1"/>
  <c r="N839" i="9" s="1"/>
  <c r="C840" i="9"/>
  <c r="D840" i="9" l="1"/>
  <c r="G840" i="9" s="1"/>
  <c r="H840" i="9" s="1"/>
  <c r="I840" i="9" s="1"/>
  <c r="B841" i="9" l="1"/>
  <c r="K840" i="9"/>
  <c r="O840" i="9" s="1"/>
  <c r="J840" i="9"/>
  <c r="L840" i="9" l="1"/>
  <c r="M840" i="9" s="1"/>
  <c r="N840" i="9" s="1"/>
  <c r="C841" i="9"/>
  <c r="D841" i="9" l="1"/>
  <c r="G841" i="9" s="1"/>
  <c r="H841" i="9" s="1"/>
  <c r="J841" i="9" s="1"/>
  <c r="I841" i="9" l="1"/>
  <c r="B842" i="9" l="1"/>
  <c r="K841" i="9"/>
  <c r="O841" i="9" s="1"/>
  <c r="L841" i="9" l="1"/>
  <c r="M841" i="9" s="1"/>
  <c r="N841" i="9" s="1"/>
  <c r="C842" i="9"/>
  <c r="D842" i="9" l="1"/>
  <c r="G842" i="9" s="1"/>
  <c r="H842" i="9" s="1"/>
  <c r="J842" i="9" s="1"/>
  <c r="I842" i="9" l="1"/>
  <c r="B843" i="9" l="1"/>
  <c r="K842" i="9"/>
  <c r="O842" i="9" s="1"/>
  <c r="L842" i="9" l="1"/>
  <c r="M842" i="9" s="1"/>
  <c r="N842" i="9" s="1"/>
  <c r="C843" i="9"/>
  <c r="D843" i="9" l="1"/>
  <c r="G843" i="9" s="1"/>
  <c r="H843" i="9" s="1"/>
  <c r="I843" i="9" s="1"/>
  <c r="B844" i="9" l="1"/>
  <c r="K843" i="9"/>
  <c r="O843" i="9" s="1"/>
  <c r="J843" i="9"/>
  <c r="L843" i="9" l="1"/>
  <c r="M843" i="9" s="1"/>
  <c r="N843" i="9" s="1"/>
  <c r="C844" i="9"/>
  <c r="D844" i="9" l="1"/>
  <c r="G844" i="9" s="1"/>
  <c r="H844" i="9" s="1"/>
  <c r="J844" i="9" s="1"/>
  <c r="I844" i="9" l="1"/>
  <c r="B845" i="9" l="1"/>
  <c r="K844" i="9"/>
  <c r="O844" i="9" s="1"/>
  <c r="L844" i="9" l="1"/>
  <c r="M844" i="9" s="1"/>
  <c r="N844" i="9" s="1"/>
  <c r="C845" i="9"/>
  <c r="D845" i="9" l="1"/>
  <c r="G845" i="9" s="1"/>
  <c r="H845" i="9" s="1"/>
  <c r="J845" i="9" s="1"/>
  <c r="I845" i="9" l="1"/>
  <c r="B846" i="9" l="1"/>
  <c r="K845" i="9"/>
  <c r="O845" i="9" s="1"/>
  <c r="L845" i="9" l="1"/>
  <c r="M845" i="9" s="1"/>
  <c r="N845" i="9" s="1"/>
  <c r="C846" i="9"/>
  <c r="D846" i="9" l="1"/>
  <c r="G846" i="9" s="1"/>
  <c r="H846" i="9" s="1"/>
  <c r="J846" i="9" s="1"/>
  <c r="I846" i="9" l="1"/>
  <c r="B847" i="9" l="1"/>
  <c r="K846" i="9"/>
  <c r="O846" i="9" s="1"/>
  <c r="L846" i="9" l="1"/>
  <c r="M846" i="9" s="1"/>
  <c r="N846" i="9" s="1"/>
  <c r="C847" i="9"/>
  <c r="D847" i="9" l="1"/>
  <c r="G847" i="9" s="1"/>
  <c r="H847" i="9" s="1"/>
  <c r="J847" i="9" s="1"/>
  <c r="I847" i="9" l="1"/>
  <c r="B848" i="9" l="1"/>
  <c r="K847" i="9"/>
  <c r="O847" i="9" s="1"/>
  <c r="L847" i="9" l="1"/>
  <c r="M847" i="9" s="1"/>
  <c r="N847" i="9" s="1"/>
  <c r="C848" i="9"/>
  <c r="D848" i="9" l="1"/>
  <c r="G848" i="9" s="1"/>
  <c r="H848" i="9" s="1"/>
  <c r="I848" i="9" s="1"/>
  <c r="B849" i="9" l="1"/>
  <c r="K848" i="9"/>
  <c r="O848" i="9" s="1"/>
  <c r="J848" i="9"/>
  <c r="L848" i="9" l="1"/>
  <c r="M848" i="9" s="1"/>
  <c r="N848" i="9" s="1"/>
  <c r="C849" i="9"/>
  <c r="D849" i="9" l="1"/>
  <c r="G849" i="9" s="1"/>
  <c r="H849" i="9" s="1"/>
  <c r="J849" i="9" s="1"/>
  <c r="I849" i="9" l="1"/>
  <c r="B850" i="9" l="1"/>
  <c r="K849" i="9"/>
  <c r="O849" i="9" s="1"/>
  <c r="L849" i="9" l="1"/>
  <c r="M849" i="9" s="1"/>
  <c r="N849" i="9" s="1"/>
  <c r="C850" i="9"/>
  <c r="D850" i="9" l="1"/>
  <c r="G850" i="9" s="1"/>
  <c r="H850" i="9" s="1"/>
  <c r="J850" i="9" s="1"/>
  <c r="I850" i="9" l="1"/>
  <c r="B851" i="9" l="1"/>
  <c r="K850" i="9"/>
  <c r="O850" i="9" s="1"/>
  <c r="L850" i="9" l="1"/>
  <c r="M850" i="9" s="1"/>
  <c r="N850" i="9" s="1"/>
  <c r="C851" i="9"/>
  <c r="D851" i="9" l="1"/>
  <c r="G851" i="9" s="1"/>
  <c r="H851" i="9" s="1"/>
  <c r="I851" i="9" s="1"/>
  <c r="B852" i="9" l="1"/>
  <c r="K851" i="9"/>
  <c r="O851" i="9" s="1"/>
  <c r="J851" i="9"/>
  <c r="L851" i="9" l="1"/>
  <c r="M851" i="9" s="1"/>
  <c r="N851" i="9" s="1"/>
  <c r="C852" i="9"/>
  <c r="D852" i="9" l="1"/>
  <c r="G852" i="9" s="1"/>
  <c r="H852" i="9" s="1"/>
  <c r="J852" i="9" s="1"/>
  <c r="I852" i="9" l="1"/>
  <c r="B853" i="9" l="1"/>
  <c r="K852" i="9"/>
  <c r="O852" i="9" s="1"/>
  <c r="L852" i="9" l="1"/>
  <c r="M852" i="9" s="1"/>
  <c r="N852" i="9" s="1"/>
  <c r="C853" i="9"/>
  <c r="D853" i="9" l="1"/>
  <c r="G853" i="9" s="1"/>
  <c r="H853" i="9" s="1"/>
  <c r="J853" i="9" s="1"/>
  <c r="I853" i="9" l="1"/>
  <c r="B854" i="9" l="1"/>
  <c r="K853" i="9"/>
  <c r="O853" i="9" s="1"/>
  <c r="L853" i="9" l="1"/>
  <c r="M853" i="9" s="1"/>
  <c r="N853" i="9" s="1"/>
  <c r="C854" i="9"/>
  <c r="D854" i="9" l="1"/>
  <c r="G854" i="9" s="1"/>
  <c r="H854" i="9" s="1"/>
  <c r="J854" i="9" s="1"/>
  <c r="I854" i="9" l="1"/>
  <c r="B855" i="9" l="1"/>
  <c r="K854" i="9"/>
  <c r="O854" i="9" s="1"/>
  <c r="L854" i="9" l="1"/>
  <c r="M854" i="9" s="1"/>
  <c r="N854" i="9" s="1"/>
  <c r="C855" i="9"/>
  <c r="D855" i="9" l="1"/>
  <c r="G855" i="9" s="1"/>
  <c r="H855" i="9" s="1"/>
  <c r="J855" i="9" s="1"/>
  <c r="I855" i="9" l="1"/>
  <c r="B856" i="9" l="1"/>
  <c r="K855" i="9"/>
  <c r="O855" i="9" s="1"/>
  <c r="L855" i="9" l="1"/>
  <c r="M855" i="9" s="1"/>
  <c r="N855" i="9" s="1"/>
  <c r="C856" i="9"/>
  <c r="D856" i="9" l="1"/>
  <c r="G856" i="9" s="1"/>
  <c r="H856" i="9" s="1"/>
  <c r="I856" i="9" s="1"/>
  <c r="B857" i="9" l="1"/>
  <c r="K856" i="9"/>
  <c r="O856" i="9" s="1"/>
  <c r="J856" i="9"/>
  <c r="L856" i="9" l="1"/>
  <c r="M856" i="9" s="1"/>
  <c r="N856" i="9" s="1"/>
  <c r="C857" i="9"/>
  <c r="D857" i="9" l="1"/>
  <c r="G857" i="9" s="1"/>
  <c r="H857" i="9" s="1"/>
  <c r="J857" i="9" s="1"/>
  <c r="I857" i="9" l="1"/>
  <c r="B858" i="9" l="1"/>
  <c r="K857" i="9"/>
  <c r="O857" i="9" s="1"/>
  <c r="L857" i="9" l="1"/>
  <c r="M857" i="9" s="1"/>
  <c r="N857" i="9" s="1"/>
  <c r="C858" i="9"/>
  <c r="D858" i="9" l="1"/>
  <c r="G858" i="9" s="1"/>
  <c r="H858" i="9" s="1"/>
  <c r="J858" i="9" s="1"/>
  <c r="I858" i="9" l="1"/>
  <c r="B859" i="9" l="1"/>
  <c r="K858" i="9"/>
  <c r="O858" i="9" s="1"/>
  <c r="L858" i="9" l="1"/>
  <c r="M858" i="9" s="1"/>
  <c r="N858" i="9" s="1"/>
  <c r="C859" i="9"/>
  <c r="D859" i="9" l="1"/>
  <c r="G859" i="9" s="1"/>
  <c r="H859" i="9" s="1"/>
  <c r="I859" i="9" s="1"/>
  <c r="B860" i="9" l="1"/>
  <c r="K859" i="9"/>
  <c r="O859" i="9" s="1"/>
  <c r="J859" i="9"/>
  <c r="L859" i="9" l="1"/>
  <c r="M859" i="9" s="1"/>
  <c r="N859" i="9" s="1"/>
  <c r="C860" i="9"/>
  <c r="D860" i="9" l="1"/>
  <c r="G860" i="9" s="1"/>
  <c r="H860" i="9" s="1"/>
  <c r="J860" i="9" s="1"/>
  <c r="I860" i="9" l="1"/>
  <c r="B861" i="9" l="1"/>
  <c r="K860" i="9"/>
  <c r="O860" i="9" s="1"/>
  <c r="L860" i="9" l="1"/>
  <c r="M860" i="9" s="1"/>
  <c r="N860" i="9" s="1"/>
  <c r="C861" i="9"/>
  <c r="D861" i="9" l="1"/>
  <c r="G861" i="9" s="1"/>
  <c r="H861" i="9" s="1"/>
  <c r="J861" i="9" s="1"/>
  <c r="I861" i="9" l="1"/>
  <c r="B862" i="9" l="1"/>
  <c r="K861" i="9"/>
  <c r="O861" i="9" s="1"/>
  <c r="L861" i="9" l="1"/>
  <c r="M861" i="9" s="1"/>
  <c r="N861" i="9" s="1"/>
  <c r="C862" i="9"/>
  <c r="D862" i="9" l="1"/>
  <c r="G862" i="9" s="1"/>
  <c r="H862" i="9" s="1"/>
  <c r="J862" i="9" s="1"/>
  <c r="I862" i="9" l="1"/>
  <c r="B863" i="9" l="1"/>
  <c r="K862" i="9"/>
  <c r="O862" i="9" s="1"/>
  <c r="L862" i="9" l="1"/>
  <c r="M862" i="9" s="1"/>
  <c r="N862" i="9" s="1"/>
  <c r="C863" i="9"/>
  <c r="D863" i="9" l="1"/>
  <c r="G863" i="9" s="1"/>
  <c r="H863" i="9" s="1"/>
  <c r="J863" i="9" s="1"/>
  <c r="I863" i="9" l="1"/>
  <c r="B864" i="9" l="1"/>
  <c r="K863" i="9"/>
  <c r="O863" i="9" s="1"/>
  <c r="L863" i="9" l="1"/>
  <c r="M863" i="9" s="1"/>
  <c r="N863" i="9" s="1"/>
  <c r="C864" i="9"/>
  <c r="D864" i="9" l="1"/>
  <c r="G864" i="9" s="1"/>
  <c r="H864" i="9" s="1"/>
  <c r="I864" i="9" s="1"/>
  <c r="B865" i="9" l="1"/>
  <c r="K864" i="9"/>
  <c r="O864" i="9" s="1"/>
  <c r="J864" i="9"/>
  <c r="L864" i="9" l="1"/>
  <c r="M864" i="9" s="1"/>
  <c r="N864" i="9" s="1"/>
  <c r="C865" i="9"/>
  <c r="D865" i="9" l="1"/>
  <c r="G865" i="9" s="1"/>
  <c r="H865" i="9" s="1"/>
  <c r="J865" i="9" s="1"/>
  <c r="I865" i="9" l="1"/>
  <c r="B866" i="9" l="1"/>
  <c r="K865" i="9"/>
  <c r="O865" i="9" s="1"/>
  <c r="L865" i="9" l="1"/>
  <c r="M865" i="9" s="1"/>
  <c r="N865" i="9" s="1"/>
  <c r="C866" i="9"/>
  <c r="D866" i="9" l="1"/>
  <c r="G866" i="9" s="1"/>
  <c r="H866" i="9" s="1"/>
  <c r="J866" i="9" s="1"/>
  <c r="I866" i="9" l="1"/>
  <c r="B867" i="9" l="1"/>
  <c r="K866" i="9"/>
  <c r="O866" i="9" s="1"/>
  <c r="L866" i="9" l="1"/>
  <c r="M866" i="9" s="1"/>
  <c r="N866" i="9" s="1"/>
  <c r="C867" i="9"/>
  <c r="D867" i="9" l="1"/>
  <c r="G867" i="9" s="1"/>
  <c r="H867" i="9" s="1"/>
  <c r="I867" i="9" s="1"/>
  <c r="B868" i="9" l="1"/>
  <c r="K867" i="9"/>
  <c r="O867" i="9" s="1"/>
  <c r="J867" i="9"/>
  <c r="L867" i="9" l="1"/>
  <c r="M867" i="9" s="1"/>
  <c r="N867" i="9" s="1"/>
  <c r="C868" i="9"/>
  <c r="D868" i="9" l="1"/>
  <c r="G868" i="9" s="1"/>
  <c r="H868" i="9" s="1"/>
  <c r="J868" i="9" s="1"/>
  <c r="I868" i="9" l="1"/>
  <c r="B869" i="9" l="1"/>
  <c r="K868" i="9"/>
  <c r="O868" i="9" s="1"/>
  <c r="L868" i="9" l="1"/>
  <c r="M868" i="9" s="1"/>
  <c r="N868" i="9" s="1"/>
  <c r="C869" i="9"/>
  <c r="D869" i="9" l="1"/>
  <c r="G869" i="9" s="1"/>
  <c r="H869" i="9" s="1"/>
  <c r="J869" i="9" s="1"/>
  <c r="I869" i="9" l="1"/>
  <c r="B870" i="9" l="1"/>
  <c r="K869" i="9"/>
  <c r="O869" i="9" s="1"/>
  <c r="L869" i="9" l="1"/>
  <c r="M869" i="9" s="1"/>
  <c r="N869" i="9" s="1"/>
  <c r="C870" i="9"/>
  <c r="D870" i="9" l="1"/>
  <c r="G870" i="9" s="1"/>
  <c r="H870" i="9" s="1"/>
  <c r="I870" i="9" s="1"/>
  <c r="B871" i="9" l="1"/>
  <c r="K870" i="9"/>
  <c r="O870" i="9" s="1"/>
  <c r="J870" i="9"/>
  <c r="L870" i="9" l="1"/>
  <c r="M870" i="9" s="1"/>
  <c r="N870" i="9" s="1"/>
  <c r="C871" i="9"/>
  <c r="D871" i="9" l="1"/>
  <c r="G871" i="9" s="1"/>
  <c r="H871" i="9" s="1"/>
  <c r="J871" i="9" s="1"/>
  <c r="I871" i="9" l="1"/>
  <c r="B872" i="9" l="1"/>
  <c r="K871" i="9"/>
  <c r="O871" i="9" s="1"/>
  <c r="L871" i="9" l="1"/>
  <c r="M871" i="9" s="1"/>
  <c r="N871" i="9" s="1"/>
  <c r="C872" i="9"/>
  <c r="D872" i="9" l="1"/>
  <c r="G872" i="9" s="1"/>
  <c r="H872" i="9" s="1"/>
  <c r="I872" i="9" s="1"/>
  <c r="B873" i="9" l="1"/>
  <c r="K872" i="9"/>
  <c r="O872" i="9" s="1"/>
  <c r="J872" i="9"/>
  <c r="L872" i="9" l="1"/>
  <c r="M872" i="9" s="1"/>
  <c r="N872" i="9" s="1"/>
  <c r="C873" i="9"/>
  <c r="D873" i="9" l="1"/>
  <c r="G873" i="9" s="1"/>
  <c r="H873" i="9" s="1"/>
  <c r="J873" i="9" s="1"/>
  <c r="I873" i="9" l="1"/>
  <c r="B874" i="9" l="1"/>
  <c r="K873" i="9"/>
  <c r="O873" i="9" s="1"/>
  <c r="L873" i="9" l="1"/>
  <c r="M873" i="9" s="1"/>
  <c r="N873" i="9" s="1"/>
  <c r="C874" i="9"/>
  <c r="D874" i="9" l="1"/>
  <c r="G874" i="9" s="1"/>
  <c r="H874" i="9" s="1"/>
  <c r="J874" i="9" s="1"/>
  <c r="I874" i="9" l="1"/>
  <c r="B875" i="9" l="1"/>
  <c r="K874" i="9"/>
  <c r="O874" i="9" s="1"/>
  <c r="L874" i="9" l="1"/>
  <c r="M874" i="9" s="1"/>
  <c r="N874" i="9" s="1"/>
  <c r="C875" i="9"/>
  <c r="D875" i="9" l="1"/>
  <c r="G875" i="9" s="1"/>
  <c r="H875" i="9" s="1"/>
  <c r="I875" i="9" s="1"/>
  <c r="B876" i="9" l="1"/>
  <c r="K875" i="9"/>
  <c r="O875" i="9" s="1"/>
  <c r="J875" i="9"/>
  <c r="L875" i="9" l="1"/>
  <c r="M875" i="9" s="1"/>
  <c r="N875" i="9" s="1"/>
  <c r="C876" i="9"/>
  <c r="D876" i="9" l="1"/>
  <c r="G876" i="9" s="1"/>
  <c r="H876" i="9" s="1"/>
  <c r="J876" i="9" s="1"/>
  <c r="I876" i="9" l="1"/>
  <c r="B877" i="9" l="1"/>
  <c r="K876" i="9"/>
  <c r="O876" i="9" s="1"/>
  <c r="L876" i="9" l="1"/>
  <c r="M876" i="9" s="1"/>
  <c r="N876" i="9" s="1"/>
  <c r="C877" i="9"/>
  <c r="D877" i="9" l="1"/>
  <c r="G877" i="9" s="1"/>
  <c r="H877" i="9" s="1"/>
  <c r="J877" i="9" s="1"/>
  <c r="I877" i="9" l="1"/>
  <c r="B878" i="9" l="1"/>
  <c r="K877" i="9"/>
  <c r="O877" i="9" s="1"/>
  <c r="L877" i="9" l="1"/>
  <c r="M877" i="9" s="1"/>
  <c r="N877" i="9" s="1"/>
  <c r="C878" i="9"/>
  <c r="D878" i="9" l="1"/>
  <c r="G878" i="9" s="1"/>
  <c r="H878" i="9" s="1"/>
  <c r="J878" i="9" s="1"/>
  <c r="I878" i="9" l="1"/>
  <c r="K878" i="9" s="1"/>
  <c r="O878" i="9" s="1"/>
  <c r="B879" i="9" l="1"/>
  <c r="C879" i="9" s="1"/>
  <c r="L878" i="9"/>
  <c r="M878" i="9" s="1"/>
  <c r="N878" i="9" s="1"/>
  <c r="D879" i="9" l="1"/>
  <c r="G879" i="9" s="1"/>
  <c r="H879" i="9" s="1"/>
  <c r="J879" i="9" s="1"/>
  <c r="I879" i="9" l="1"/>
  <c r="B880" i="9" l="1"/>
  <c r="K879" i="9"/>
  <c r="O879" i="9" s="1"/>
  <c r="L879" i="9" l="1"/>
  <c r="M879" i="9" s="1"/>
  <c r="N879" i="9" s="1"/>
  <c r="C880" i="9"/>
  <c r="D880" i="9" l="1"/>
  <c r="G880" i="9" s="1"/>
  <c r="H880" i="9" s="1"/>
  <c r="I880" i="9" s="1"/>
  <c r="B881" i="9" l="1"/>
  <c r="K880" i="9"/>
  <c r="O880" i="9" s="1"/>
  <c r="J880" i="9"/>
  <c r="L880" i="9" l="1"/>
  <c r="M880" i="9" s="1"/>
  <c r="N880" i="9" s="1"/>
  <c r="C881" i="9"/>
  <c r="D881" i="9" l="1"/>
  <c r="G881" i="9" s="1"/>
  <c r="H881" i="9" s="1"/>
  <c r="J881" i="9" s="1"/>
  <c r="I881" i="9" l="1"/>
  <c r="B882" i="9" l="1"/>
  <c r="K881" i="9"/>
  <c r="O881" i="9" s="1"/>
  <c r="L881" i="9" l="1"/>
  <c r="M881" i="9" s="1"/>
  <c r="N881" i="9" s="1"/>
  <c r="C882" i="9"/>
  <c r="D882" i="9" l="1"/>
  <c r="G882" i="9" s="1"/>
  <c r="H882" i="9" s="1"/>
  <c r="J882" i="9" s="1"/>
  <c r="I882" i="9" l="1"/>
  <c r="B883" i="9" l="1"/>
  <c r="K882" i="9"/>
  <c r="O882" i="9" s="1"/>
  <c r="L882" i="9" l="1"/>
  <c r="M882" i="9" s="1"/>
  <c r="N882" i="9" s="1"/>
  <c r="C883" i="9"/>
  <c r="D883" i="9" l="1"/>
  <c r="G883" i="9" s="1"/>
  <c r="H883" i="9" s="1"/>
  <c r="I883" i="9" s="1"/>
  <c r="B884" i="9" l="1"/>
  <c r="K883" i="9"/>
  <c r="O883" i="9" s="1"/>
  <c r="J883" i="9"/>
  <c r="L883" i="9" l="1"/>
  <c r="M883" i="9" s="1"/>
  <c r="N883" i="9" s="1"/>
  <c r="C884" i="9"/>
  <c r="D884" i="9" l="1"/>
  <c r="G884" i="9" s="1"/>
  <c r="H884" i="9" s="1"/>
  <c r="J884" i="9" s="1"/>
  <c r="I884" i="9" l="1"/>
  <c r="B885" i="9" l="1"/>
  <c r="K884" i="9"/>
  <c r="O884" i="9" s="1"/>
  <c r="L884" i="9" l="1"/>
  <c r="M884" i="9" s="1"/>
  <c r="N884" i="9" s="1"/>
  <c r="C885" i="9"/>
  <c r="D885" i="9" l="1"/>
  <c r="G885" i="9" s="1"/>
  <c r="H885" i="9" s="1"/>
  <c r="J885" i="9" s="1"/>
  <c r="I885" i="9" l="1"/>
  <c r="B886" i="9" l="1"/>
  <c r="K885" i="9"/>
  <c r="O885" i="9" s="1"/>
  <c r="L885" i="9" l="1"/>
  <c r="M885" i="9" s="1"/>
  <c r="N885" i="9" s="1"/>
  <c r="C886" i="9"/>
  <c r="D886" i="9" l="1"/>
  <c r="G886" i="9" s="1"/>
  <c r="H886" i="9" s="1"/>
  <c r="J886" i="9" s="1"/>
  <c r="I886" i="9" l="1"/>
  <c r="B887" i="9" l="1"/>
  <c r="K886" i="9"/>
  <c r="O886" i="9" s="1"/>
  <c r="L886" i="9" l="1"/>
  <c r="M886" i="9" s="1"/>
  <c r="N886" i="9" s="1"/>
  <c r="C887" i="9"/>
  <c r="D887" i="9" l="1"/>
  <c r="G887" i="9" s="1"/>
  <c r="H887" i="9" s="1"/>
  <c r="J887" i="9" s="1"/>
  <c r="I887" i="9" l="1"/>
  <c r="B888" i="9" l="1"/>
  <c r="K887" i="9"/>
  <c r="O887" i="9" s="1"/>
  <c r="L887" i="9" l="1"/>
  <c r="M887" i="9" s="1"/>
  <c r="N887" i="9" s="1"/>
  <c r="C888" i="9"/>
  <c r="D888" i="9" l="1"/>
  <c r="G888" i="9" s="1"/>
  <c r="H888" i="9" s="1"/>
  <c r="I888" i="9" s="1"/>
  <c r="B889" i="9" l="1"/>
  <c r="K888" i="9"/>
  <c r="O888" i="9" s="1"/>
  <c r="J888" i="9"/>
  <c r="L888" i="9" l="1"/>
  <c r="M888" i="9" s="1"/>
  <c r="N888" i="9" s="1"/>
  <c r="C889" i="9"/>
  <c r="D889" i="9" l="1"/>
  <c r="G889" i="9" s="1"/>
  <c r="H889" i="9" s="1"/>
  <c r="J889" i="9" s="1"/>
  <c r="I889" i="9" l="1"/>
  <c r="B890" i="9" l="1"/>
  <c r="K889" i="9"/>
  <c r="O889" i="9" s="1"/>
  <c r="L889" i="9" l="1"/>
  <c r="M889" i="9" s="1"/>
  <c r="N889" i="9" s="1"/>
  <c r="C890" i="9"/>
  <c r="D890" i="9" l="1"/>
  <c r="G890" i="9" s="1"/>
  <c r="H890" i="9" s="1"/>
  <c r="J890" i="9" s="1"/>
  <c r="I890" i="9" l="1"/>
  <c r="B891" i="9" l="1"/>
  <c r="K890" i="9"/>
  <c r="O890" i="9" s="1"/>
  <c r="L890" i="9" l="1"/>
  <c r="M890" i="9" s="1"/>
  <c r="N890" i="9" s="1"/>
  <c r="C891" i="9"/>
  <c r="D891" i="9" l="1"/>
  <c r="G891" i="9" s="1"/>
  <c r="H891" i="9" s="1"/>
  <c r="I891" i="9" s="1"/>
  <c r="B892" i="9" l="1"/>
  <c r="K891" i="9"/>
  <c r="O891" i="9" s="1"/>
  <c r="J891" i="9"/>
  <c r="L891" i="9" l="1"/>
  <c r="M891" i="9" s="1"/>
  <c r="N891" i="9" s="1"/>
  <c r="C892" i="9"/>
  <c r="D892" i="9" l="1"/>
  <c r="G892" i="9" s="1"/>
  <c r="H892" i="9" s="1"/>
  <c r="J892" i="9" s="1"/>
  <c r="I892" i="9" l="1"/>
  <c r="B893" i="9" l="1"/>
  <c r="K892" i="9"/>
  <c r="O892" i="9" s="1"/>
  <c r="L892" i="9" l="1"/>
  <c r="M892" i="9" s="1"/>
  <c r="N892" i="9" s="1"/>
  <c r="C893" i="9"/>
  <c r="D893" i="9" l="1"/>
  <c r="G893" i="9" s="1"/>
  <c r="H893" i="9" s="1"/>
  <c r="J893" i="9" s="1"/>
  <c r="I893" i="9" l="1"/>
  <c r="B894" i="9" l="1"/>
  <c r="K893" i="9"/>
  <c r="O893" i="9" s="1"/>
  <c r="L893" i="9" l="1"/>
  <c r="M893" i="9" s="1"/>
  <c r="N893" i="9" s="1"/>
  <c r="C894" i="9"/>
  <c r="D894" i="9" l="1"/>
  <c r="G894" i="9" s="1"/>
  <c r="H894" i="9" s="1"/>
  <c r="J894" i="9" s="1"/>
  <c r="I894" i="9" l="1"/>
  <c r="B895" i="9" l="1"/>
  <c r="K894" i="9"/>
  <c r="O894" i="9" s="1"/>
  <c r="L894" i="9" l="1"/>
  <c r="M894" i="9" s="1"/>
  <c r="N894" i="9" s="1"/>
  <c r="C895" i="9"/>
  <c r="D895" i="9" l="1"/>
  <c r="G895" i="9" s="1"/>
  <c r="H895" i="9" s="1"/>
  <c r="J895" i="9" s="1"/>
  <c r="I895" i="9" l="1"/>
  <c r="B896" i="9" l="1"/>
  <c r="K895" i="9"/>
  <c r="O895" i="9" s="1"/>
  <c r="L895" i="9" l="1"/>
  <c r="M895" i="9" s="1"/>
  <c r="N895" i="9" s="1"/>
  <c r="C896" i="9"/>
  <c r="D896" i="9" l="1"/>
  <c r="G896" i="9" s="1"/>
  <c r="H896" i="9" s="1"/>
  <c r="I896" i="9" s="1"/>
  <c r="B897" i="9" l="1"/>
  <c r="K896" i="9"/>
  <c r="O896" i="9" s="1"/>
  <c r="J896" i="9"/>
  <c r="L896" i="9" l="1"/>
  <c r="M896" i="9" s="1"/>
  <c r="N896" i="9" s="1"/>
  <c r="C897" i="9"/>
  <c r="D897" i="9" l="1"/>
  <c r="G897" i="9" s="1"/>
  <c r="H897" i="9" s="1"/>
  <c r="J897" i="9" s="1"/>
  <c r="I897" i="9" l="1"/>
  <c r="B898" i="9" l="1"/>
  <c r="K897" i="9"/>
  <c r="O897" i="9" s="1"/>
  <c r="L897" i="9" l="1"/>
  <c r="M897" i="9" s="1"/>
  <c r="N897" i="9" s="1"/>
  <c r="C898" i="9"/>
  <c r="D898" i="9" l="1"/>
  <c r="G898" i="9" s="1"/>
  <c r="H898" i="9" s="1"/>
  <c r="J898" i="9" s="1"/>
  <c r="I898" i="9" l="1"/>
  <c r="B899" i="9" l="1"/>
  <c r="K898" i="9"/>
  <c r="O898" i="9" s="1"/>
  <c r="L898" i="9" l="1"/>
  <c r="M898" i="9" s="1"/>
  <c r="N898" i="9" s="1"/>
  <c r="C899" i="9"/>
  <c r="D899" i="9" l="1"/>
  <c r="G899" i="9" s="1"/>
  <c r="H899" i="9" s="1"/>
  <c r="I899" i="9" s="1"/>
  <c r="B900" i="9" l="1"/>
  <c r="K899" i="9"/>
  <c r="O899" i="9" s="1"/>
  <c r="J899" i="9"/>
  <c r="L899" i="9" l="1"/>
  <c r="M899" i="9" s="1"/>
  <c r="N899" i="9" s="1"/>
  <c r="C900" i="9"/>
  <c r="D900" i="9" l="1"/>
  <c r="G900" i="9" s="1"/>
  <c r="H900" i="9" s="1"/>
  <c r="J900" i="9" s="1"/>
  <c r="I900" i="9" l="1"/>
  <c r="B901" i="9" l="1"/>
  <c r="K900" i="9"/>
  <c r="O900" i="9" s="1"/>
  <c r="L900" i="9" l="1"/>
  <c r="M900" i="9" s="1"/>
  <c r="N900" i="9" s="1"/>
  <c r="C901" i="9"/>
  <c r="D901" i="9" l="1"/>
  <c r="G901" i="9" s="1"/>
  <c r="H901" i="9" s="1"/>
  <c r="I901" i="9" s="1"/>
  <c r="B902" i="9" l="1"/>
  <c r="K901" i="9"/>
  <c r="O901" i="9" s="1"/>
  <c r="J901" i="9"/>
  <c r="L901" i="9" l="1"/>
  <c r="M901" i="9" s="1"/>
  <c r="N901" i="9" s="1"/>
  <c r="C902" i="9"/>
  <c r="D902" i="9" l="1"/>
  <c r="G902" i="9" s="1"/>
  <c r="H902" i="9" s="1"/>
  <c r="J902" i="9" s="1"/>
  <c r="I902" i="9" l="1"/>
  <c r="B903" i="9" l="1"/>
  <c r="K902" i="9"/>
  <c r="O902" i="9" s="1"/>
  <c r="L902" i="9" l="1"/>
  <c r="M902" i="9" s="1"/>
  <c r="N902" i="9" s="1"/>
  <c r="C903" i="9"/>
  <c r="D903" i="9" l="1"/>
  <c r="G903" i="9" s="1"/>
  <c r="H903" i="9" s="1"/>
  <c r="J903" i="9" s="1"/>
  <c r="I903" i="9" l="1"/>
  <c r="B904" i="9" l="1"/>
  <c r="K903" i="9"/>
  <c r="O903" i="9" s="1"/>
  <c r="L903" i="9" l="1"/>
  <c r="M903" i="9" s="1"/>
  <c r="N903" i="9" s="1"/>
  <c r="C904" i="9"/>
  <c r="D904" i="9" l="1"/>
  <c r="G904" i="9" s="1"/>
  <c r="H904" i="9" s="1"/>
  <c r="J904" i="9" s="1"/>
  <c r="I904" i="9" l="1"/>
  <c r="B905" i="9" l="1"/>
  <c r="K904" i="9"/>
  <c r="O904" i="9" s="1"/>
  <c r="L904" i="9" l="1"/>
  <c r="M904" i="9" s="1"/>
  <c r="N904" i="9" s="1"/>
  <c r="C905" i="9"/>
  <c r="D905" i="9" l="1"/>
  <c r="G905" i="9" s="1"/>
  <c r="H905" i="9" s="1"/>
  <c r="J905" i="9" s="1"/>
  <c r="I905" i="9" l="1"/>
  <c r="B906" i="9" l="1"/>
  <c r="K905" i="9"/>
  <c r="O905" i="9" s="1"/>
  <c r="L905" i="9" l="1"/>
  <c r="M905" i="9" s="1"/>
  <c r="N905" i="9" s="1"/>
  <c r="C906" i="9"/>
  <c r="D906" i="9" l="1"/>
  <c r="G906" i="9" s="1"/>
  <c r="H906" i="9" s="1"/>
  <c r="J906" i="9" s="1"/>
  <c r="I906" i="9" l="1"/>
  <c r="B907" i="9" l="1"/>
  <c r="K906" i="9"/>
  <c r="O906" i="9" s="1"/>
  <c r="L906" i="9" l="1"/>
  <c r="M906" i="9" s="1"/>
  <c r="N906" i="9" s="1"/>
  <c r="C907" i="9"/>
  <c r="D907" i="9" l="1"/>
  <c r="G907" i="9" s="1"/>
  <c r="H907" i="9" s="1"/>
  <c r="I907" i="9" s="1"/>
  <c r="B908" i="9" l="1"/>
  <c r="K907" i="9"/>
  <c r="O907" i="9" s="1"/>
  <c r="J907" i="9"/>
  <c r="L907" i="9" l="1"/>
  <c r="M907" i="9" s="1"/>
  <c r="N907" i="9" s="1"/>
  <c r="C908" i="9"/>
  <c r="D908" i="9" l="1"/>
  <c r="G908" i="9" s="1"/>
  <c r="H908" i="9" s="1"/>
  <c r="J908" i="9" s="1"/>
  <c r="I908" i="9" l="1"/>
  <c r="B909" i="9" l="1"/>
  <c r="K908" i="9"/>
  <c r="O908" i="9" s="1"/>
  <c r="L908" i="9" l="1"/>
  <c r="M908" i="9" s="1"/>
  <c r="N908" i="9" s="1"/>
  <c r="C909" i="9"/>
  <c r="D909" i="9" l="1"/>
  <c r="G909" i="9" s="1"/>
  <c r="H909" i="9" s="1"/>
  <c r="I909" i="9" s="1"/>
  <c r="B910" i="9" l="1"/>
  <c r="K909" i="9"/>
  <c r="O909" i="9" s="1"/>
  <c r="J909" i="9"/>
  <c r="L909" i="9" l="1"/>
  <c r="M909" i="9" s="1"/>
  <c r="N909" i="9" s="1"/>
  <c r="C910" i="9"/>
  <c r="D910" i="9" l="1"/>
  <c r="G910" i="9" s="1"/>
  <c r="H910" i="9" s="1"/>
  <c r="J910" i="9" s="1"/>
  <c r="I910" i="9" l="1"/>
  <c r="B911" i="9" l="1"/>
  <c r="K910" i="9"/>
  <c r="O910" i="9" s="1"/>
  <c r="L910" i="9" l="1"/>
  <c r="M910" i="9" s="1"/>
  <c r="N910" i="9" s="1"/>
  <c r="C911" i="9"/>
  <c r="D911" i="9" l="1"/>
  <c r="G911" i="9" s="1"/>
  <c r="H911" i="9" s="1"/>
  <c r="J911" i="9" s="1"/>
  <c r="I911" i="9" l="1"/>
  <c r="B912" i="9" l="1"/>
  <c r="K911" i="9"/>
  <c r="O911" i="9" s="1"/>
  <c r="L911" i="9" l="1"/>
  <c r="M911" i="9" s="1"/>
  <c r="N911" i="9" s="1"/>
  <c r="C912" i="9"/>
  <c r="D912" i="9" l="1"/>
  <c r="G912" i="9" s="1"/>
  <c r="H912" i="9" s="1"/>
  <c r="J912" i="9" s="1"/>
  <c r="I912" i="9" l="1"/>
  <c r="B913" i="9" l="1"/>
  <c r="K912" i="9"/>
  <c r="O912" i="9" s="1"/>
  <c r="L912" i="9" l="1"/>
  <c r="M912" i="9" s="1"/>
  <c r="N912" i="9" s="1"/>
  <c r="C913" i="9"/>
  <c r="D913" i="9" l="1"/>
  <c r="G913" i="9" s="1"/>
  <c r="H913" i="9" s="1"/>
  <c r="J913" i="9" s="1"/>
  <c r="I913" i="9" l="1"/>
  <c r="B914" i="9" l="1"/>
  <c r="K913" i="9"/>
  <c r="O913" i="9" s="1"/>
  <c r="L913" i="9" l="1"/>
  <c r="M913" i="9" s="1"/>
  <c r="N913" i="9" s="1"/>
  <c r="C914" i="9"/>
  <c r="D914" i="9" l="1"/>
  <c r="G914" i="9" s="1"/>
  <c r="H914" i="9" s="1"/>
  <c r="J914" i="9" s="1"/>
  <c r="I914" i="9" l="1"/>
  <c r="B915" i="9" l="1"/>
  <c r="K914" i="9"/>
  <c r="O914" i="9" s="1"/>
  <c r="L914" i="9" l="1"/>
  <c r="M914" i="9" s="1"/>
  <c r="N914" i="9" s="1"/>
  <c r="C915" i="9"/>
  <c r="D915" i="9" l="1"/>
  <c r="G915" i="9" s="1"/>
  <c r="H915" i="9" s="1"/>
  <c r="I915" i="9" s="1"/>
  <c r="B916" i="9" l="1"/>
  <c r="K915" i="9"/>
  <c r="O915" i="9" s="1"/>
  <c r="J915" i="9"/>
  <c r="L915" i="9" l="1"/>
  <c r="M915" i="9" s="1"/>
  <c r="N915" i="9" s="1"/>
  <c r="C916" i="9"/>
  <c r="D916" i="9" l="1"/>
  <c r="G916" i="9" s="1"/>
  <c r="H916" i="9" s="1"/>
  <c r="J916" i="9" s="1"/>
  <c r="I916" i="9" l="1"/>
  <c r="B917" i="9" s="1"/>
  <c r="K916" i="9" l="1"/>
  <c r="O916" i="9" s="1"/>
  <c r="C917" i="9"/>
  <c r="L916" i="9" l="1"/>
  <c r="M916" i="9" s="1"/>
  <c r="N916" i="9" s="1"/>
  <c r="D917" i="9"/>
  <c r="G917" i="9" s="1"/>
  <c r="H917" i="9" s="1"/>
  <c r="I917" i="9" s="1"/>
  <c r="B918" i="9" l="1"/>
  <c r="K917" i="9"/>
  <c r="O917" i="9" s="1"/>
  <c r="J917" i="9"/>
  <c r="L917" i="9" l="1"/>
  <c r="M917" i="9" s="1"/>
  <c r="N917" i="9" s="1"/>
  <c r="C918" i="9"/>
  <c r="D918" i="9" l="1"/>
  <c r="G918" i="9" s="1"/>
  <c r="H918" i="9" s="1"/>
  <c r="J918" i="9" s="1"/>
  <c r="I918" i="9" l="1"/>
  <c r="B919" i="9" l="1"/>
  <c r="K918" i="9"/>
  <c r="O918" i="9" s="1"/>
  <c r="L918" i="9" l="1"/>
  <c r="M918" i="9" s="1"/>
  <c r="N918" i="9" s="1"/>
  <c r="C919" i="9"/>
  <c r="D919" i="9" l="1"/>
  <c r="G919" i="9" s="1"/>
  <c r="H919" i="9" s="1"/>
  <c r="J919" i="9" s="1"/>
  <c r="I919" i="9" l="1"/>
  <c r="B920" i="9" l="1"/>
  <c r="K919" i="9"/>
  <c r="O919" i="9" s="1"/>
  <c r="L919" i="9" l="1"/>
  <c r="M919" i="9" s="1"/>
  <c r="N919" i="9" s="1"/>
  <c r="C920" i="9"/>
  <c r="D920" i="9" l="1"/>
  <c r="G920" i="9" s="1"/>
  <c r="H920" i="9" s="1"/>
  <c r="J920" i="9" s="1"/>
  <c r="I920" i="9" l="1"/>
  <c r="B921" i="9" l="1"/>
  <c r="K920" i="9"/>
  <c r="O920" i="9" s="1"/>
  <c r="L920" i="9" l="1"/>
  <c r="M920" i="9" s="1"/>
  <c r="N920" i="9" s="1"/>
  <c r="C921" i="9"/>
  <c r="D921" i="9" l="1"/>
  <c r="G921" i="9" s="1"/>
  <c r="H921" i="9" s="1"/>
  <c r="I921" i="9" s="1"/>
  <c r="B922" i="9" l="1"/>
  <c r="K921" i="9"/>
  <c r="O921" i="9" s="1"/>
  <c r="J921" i="9"/>
  <c r="L921" i="9" l="1"/>
  <c r="M921" i="9" s="1"/>
  <c r="N921" i="9" s="1"/>
  <c r="C922" i="9"/>
  <c r="D922" i="9" l="1"/>
  <c r="G922" i="9" s="1"/>
  <c r="H922" i="9" s="1"/>
  <c r="J922" i="9" s="1"/>
  <c r="I922" i="9" l="1"/>
  <c r="B923" i="9" l="1"/>
  <c r="K922" i="9"/>
  <c r="O922" i="9" s="1"/>
  <c r="L922" i="9" l="1"/>
  <c r="M922" i="9" s="1"/>
  <c r="N922" i="9" s="1"/>
  <c r="C923" i="9"/>
  <c r="D923" i="9" l="1"/>
  <c r="G923" i="9" s="1"/>
  <c r="H923" i="9" s="1"/>
  <c r="I923" i="9" s="1"/>
  <c r="B924" i="9" l="1"/>
  <c r="K923" i="9"/>
  <c r="O923" i="9" s="1"/>
  <c r="J923" i="9"/>
  <c r="L923" i="9" l="1"/>
  <c r="M923" i="9" s="1"/>
  <c r="N923" i="9" s="1"/>
  <c r="C924" i="9"/>
  <c r="D924" i="9" l="1"/>
  <c r="G924" i="9" s="1"/>
  <c r="H924" i="9" s="1"/>
  <c r="J924" i="9" s="1"/>
  <c r="I924" i="9" l="1"/>
  <c r="B925" i="9" l="1"/>
  <c r="K924" i="9"/>
  <c r="O924" i="9" s="1"/>
  <c r="L924" i="9" l="1"/>
  <c r="M924" i="9" s="1"/>
  <c r="N924" i="9" s="1"/>
  <c r="C925" i="9"/>
  <c r="D925" i="9" l="1"/>
  <c r="G925" i="9" s="1"/>
  <c r="H925" i="9" s="1"/>
  <c r="I925" i="9" s="1"/>
  <c r="B926" i="9" l="1"/>
  <c r="K925" i="9"/>
  <c r="O925" i="9" s="1"/>
  <c r="J925" i="9"/>
  <c r="L925" i="9" l="1"/>
  <c r="M925" i="9" s="1"/>
  <c r="N925" i="9" s="1"/>
  <c r="C926" i="9"/>
  <c r="D926" i="9" l="1"/>
  <c r="G926" i="9" s="1"/>
  <c r="H926" i="9" s="1"/>
  <c r="J926" i="9" s="1"/>
  <c r="I926" i="9" l="1"/>
  <c r="B927" i="9" l="1"/>
  <c r="K926" i="9"/>
  <c r="O926" i="9" s="1"/>
  <c r="L926" i="9" l="1"/>
  <c r="M926" i="9" s="1"/>
  <c r="N926" i="9" s="1"/>
  <c r="C927" i="9"/>
  <c r="D927" i="9" l="1"/>
  <c r="G927" i="9" s="1"/>
  <c r="H927" i="9" s="1"/>
  <c r="J927" i="9" s="1"/>
  <c r="I927" i="9" l="1"/>
  <c r="B928" i="9" l="1"/>
  <c r="K927" i="9"/>
  <c r="O927" i="9" s="1"/>
  <c r="L927" i="9" l="1"/>
  <c r="M927" i="9" s="1"/>
  <c r="N927" i="9" s="1"/>
  <c r="C928" i="9"/>
  <c r="D928" i="9" l="1"/>
  <c r="G928" i="9" s="1"/>
  <c r="H928" i="9" s="1"/>
  <c r="J928" i="9" s="1"/>
  <c r="I928" i="9" l="1"/>
  <c r="B929" i="9" l="1"/>
  <c r="K928" i="9"/>
  <c r="O928" i="9" s="1"/>
  <c r="L928" i="9" l="1"/>
  <c r="M928" i="9" s="1"/>
  <c r="N928" i="9" s="1"/>
  <c r="C929" i="9"/>
  <c r="D929" i="9" l="1"/>
  <c r="G929" i="9" s="1"/>
  <c r="H929" i="9" s="1"/>
  <c r="I929" i="9" s="1"/>
  <c r="B930" i="9" l="1"/>
  <c r="K929" i="9"/>
  <c r="O929" i="9" s="1"/>
  <c r="J929" i="9"/>
  <c r="L929" i="9" l="1"/>
  <c r="M929" i="9" s="1"/>
  <c r="N929" i="9" s="1"/>
  <c r="C930" i="9"/>
  <c r="D930" i="9" l="1"/>
  <c r="G930" i="9" s="1"/>
  <c r="H930" i="9" s="1"/>
  <c r="J930" i="9" s="1"/>
  <c r="I930" i="9" l="1"/>
  <c r="B931" i="9" l="1"/>
  <c r="K930" i="9"/>
  <c r="O930" i="9" s="1"/>
  <c r="L930" i="9" l="1"/>
  <c r="M930" i="9" s="1"/>
  <c r="N930" i="9" s="1"/>
  <c r="C931" i="9"/>
  <c r="D931" i="9" l="1"/>
  <c r="G931" i="9" s="1"/>
  <c r="H931" i="9" s="1"/>
  <c r="I931" i="9" s="1"/>
  <c r="B932" i="9" l="1"/>
  <c r="K931" i="9"/>
  <c r="O931" i="9" s="1"/>
  <c r="J931" i="9"/>
  <c r="L931" i="9" l="1"/>
  <c r="M931" i="9" s="1"/>
  <c r="N931" i="9" s="1"/>
  <c r="C932" i="9"/>
  <c r="D932" i="9" l="1"/>
  <c r="G932" i="9" s="1"/>
  <c r="H932" i="9" s="1"/>
  <c r="J932" i="9" s="1"/>
  <c r="I932" i="9" l="1"/>
  <c r="B933" i="9" s="1"/>
  <c r="K932" i="9" l="1"/>
  <c r="O932" i="9" s="1"/>
  <c r="C933" i="9"/>
  <c r="L932" i="9" l="1"/>
  <c r="M932" i="9" s="1"/>
  <c r="N932" i="9" s="1"/>
  <c r="D933" i="9"/>
  <c r="G933" i="9" s="1"/>
  <c r="H933" i="9" s="1"/>
  <c r="I933" i="9" s="1"/>
  <c r="B934" i="9" l="1"/>
  <c r="K933" i="9"/>
  <c r="O933" i="9" s="1"/>
  <c r="J933" i="9"/>
  <c r="L933" i="9" l="1"/>
  <c r="M933" i="9" s="1"/>
  <c r="N933" i="9" s="1"/>
  <c r="C934" i="9"/>
  <c r="D934" i="9" l="1"/>
  <c r="G934" i="9" s="1"/>
  <c r="H934" i="9" s="1"/>
  <c r="J934" i="9" s="1"/>
  <c r="I934" i="9" l="1"/>
  <c r="B935" i="9" l="1"/>
  <c r="K934" i="9"/>
  <c r="O934" i="9" s="1"/>
  <c r="L934" i="9" l="1"/>
  <c r="M934" i="9" s="1"/>
  <c r="N934" i="9" s="1"/>
  <c r="C935" i="9"/>
  <c r="D935" i="9" l="1"/>
  <c r="G935" i="9" s="1"/>
  <c r="H935" i="9" s="1"/>
  <c r="J935" i="9" s="1"/>
  <c r="I935" i="9" l="1"/>
  <c r="B936" i="9" l="1"/>
  <c r="K935" i="9"/>
  <c r="O935" i="9" s="1"/>
  <c r="L935" i="9" l="1"/>
  <c r="M935" i="9" s="1"/>
  <c r="N935" i="9" s="1"/>
  <c r="C936" i="9"/>
  <c r="D936" i="9" l="1"/>
  <c r="G936" i="9" s="1"/>
  <c r="H936" i="9" s="1"/>
  <c r="J936" i="9" s="1"/>
  <c r="I936" i="9" l="1"/>
  <c r="B937" i="9" s="1"/>
  <c r="K936" i="9" l="1"/>
  <c r="O936" i="9" s="1"/>
  <c r="C937" i="9"/>
  <c r="L936" i="9" l="1"/>
  <c r="M936" i="9" s="1"/>
  <c r="N936" i="9" s="1"/>
  <c r="D937" i="9"/>
  <c r="G937" i="9" s="1"/>
  <c r="H937" i="9" s="1"/>
  <c r="J937" i="9" s="1"/>
  <c r="I937" i="9" l="1"/>
  <c r="B938" i="9" l="1"/>
  <c r="K937" i="9"/>
  <c r="O937" i="9" s="1"/>
  <c r="L937" i="9" l="1"/>
  <c r="M937" i="9" s="1"/>
  <c r="N937" i="9" s="1"/>
  <c r="C938" i="9"/>
  <c r="D938" i="9" l="1"/>
  <c r="G938" i="9" s="1"/>
  <c r="H938" i="9" s="1"/>
  <c r="J938" i="9" s="1"/>
  <c r="I938" i="9" l="1"/>
  <c r="B939" i="9" l="1"/>
  <c r="K938" i="9"/>
  <c r="O938" i="9" s="1"/>
  <c r="L938" i="9" l="1"/>
  <c r="M938" i="9" s="1"/>
  <c r="N938" i="9" s="1"/>
  <c r="C939" i="9"/>
  <c r="D939" i="9" l="1"/>
  <c r="G939" i="9" s="1"/>
  <c r="H939" i="9" s="1"/>
  <c r="I939" i="9" s="1"/>
  <c r="B940" i="9" l="1"/>
  <c r="K939" i="9"/>
  <c r="O939" i="9" s="1"/>
  <c r="J939" i="9"/>
  <c r="L939" i="9" l="1"/>
  <c r="M939" i="9" s="1"/>
  <c r="N939" i="9" s="1"/>
  <c r="C940" i="9"/>
  <c r="D940" i="9" l="1"/>
  <c r="G940" i="9" s="1"/>
  <c r="H940" i="9" s="1"/>
  <c r="J940" i="9" s="1"/>
  <c r="I940" i="9" l="1"/>
  <c r="B941" i="9" l="1"/>
  <c r="K940" i="9"/>
  <c r="O940" i="9" s="1"/>
  <c r="L940" i="9" l="1"/>
  <c r="M940" i="9" s="1"/>
  <c r="N940" i="9" s="1"/>
  <c r="C941" i="9"/>
  <c r="D941" i="9" l="1"/>
  <c r="G941" i="9" s="1"/>
  <c r="H941" i="9" s="1"/>
  <c r="I941" i="9" s="1"/>
  <c r="B942" i="9" l="1"/>
  <c r="K941" i="9"/>
  <c r="O941" i="9" s="1"/>
  <c r="J941" i="9"/>
  <c r="L941" i="9" l="1"/>
  <c r="M941" i="9" s="1"/>
  <c r="N941" i="9" s="1"/>
  <c r="C942" i="9"/>
  <c r="D942" i="9" l="1"/>
  <c r="G942" i="9" s="1"/>
  <c r="H942" i="9" s="1"/>
  <c r="J942" i="9" s="1"/>
  <c r="I942" i="9" l="1"/>
  <c r="B943" i="9" l="1"/>
  <c r="K942" i="9"/>
  <c r="O942" i="9" s="1"/>
  <c r="L942" i="9" l="1"/>
  <c r="M942" i="9" s="1"/>
  <c r="N942" i="9" s="1"/>
  <c r="C943" i="9"/>
  <c r="D943" i="9" l="1"/>
  <c r="G943" i="9" s="1"/>
  <c r="H943" i="9" s="1"/>
  <c r="J943" i="9" s="1"/>
  <c r="I943" i="9" l="1"/>
  <c r="B944" i="9" l="1"/>
  <c r="K943" i="9"/>
  <c r="O943" i="9" s="1"/>
  <c r="L943" i="9" l="1"/>
  <c r="M943" i="9" s="1"/>
  <c r="N943" i="9" s="1"/>
  <c r="C944" i="9"/>
  <c r="D944" i="9" l="1"/>
  <c r="G944" i="9" s="1"/>
  <c r="H944" i="9" s="1"/>
  <c r="J944" i="9" s="1"/>
  <c r="I944" i="9" l="1"/>
  <c r="B945" i="9" s="1"/>
  <c r="K944" i="9" l="1"/>
  <c r="O944" i="9" s="1"/>
  <c r="C945" i="9"/>
  <c r="L944" i="9" l="1"/>
  <c r="M944" i="9" s="1"/>
  <c r="N944" i="9" s="1"/>
  <c r="D945" i="9"/>
  <c r="G945" i="9" s="1"/>
  <c r="H945" i="9" s="1"/>
  <c r="J945" i="9" s="1"/>
  <c r="I945" i="9" l="1"/>
  <c r="B946" i="9" l="1"/>
  <c r="K945" i="9"/>
  <c r="O945" i="9" s="1"/>
  <c r="L945" i="9" l="1"/>
  <c r="M945" i="9" s="1"/>
  <c r="N945" i="9" s="1"/>
  <c r="C946" i="9"/>
  <c r="D946" i="9" l="1"/>
  <c r="G946" i="9" s="1"/>
  <c r="H946" i="9" s="1"/>
  <c r="I946" i="9" s="1"/>
  <c r="B947" i="9" l="1"/>
  <c r="K946" i="9"/>
  <c r="O946" i="9" s="1"/>
  <c r="J946" i="9"/>
  <c r="L946" i="9" l="1"/>
  <c r="M946" i="9" s="1"/>
  <c r="N946" i="9" s="1"/>
  <c r="C947" i="9"/>
  <c r="D947" i="9" l="1"/>
  <c r="G947" i="9" s="1"/>
  <c r="H947" i="9" s="1"/>
  <c r="I947" i="9" s="1"/>
  <c r="B948" i="9" l="1"/>
  <c r="K947" i="9"/>
  <c r="O947" i="9" s="1"/>
  <c r="J947" i="9"/>
  <c r="L947" i="9" l="1"/>
  <c r="M947" i="9" s="1"/>
  <c r="N947" i="9" s="1"/>
  <c r="C948" i="9"/>
  <c r="D948" i="9" l="1"/>
  <c r="G948" i="9" s="1"/>
  <c r="H948" i="9" s="1"/>
  <c r="J948" i="9" s="1"/>
  <c r="I948" i="9" l="1"/>
  <c r="B949" i="9" s="1"/>
  <c r="K948" i="9" l="1"/>
  <c r="O948" i="9" s="1"/>
  <c r="C949" i="9"/>
  <c r="L948" i="9" l="1"/>
  <c r="M948" i="9" s="1"/>
  <c r="N948" i="9" s="1"/>
  <c r="D949" i="9"/>
  <c r="G949" i="9" s="1"/>
  <c r="H949" i="9" s="1"/>
  <c r="I949" i="9" s="1"/>
  <c r="B950" i="9" l="1"/>
  <c r="K949" i="9"/>
  <c r="O949" i="9" s="1"/>
  <c r="J949" i="9"/>
  <c r="L949" i="9" l="1"/>
  <c r="M949" i="9" s="1"/>
  <c r="N949" i="9" s="1"/>
  <c r="C950" i="9"/>
  <c r="D950" i="9" l="1"/>
  <c r="G950" i="9" s="1"/>
  <c r="H950" i="9" s="1"/>
  <c r="J950" i="9" s="1"/>
  <c r="I950" i="9" l="1"/>
  <c r="B951" i="9" l="1"/>
  <c r="K950" i="9"/>
  <c r="O950" i="9" s="1"/>
  <c r="L950" i="9" l="1"/>
  <c r="M950" i="9" s="1"/>
  <c r="N950" i="9" s="1"/>
  <c r="C951" i="9"/>
  <c r="D951" i="9" l="1"/>
  <c r="G951" i="9" s="1"/>
  <c r="H951" i="9" s="1"/>
  <c r="J951" i="9" s="1"/>
  <c r="I951" i="9" l="1"/>
  <c r="B952" i="9" l="1"/>
  <c r="K951" i="9"/>
  <c r="O951" i="9" s="1"/>
  <c r="L951" i="9" l="1"/>
  <c r="M951" i="9" s="1"/>
  <c r="N951" i="9" s="1"/>
  <c r="C952" i="9"/>
  <c r="D952" i="9" l="1"/>
  <c r="G952" i="9" s="1"/>
  <c r="H952" i="9" s="1"/>
  <c r="J952" i="9" s="1"/>
  <c r="I952" i="9" l="1"/>
  <c r="B953" i="9" l="1"/>
  <c r="K952" i="9"/>
  <c r="O952" i="9" s="1"/>
  <c r="L952" i="9" l="1"/>
  <c r="M952" i="9" s="1"/>
  <c r="N952" i="9" s="1"/>
  <c r="C953" i="9"/>
  <c r="D953" i="9" l="1"/>
  <c r="G953" i="9" s="1"/>
  <c r="H953" i="9" s="1"/>
  <c r="J953" i="9" s="1"/>
  <c r="I953" i="9" l="1"/>
  <c r="B954" i="9" l="1"/>
  <c r="K953" i="9"/>
  <c r="O953" i="9" s="1"/>
  <c r="L953" i="9" l="1"/>
  <c r="M953" i="9" s="1"/>
  <c r="N953" i="9" s="1"/>
  <c r="C954" i="9"/>
  <c r="D954" i="9" l="1"/>
  <c r="G954" i="9" s="1"/>
  <c r="H954" i="9" s="1"/>
  <c r="I954" i="9" s="1"/>
  <c r="B955" i="9" l="1"/>
  <c r="K954" i="9"/>
  <c r="O954" i="9" s="1"/>
  <c r="J954" i="9"/>
  <c r="L954" i="9" l="1"/>
  <c r="M954" i="9" s="1"/>
  <c r="N954" i="9" s="1"/>
  <c r="C955" i="9"/>
  <c r="D955" i="9" l="1"/>
  <c r="G955" i="9" s="1"/>
  <c r="H955" i="9" s="1"/>
  <c r="I955" i="9" s="1"/>
  <c r="B956" i="9" l="1"/>
  <c r="K955" i="9"/>
  <c r="O955" i="9" s="1"/>
  <c r="J955" i="9"/>
  <c r="L955" i="9" l="1"/>
  <c r="M955" i="9" s="1"/>
  <c r="N955" i="9" s="1"/>
  <c r="C956" i="9"/>
  <c r="D956" i="9" l="1"/>
  <c r="G956" i="9" s="1"/>
  <c r="H956" i="9" s="1"/>
  <c r="J956" i="9" s="1"/>
  <c r="I956" i="9" l="1"/>
  <c r="B957" i="9" l="1"/>
  <c r="K956" i="9"/>
  <c r="O956" i="9" s="1"/>
  <c r="L956" i="9" l="1"/>
  <c r="M956" i="9" s="1"/>
  <c r="N956" i="9" s="1"/>
  <c r="C957" i="9"/>
  <c r="D957" i="9" l="1"/>
  <c r="G957" i="9" s="1"/>
  <c r="H957" i="9" s="1"/>
  <c r="I957" i="9" s="1"/>
  <c r="B958" i="9" l="1"/>
  <c r="K957" i="9"/>
  <c r="O957" i="9" s="1"/>
  <c r="J957" i="9"/>
  <c r="L957" i="9" l="1"/>
  <c r="M957" i="9" s="1"/>
  <c r="N957" i="9" s="1"/>
  <c r="C958" i="9"/>
  <c r="D958" i="9" l="1"/>
  <c r="G958" i="9" s="1"/>
  <c r="H958" i="9" s="1"/>
  <c r="J958" i="9" s="1"/>
  <c r="I958" i="9" l="1"/>
  <c r="B959" i="9" l="1"/>
  <c r="K958" i="9"/>
  <c r="O958" i="9" s="1"/>
  <c r="L958" i="9" l="1"/>
  <c r="M958" i="9" s="1"/>
  <c r="N958" i="9" s="1"/>
  <c r="C959" i="9"/>
  <c r="D959" i="9" l="1"/>
  <c r="G959" i="9" s="1"/>
  <c r="H959" i="9" s="1"/>
  <c r="J959" i="9" s="1"/>
  <c r="I959" i="9" l="1"/>
  <c r="B960" i="9" l="1"/>
  <c r="K959" i="9"/>
  <c r="O959" i="9" s="1"/>
  <c r="L959" i="9" l="1"/>
  <c r="M959" i="9" s="1"/>
  <c r="N959" i="9" s="1"/>
  <c r="C960" i="9"/>
  <c r="D960" i="9" l="1"/>
  <c r="G960" i="9" s="1"/>
  <c r="H960" i="9" s="1"/>
  <c r="J960" i="9" s="1"/>
  <c r="I960" i="9" l="1"/>
  <c r="B961" i="9" l="1"/>
  <c r="K960" i="9"/>
  <c r="O960" i="9" s="1"/>
  <c r="L960" i="9" l="1"/>
  <c r="M960" i="9" s="1"/>
  <c r="N960" i="9" s="1"/>
  <c r="C961" i="9"/>
  <c r="D961" i="9" l="1"/>
  <c r="G961" i="9" s="1"/>
  <c r="H961" i="9" s="1"/>
  <c r="J961" i="9" s="1"/>
  <c r="I961" i="9" l="1"/>
  <c r="B962" i="9" s="1"/>
  <c r="K961" i="9" l="1"/>
  <c r="O961" i="9" s="1"/>
  <c r="C962" i="9"/>
  <c r="L961" i="9" l="1"/>
  <c r="M961" i="9" s="1"/>
  <c r="N961" i="9" s="1"/>
  <c r="D962" i="9"/>
  <c r="G962" i="9" s="1"/>
  <c r="H962" i="9" s="1"/>
  <c r="J962" i="9" s="1"/>
  <c r="I962" i="9" l="1"/>
  <c r="B963" i="9" l="1"/>
  <c r="K962" i="9"/>
  <c r="O962" i="9" s="1"/>
  <c r="L962" i="9" l="1"/>
  <c r="M962" i="9" s="1"/>
  <c r="N962" i="9" s="1"/>
  <c r="C963" i="9"/>
  <c r="D963" i="9" l="1"/>
  <c r="G963" i="9" s="1"/>
  <c r="H963" i="9" s="1"/>
  <c r="I963" i="9" s="1"/>
  <c r="B964" i="9" l="1"/>
  <c r="K963" i="9"/>
  <c r="O963" i="9" s="1"/>
  <c r="J963" i="9"/>
  <c r="L963" i="9" l="1"/>
  <c r="M963" i="9" s="1"/>
  <c r="N963" i="9" s="1"/>
  <c r="C964" i="9"/>
  <c r="D964" i="9" l="1"/>
  <c r="G964" i="9" s="1"/>
  <c r="H964" i="9" s="1"/>
  <c r="I964" i="9" s="1"/>
  <c r="J964" i="9" l="1"/>
  <c r="B965" i="9"/>
  <c r="K964" i="9"/>
  <c r="O964" i="9" s="1"/>
  <c r="L964" i="9" l="1"/>
  <c r="M964" i="9" s="1"/>
  <c r="N964" i="9" s="1"/>
  <c r="C965" i="9"/>
  <c r="D965" i="9" l="1"/>
  <c r="G965" i="9" s="1"/>
  <c r="H965" i="9" s="1"/>
  <c r="I965" i="9" s="1"/>
  <c r="B966" i="9" l="1"/>
  <c r="K965" i="9"/>
  <c r="O965" i="9" s="1"/>
  <c r="J965" i="9"/>
  <c r="L965" i="9" l="1"/>
  <c r="M965" i="9" s="1"/>
  <c r="N965" i="9" s="1"/>
  <c r="C966" i="9"/>
  <c r="D966" i="9" l="1"/>
  <c r="G966" i="9" s="1"/>
  <c r="H966" i="9" s="1"/>
  <c r="J966" i="9" s="1"/>
  <c r="I966" i="9" l="1"/>
  <c r="B967" i="9" l="1"/>
  <c r="K966" i="9"/>
  <c r="O966" i="9" s="1"/>
  <c r="L966" i="9" l="1"/>
  <c r="M966" i="9" s="1"/>
  <c r="N966" i="9" s="1"/>
  <c r="C967" i="9"/>
  <c r="D967" i="9" l="1"/>
  <c r="G967" i="9" s="1"/>
  <c r="H967" i="9" s="1"/>
  <c r="J967" i="9" s="1"/>
  <c r="I967" i="9" l="1"/>
  <c r="B968" i="9" l="1"/>
  <c r="K967" i="9"/>
  <c r="O967" i="9" s="1"/>
  <c r="L967" i="9" l="1"/>
  <c r="M967" i="9" s="1"/>
  <c r="N967" i="9" s="1"/>
  <c r="C968" i="9"/>
  <c r="D968" i="9" l="1"/>
  <c r="G968" i="9" s="1"/>
  <c r="H968" i="9" s="1"/>
  <c r="J968" i="9" s="1"/>
  <c r="I968" i="9" l="1"/>
  <c r="B969" i="9" l="1"/>
  <c r="K968" i="9"/>
  <c r="O968" i="9" s="1"/>
  <c r="L968" i="9" l="1"/>
  <c r="M968" i="9" s="1"/>
  <c r="N968" i="9" s="1"/>
  <c r="C969" i="9"/>
  <c r="D969" i="9" l="1"/>
  <c r="G969" i="9" s="1"/>
  <c r="H969" i="9" s="1"/>
  <c r="J969" i="9" s="1"/>
  <c r="I969" i="9" l="1"/>
  <c r="B970" i="9" l="1"/>
  <c r="K969" i="9"/>
  <c r="O969" i="9" s="1"/>
  <c r="L969" i="9" l="1"/>
  <c r="M969" i="9" s="1"/>
  <c r="N969" i="9" s="1"/>
  <c r="C970" i="9"/>
  <c r="D970" i="9" l="1"/>
  <c r="G970" i="9" s="1"/>
  <c r="H970" i="9" s="1"/>
  <c r="J970" i="9" s="1"/>
  <c r="I970" i="9" l="1"/>
  <c r="B971" i="9" l="1"/>
  <c r="K970" i="9"/>
  <c r="O970" i="9" s="1"/>
  <c r="L970" i="9" l="1"/>
  <c r="M970" i="9" s="1"/>
  <c r="N970" i="9" s="1"/>
  <c r="C971" i="9"/>
  <c r="D971" i="9" l="1"/>
  <c r="G971" i="9" s="1"/>
  <c r="H971" i="9" s="1"/>
  <c r="I971" i="9" s="1"/>
  <c r="B972" i="9" l="1"/>
  <c r="K971" i="9"/>
  <c r="O971" i="9" s="1"/>
  <c r="J971" i="9"/>
  <c r="L971" i="9" l="1"/>
  <c r="M971" i="9" s="1"/>
  <c r="N971" i="9" s="1"/>
  <c r="C972" i="9"/>
  <c r="D972" i="9" l="1"/>
  <c r="G972" i="9" s="1"/>
  <c r="H972" i="9" s="1"/>
  <c r="J972" i="9" s="1"/>
  <c r="I972" i="9" l="1"/>
  <c r="B973" i="9" l="1"/>
  <c r="K972" i="9"/>
  <c r="O972" i="9" s="1"/>
  <c r="L972" i="9" l="1"/>
  <c r="M972" i="9" s="1"/>
  <c r="N972" i="9" s="1"/>
  <c r="C973" i="9"/>
  <c r="D973" i="9" l="1"/>
  <c r="G973" i="9" s="1"/>
  <c r="H973" i="9" s="1"/>
  <c r="I973" i="9" s="1"/>
  <c r="B974" i="9" l="1"/>
  <c r="K973" i="9"/>
  <c r="O973" i="9" s="1"/>
  <c r="J973" i="9"/>
  <c r="L973" i="9" l="1"/>
  <c r="M973" i="9" s="1"/>
  <c r="N973" i="9" s="1"/>
  <c r="C974" i="9"/>
  <c r="D974" i="9" l="1"/>
  <c r="G974" i="9" s="1"/>
  <c r="H974" i="9" s="1"/>
  <c r="J974" i="9" s="1"/>
  <c r="I974" i="9" l="1"/>
  <c r="B975" i="9" l="1"/>
  <c r="K974" i="9"/>
  <c r="O974" i="9" s="1"/>
  <c r="L974" i="9" l="1"/>
  <c r="M974" i="9" s="1"/>
  <c r="N974" i="9" s="1"/>
  <c r="C975" i="9"/>
  <c r="D975" i="9" l="1"/>
  <c r="G975" i="9" s="1"/>
  <c r="H975" i="9" s="1"/>
  <c r="J975" i="9" s="1"/>
  <c r="I975" i="9" l="1"/>
  <c r="B976" i="9" l="1"/>
  <c r="K975" i="9"/>
  <c r="O975" i="9" s="1"/>
  <c r="L975" i="9" l="1"/>
  <c r="M975" i="9" s="1"/>
  <c r="N975" i="9" s="1"/>
  <c r="C976" i="9"/>
  <c r="D976" i="9" l="1"/>
  <c r="G976" i="9" s="1"/>
  <c r="H976" i="9" s="1"/>
  <c r="I976" i="9" s="1"/>
  <c r="B977" i="9" l="1"/>
  <c r="K976" i="9"/>
  <c r="O976" i="9" s="1"/>
  <c r="J976" i="9"/>
  <c r="L976" i="9" l="1"/>
  <c r="M976" i="9" s="1"/>
  <c r="N976" i="9" s="1"/>
  <c r="C977" i="9"/>
  <c r="D977" i="9" l="1"/>
  <c r="G977" i="9" s="1"/>
  <c r="H977" i="9" s="1"/>
  <c r="J977" i="9" s="1"/>
  <c r="I977" i="9" l="1"/>
  <c r="B978" i="9" l="1"/>
  <c r="K977" i="9"/>
  <c r="O977" i="9" s="1"/>
  <c r="L977" i="9" l="1"/>
  <c r="M977" i="9" s="1"/>
  <c r="N977" i="9" s="1"/>
  <c r="C978" i="9"/>
  <c r="D978" i="9" l="1"/>
  <c r="G978" i="9" s="1"/>
  <c r="H978" i="9" s="1"/>
  <c r="J978" i="9" s="1"/>
  <c r="I978" i="9" l="1"/>
  <c r="B979" i="9" l="1"/>
  <c r="K978" i="9"/>
  <c r="O978" i="9" s="1"/>
  <c r="L978" i="9" l="1"/>
  <c r="M978" i="9" s="1"/>
  <c r="N978" i="9" s="1"/>
  <c r="C979" i="9"/>
  <c r="D979" i="9" l="1"/>
  <c r="G979" i="9" s="1"/>
  <c r="H979" i="9" s="1"/>
  <c r="J979" i="9" s="1"/>
  <c r="I979" i="9" l="1"/>
  <c r="B980" i="9" l="1"/>
  <c r="K979" i="9"/>
  <c r="O979" i="9" s="1"/>
  <c r="L979" i="9" l="1"/>
  <c r="M979" i="9" s="1"/>
  <c r="N979" i="9" s="1"/>
  <c r="C980" i="9"/>
  <c r="D980" i="9" l="1"/>
  <c r="G980" i="9" s="1"/>
  <c r="H980" i="9" s="1"/>
  <c r="J980" i="9" s="1"/>
  <c r="I980" i="9" l="1"/>
  <c r="B981" i="9" l="1"/>
  <c r="K980" i="9"/>
  <c r="O980" i="9" s="1"/>
  <c r="L980" i="9" l="1"/>
  <c r="M980" i="9" s="1"/>
  <c r="N980" i="9" s="1"/>
  <c r="C981" i="9"/>
  <c r="D981" i="9" l="1"/>
  <c r="G981" i="9" s="1"/>
  <c r="H981" i="9" s="1"/>
  <c r="J981" i="9" s="1"/>
  <c r="I981" i="9" l="1"/>
  <c r="B982" i="9" l="1"/>
  <c r="K981" i="9"/>
  <c r="O981" i="9" s="1"/>
  <c r="L981" i="9" l="1"/>
  <c r="M981" i="9" s="1"/>
  <c r="N981" i="9" s="1"/>
  <c r="C982" i="9"/>
  <c r="D982" i="9" l="1"/>
  <c r="G982" i="9" s="1"/>
  <c r="H982" i="9" s="1"/>
  <c r="I982" i="9" s="1"/>
  <c r="B983" i="9" l="1"/>
  <c r="K982" i="9"/>
  <c r="O982" i="9" s="1"/>
  <c r="J982" i="9"/>
  <c r="L982" i="9" l="1"/>
  <c r="M982" i="9" s="1"/>
  <c r="N982" i="9" s="1"/>
  <c r="C983" i="9"/>
  <c r="D983" i="9" l="1"/>
  <c r="G983" i="9" s="1"/>
  <c r="H983" i="9" s="1"/>
  <c r="J983" i="9" s="1"/>
  <c r="I983" i="9" l="1"/>
  <c r="B984" i="9" l="1"/>
  <c r="K983" i="9"/>
  <c r="O983" i="9" s="1"/>
  <c r="L983" i="9" l="1"/>
  <c r="M983" i="9" s="1"/>
  <c r="N983" i="9" s="1"/>
  <c r="C984" i="9"/>
  <c r="D984" i="9" l="1"/>
  <c r="G984" i="9" s="1"/>
  <c r="H984" i="9" s="1"/>
  <c r="I984" i="9" s="1"/>
  <c r="B985" i="9" l="1"/>
  <c r="K984" i="9"/>
  <c r="O984" i="9" s="1"/>
  <c r="J984" i="9"/>
  <c r="L984" i="9" l="1"/>
  <c r="M984" i="9" s="1"/>
  <c r="N984" i="9" s="1"/>
  <c r="C985" i="9"/>
  <c r="D985" i="9" l="1"/>
  <c r="G985" i="9" s="1"/>
  <c r="H985" i="9" s="1"/>
  <c r="J985" i="9" s="1"/>
  <c r="I985" i="9" l="1"/>
  <c r="B986" i="9" l="1"/>
  <c r="K985" i="9"/>
  <c r="O985" i="9" s="1"/>
  <c r="L985" i="9" l="1"/>
  <c r="M985" i="9" s="1"/>
  <c r="N985" i="9" s="1"/>
  <c r="C986" i="9"/>
  <c r="D986" i="9" l="1"/>
  <c r="G986" i="9" s="1"/>
  <c r="H986" i="9" s="1"/>
  <c r="J986" i="9" s="1"/>
  <c r="I986" i="9" l="1"/>
  <c r="B987" i="9" s="1"/>
  <c r="K986" i="9" l="1"/>
  <c r="O986" i="9" s="1"/>
  <c r="C987" i="9"/>
  <c r="L986" i="9" l="1"/>
  <c r="M986" i="9" s="1"/>
  <c r="N986" i="9" s="1"/>
  <c r="D987" i="9"/>
  <c r="G987" i="9" s="1"/>
  <c r="H987" i="9" s="1"/>
  <c r="I987" i="9" s="1"/>
  <c r="B988" i="9" l="1"/>
  <c r="K987" i="9"/>
  <c r="O987" i="9" s="1"/>
  <c r="J987" i="9"/>
  <c r="L987" i="9" l="1"/>
  <c r="M987" i="9" s="1"/>
  <c r="N987" i="9" s="1"/>
  <c r="C988" i="9"/>
  <c r="D988" i="9" l="1"/>
  <c r="G988" i="9" s="1"/>
  <c r="H988" i="9" s="1"/>
  <c r="J988" i="9" s="1"/>
  <c r="I988" i="9" l="1"/>
  <c r="B989" i="9" l="1"/>
  <c r="K988" i="9"/>
  <c r="O988" i="9" s="1"/>
  <c r="L988" i="9" l="1"/>
  <c r="M988" i="9" s="1"/>
  <c r="N988" i="9" s="1"/>
  <c r="C989" i="9"/>
  <c r="D989" i="9" l="1"/>
  <c r="G989" i="9" s="1"/>
  <c r="H989" i="9" s="1"/>
  <c r="J989" i="9" s="1"/>
  <c r="I989" i="9" l="1"/>
  <c r="B990" i="9" l="1"/>
  <c r="K989" i="9"/>
  <c r="O989" i="9" s="1"/>
  <c r="L989" i="9" l="1"/>
  <c r="M989" i="9" s="1"/>
  <c r="N989" i="9" s="1"/>
  <c r="C990" i="9"/>
  <c r="D990" i="9" l="1"/>
  <c r="G990" i="9" s="1"/>
  <c r="H990" i="9" s="1"/>
  <c r="I990" i="9" s="1"/>
  <c r="B991" i="9" l="1"/>
  <c r="K990" i="9"/>
  <c r="O990" i="9" s="1"/>
  <c r="J990" i="9"/>
  <c r="L990" i="9" l="1"/>
  <c r="M990" i="9" s="1"/>
  <c r="N990" i="9" s="1"/>
  <c r="C991" i="9"/>
  <c r="D991" i="9" l="1"/>
  <c r="G991" i="9" s="1"/>
  <c r="H991" i="9" s="1"/>
  <c r="J991" i="9" s="1"/>
  <c r="I991" i="9" l="1"/>
  <c r="B992" i="9" l="1"/>
  <c r="K991" i="9"/>
  <c r="O991" i="9" s="1"/>
  <c r="L991" i="9" l="1"/>
  <c r="M991" i="9" s="1"/>
  <c r="N991" i="9" s="1"/>
  <c r="C992" i="9"/>
  <c r="D992" i="9" l="1"/>
  <c r="G992" i="9" s="1"/>
  <c r="H992" i="9" s="1"/>
  <c r="I992" i="9" s="1"/>
  <c r="B993" i="9" l="1"/>
  <c r="K992" i="9"/>
  <c r="O992" i="9" s="1"/>
  <c r="J992" i="9"/>
  <c r="L992" i="9" l="1"/>
  <c r="M992" i="9" s="1"/>
  <c r="N992" i="9" s="1"/>
  <c r="C993" i="9"/>
  <c r="D993" i="9" l="1"/>
  <c r="G993" i="9" s="1"/>
  <c r="H993" i="9" s="1"/>
  <c r="J993" i="9" s="1"/>
  <c r="I993" i="9" l="1"/>
  <c r="B994" i="9" l="1"/>
  <c r="K993" i="9"/>
  <c r="O993" i="9" s="1"/>
  <c r="L993" i="9" l="1"/>
  <c r="M993" i="9" s="1"/>
  <c r="N993" i="9" s="1"/>
  <c r="C994" i="9"/>
  <c r="D994" i="9" l="1"/>
  <c r="G994" i="9" s="1"/>
  <c r="H994" i="9" s="1"/>
  <c r="J994" i="9" s="1"/>
  <c r="I994" i="9" l="1"/>
  <c r="B995" i="9" s="1"/>
  <c r="K994" i="9" l="1"/>
  <c r="O994" i="9" s="1"/>
  <c r="C995" i="9"/>
  <c r="L994" i="9" l="1"/>
  <c r="M994" i="9" s="1"/>
  <c r="N994" i="9" s="1"/>
  <c r="D995" i="9"/>
  <c r="G995" i="9" s="1"/>
  <c r="H995" i="9" s="1"/>
  <c r="J995" i="9" s="1"/>
  <c r="I995" i="9" l="1"/>
  <c r="B996" i="9" s="1"/>
  <c r="K995" i="9" l="1"/>
  <c r="O995" i="9" s="1"/>
  <c r="C996" i="9"/>
  <c r="L995" i="9" l="1"/>
  <c r="M995" i="9" s="1"/>
  <c r="N995" i="9" s="1"/>
  <c r="D996" i="9"/>
  <c r="G996" i="9" s="1"/>
  <c r="H996" i="9" s="1"/>
  <c r="J996" i="9" s="1"/>
  <c r="I996" i="9" l="1"/>
  <c r="B997" i="9" l="1"/>
  <c r="K996" i="9"/>
  <c r="O996" i="9" s="1"/>
  <c r="L996" i="9" l="1"/>
  <c r="M996" i="9" s="1"/>
  <c r="N996" i="9" s="1"/>
  <c r="C997" i="9"/>
  <c r="D997" i="9" l="1"/>
  <c r="G997" i="9" s="1"/>
  <c r="H997" i="9" s="1"/>
  <c r="J997" i="9" s="1"/>
  <c r="I997" i="9" l="1"/>
  <c r="B998" i="9" l="1"/>
  <c r="K997" i="9"/>
  <c r="O997" i="9" s="1"/>
  <c r="L997" i="9" l="1"/>
  <c r="M997" i="9" s="1"/>
  <c r="N997" i="9" s="1"/>
  <c r="C998" i="9"/>
  <c r="D998" i="9" l="1"/>
  <c r="G998" i="9" s="1"/>
  <c r="H998" i="9" s="1"/>
  <c r="J998" i="9" s="1"/>
  <c r="I998" i="9" l="1"/>
  <c r="B999" i="9" l="1"/>
  <c r="K998" i="9"/>
  <c r="O998" i="9" s="1"/>
  <c r="L998" i="9" l="1"/>
  <c r="M998" i="9" s="1"/>
  <c r="N998" i="9" s="1"/>
  <c r="C999" i="9"/>
  <c r="D999" i="9" l="1"/>
  <c r="G999" i="9" s="1"/>
  <c r="H999" i="9" s="1"/>
  <c r="J999" i="9" s="1"/>
  <c r="I999" i="9" l="1"/>
  <c r="B1000" i="9" l="1"/>
  <c r="K999" i="9"/>
  <c r="O999" i="9" s="1"/>
  <c r="L999" i="9" l="1"/>
  <c r="M999" i="9" s="1"/>
  <c r="N999" i="9" s="1"/>
  <c r="C1000" i="9"/>
  <c r="D1000" i="9" l="1"/>
  <c r="G1000" i="9" s="1"/>
  <c r="H1000" i="9" s="1"/>
  <c r="I1000" i="9" s="1"/>
  <c r="J1000" i="9" l="1"/>
  <c r="B1001" i="9"/>
  <c r="K1000" i="9"/>
  <c r="O1000" i="9" s="1"/>
  <c r="L1000" i="9" l="1"/>
  <c r="M1000" i="9" s="1"/>
  <c r="N1000" i="9" s="1"/>
  <c r="C1001" i="9"/>
  <c r="D1001" i="9" l="1"/>
  <c r="G1001" i="9" s="1"/>
  <c r="H1001" i="9" s="1"/>
  <c r="J1001" i="9" s="1"/>
  <c r="I1001" i="9" l="1"/>
  <c r="B1002" i="9" l="1"/>
  <c r="K1001" i="9"/>
  <c r="O1001" i="9" s="1"/>
  <c r="L1001" i="9" l="1"/>
  <c r="M1001" i="9" s="1"/>
  <c r="N1001" i="9" s="1"/>
  <c r="C1002" i="9"/>
  <c r="D1002" i="9" l="1"/>
  <c r="G1002" i="9" s="1"/>
  <c r="H1002" i="9" s="1"/>
  <c r="I1002" i="9" s="1"/>
  <c r="B1003" i="9" l="1"/>
  <c r="K1002" i="9"/>
  <c r="O1002" i="9" s="1"/>
  <c r="J1002" i="9"/>
  <c r="L1002" i="9" l="1"/>
  <c r="M1002" i="9" s="1"/>
  <c r="N1002" i="9" s="1"/>
  <c r="C1003" i="9"/>
  <c r="D1003" i="9" l="1"/>
  <c r="G1003" i="9" s="1"/>
  <c r="H1003" i="9" s="1"/>
  <c r="J1003" i="9" s="1"/>
  <c r="I1003" i="9" l="1"/>
  <c r="B1004" i="9" l="1"/>
  <c r="K1003" i="9"/>
  <c r="O1003" i="9" s="1"/>
  <c r="L1003" i="9" l="1"/>
  <c r="M1003" i="9" s="1"/>
  <c r="N1003" i="9" s="1"/>
  <c r="C1004" i="9"/>
  <c r="D1004" i="9" l="1"/>
  <c r="G1004" i="9" s="1"/>
  <c r="H1004" i="9" s="1"/>
  <c r="J1004" i="9" s="1"/>
  <c r="I1004" i="9" l="1"/>
  <c r="B1005" i="9" l="1"/>
  <c r="K1004" i="9"/>
  <c r="O1004" i="9" s="1"/>
  <c r="L1004" i="9" l="1"/>
  <c r="M1004" i="9" s="1"/>
  <c r="N1004" i="9" s="1"/>
  <c r="C1005" i="9"/>
  <c r="D1005" i="9" l="1"/>
  <c r="G1005" i="9" s="1"/>
  <c r="H1005" i="9" s="1"/>
  <c r="J1005" i="9" s="1"/>
  <c r="I1005" i="9" l="1"/>
  <c r="B1006" i="9" l="1"/>
  <c r="K1005" i="9"/>
  <c r="O1005" i="9" s="1"/>
  <c r="C1006" i="9" l="1"/>
  <c r="L1005" i="9"/>
  <c r="M1005" i="9" s="1"/>
  <c r="N1005" i="9" s="1"/>
  <c r="D1006" i="9" l="1"/>
  <c r="G1006" i="9" s="1"/>
  <c r="H1006" i="9" s="1"/>
  <c r="I1006" i="9" s="1"/>
  <c r="B1007" i="9" l="1"/>
  <c r="K1006" i="9"/>
  <c r="O1006" i="9" s="1"/>
  <c r="J1006" i="9"/>
  <c r="L1006" i="9" l="1"/>
  <c r="M1006" i="9" s="1"/>
  <c r="N1006" i="9" s="1"/>
  <c r="C1007" i="9"/>
  <c r="D1007" i="9" l="1"/>
  <c r="G1007" i="9" s="1"/>
  <c r="H1007" i="9" s="1"/>
  <c r="J1007" i="9" s="1"/>
  <c r="I1007" i="9" l="1"/>
  <c r="B1008" i="9" l="1"/>
  <c r="K1007" i="9"/>
  <c r="O1007" i="9" s="1"/>
  <c r="L1007" i="9" l="1"/>
  <c r="M1007" i="9" s="1"/>
  <c r="N1007" i="9" s="1"/>
  <c r="C1008" i="9"/>
  <c r="D1008" i="9" l="1"/>
  <c r="G1008" i="9" s="1"/>
  <c r="H1008" i="9" s="1"/>
  <c r="J1008" i="9" s="1"/>
  <c r="I1008" i="9" l="1"/>
  <c r="B1009" i="9" l="1"/>
  <c r="K1008" i="9"/>
  <c r="O1008" i="9" s="1"/>
  <c r="L1008" i="9" l="1"/>
  <c r="M1008" i="9" s="1"/>
  <c r="N1008" i="9" s="1"/>
  <c r="C1009" i="9"/>
  <c r="D1009" i="9" l="1"/>
  <c r="G1009" i="9" s="1"/>
  <c r="H1009" i="9" s="1"/>
  <c r="J1009" i="9" s="1"/>
  <c r="I1009" i="9" l="1"/>
  <c r="B1010" i="9" l="1"/>
  <c r="K1009" i="9"/>
  <c r="O1009" i="9" s="1"/>
  <c r="L1009" i="9" l="1"/>
  <c r="M1009" i="9" s="1"/>
  <c r="N1009" i="9" s="1"/>
  <c r="C1010" i="9"/>
  <c r="D1010" i="9" l="1"/>
  <c r="G1010" i="9" s="1"/>
  <c r="H1010" i="9" s="1"/>
  <c r="J1010" i="9" s="1"/>
  <c r="I1010" i="9" l="1"/>
  <c r="B1011" i="9" l="1"/>
  <c r="K1010" i="9"/>
  <c r="O1010" i="9" s="1"/>
  <c r="L1010" i="9" l="1"/>
  <c r="M1010" i="9" s="1"/>
  <c r="N1010" i="9" s="1"/>
  <c r="C1011" i="9"/>
  <c r="D1011" i="9" l="1"/>
  <c r="G1011" i="9" s="1"/>
  <c r="H1011" i="9" s="1"/>
  <c r="J1011" i="9" s="1"/>
  <c r="I1011" i="9" l="1"/>
  <c r="B1012" i="9" l="1"/>
  <c r="K1011" i="9"/>
  <c r="O1011" i="9" s="1"/>
  <c r="L1011" i="9" l="1"/>
  <c r="M1011" i="9" s="1"/>
  <c r="N1011" i="9" s="1"/>
  <c r="C1012" i="9"/>
  <c r="D1012" i="9" l="1"/>
  <c r="G1012" i="9" s="1"/>
  <c r="H1012" i="9" s="1"/>
  <c r="J1012" i="9" s="1"/>
  <c r="I1012" i="9" l="1"/>
  <c r="B1013" i="9" l="1"/>
  <c r="K1012" i="9"/>
  <c r="O1012" i="9" s="1"/>
  <c r="L1012" i="9" l="1"/>
  <c r="M1012" i="9" s="1"/>
  <c r="N1012" i="9" s="1"/>
  <c r="C1013" i="9"/>
  <c r="D1013" i="9" l="1"/>
  <c r="G1013" i="9" s="1"/>
  <c r="H1013" i="9" s="1"/>
  <c r="J1013" i="9" s="1"/>
  <c r="I1013" i="9" l="1"/>
  <c r="B1014" i="9" l="1"/>
  <c r="K1013" i="9"/>
  <c r="O1013" i="9" s="1"/>
  <c r="L1013" i="9" l="1"/>
  <c r="M1013" i="9" s="1"/>
  <c r="N1013" i="9" s="1"/>
  <c r="C1014" i="9"/>
  <c r="D1014" i="9" l="1"/>
  <c r="G1014" i="9" s="1"/>
  <c r="H1014" i="9" s="1"/>
  <c r="J1014" i="9" s="1"/>
  <c r="I1014" i="9" l="1"/>
  <c r="B1015" i="9" l="1"/>
  <c r="K1014" i="9"/>
  <c r="O1014" i="9" s="1"/>
  <c r="L1014" i="9" l="1"/>
  <c r="M1014" i="9" s="1"/>
  <c r="N1014" i="9" s="1"/>
  <c r="C1015" i="9"/>
  <c r="D1015" i="9" l="1"/>
  <c r="G1015" i="9" s="1"/>
  <c r="H1015" i="9" s="1"/>
  <c r="J1015" i="9" s="1"/>
  <c r="I1015" i="9" l="1"/>
  <c r="B1016" i="9" l="1"/>
  <c r="K1015" i="9"/>
  <c r="O1015" i="9" s="1"/>
  <c r="L1015" i="9" l="1"/>
  <c r="M1015" i="9" s="1"/>
  <c r="N1015" i="9" s="1"/>
  <c r="C1016" i="9"/>
  <c r="D1016" i="9" l="1"/>
  <c r="G1016" i="9" s="1"/>
  <c r="H1016" i="9" s="1"/>
  <c r="J1016" i="9" s="1"/>
  <c r="I1016" i="9" l="1"/>
  <c r="B1017" i="9" l="1"/>
  <c r="K1016" i="9"/>
  <c r="O1016" i="9" s="1"/>
  <c r="L1016" i="9" l="1"/>
  <c r="M1016" i="9" s="1"/>
  <c r="N1016" i="9" s="1"/>
  <c r="C1017" i="9"/>
  <c r="D1017" i="9" l="1"/>
  <c r="G1017" i="9" s="1"/>
  <c r="H1017" i="9" s="1"/>
  <c r="J1017" i="9" s="1"/>
  <c r="I1017" i="9" l="1"/>
  <c r="B1018" i="9" l="1"/>
  <c r="K1017" i="9"/>
  <c r="O1017" i="9" s="1"/>
  <c r="L1017" i="9" l="1"/>
  <c r="M1017" i="9" s="1"/>
  <c r="N1017" i="9" s="1"/>
  <c r="C1018" i="9"/>
  <c r="D1018" i="9" l="1"/>
  <c r="G1018" i="9" s="1"/>
  <c r="H1018" i="9" s="1"/>
  <c r="J1018" i="9" s="1"/>
  <c r="I1018" i="9" l="1"/>
  <c r="B1019" i="9" l="1"/>
  <c r="K1018" i="9"/>
  <c r="O1018" i="9" s="1"/>
  <c r="L1018" i="9" l="1"/>
  <c r="M1018" i="9" s="1"/>
  <c r="N1018" i="9" s="1"/>
  <c r="C1019" i="9"/>
  <c r="D1019" i="9" l="1"/>
  <c r="G1019" i="9" s="1"/>
  <c r="H1019" i="9" s="1"/>
  <c r="J1019" i="9" s="1"/>
  <c r="I1019" i="9" l="1"/>
  <c r="B1020" i="9" l="1"/>
  <c r="K1019" i="9"/>
  <c r="O1019" i="9" s="1"/>
  <c r="L1019" i="9" l="1"/>
  <c r="M1019" i="9" s="1"/>
  <c r="N1019" i="9" s="1"/>
  <c r="C1020" i="9"/>
  <c r="D1020" i="9" l="1"/>
  <c r="G1020" i="9" s="1"/>
  <c r="H1020" i="9" s="1"/>
  <c r="J1020" i="9" s="1"/>
  <c r="I1020" i="9" l="1"/>
  <c r="B1021" i="9" l="1"/>
  <c r="K1020" i="9"/>
  <c r="O1020" i="9" s="1"/>
  <c r="L1020" i="9" l="1"/>
  <c r="M1020" i="9" s="1"/>
  <c r="N1020" i="9" s="1"/>
  <c r="C1021" i="9"/>
  <c r="D1021" i="9" l="1"/>
  <c r="G1021" i="9" s="1"/>
  <c r="H1021" i="9" s="1"/>
  <c r="J1021" i="9" s="1"/>
  <c r="I1021" i="9" l="1"/>
  <c r="B1022" i="9" l="1"/>
  <c r="K1021" i="9"/>
  <c r="O1021" i="9" s="1"/>
  <c r="L1021" i="9" l="1"/>
  <c r="M1021" i="9" s="1"/>
  <c r="N1021" i="9" s="1"/>
  <c r="C1022" i="9"/>
  <c r="D1022" i="9" l="1"/>
  <c r="G1022" i="9" s="1"/>
  <c r="H1022" i="9" s="1"/>
  <c r="J1022" i="9" s="1"/>
  <c r="I1022" i="9" l="1"/>
  <c r="B1023" i="9" l="1"/>
  <c r="K1022" i="9"/>
  <c r="O1022" i="9" s="1"/>
  <c r="L1022" i="9" l="1"/>
  <c r="M1022" i="9" s="1"/>
  <c r="N1022" i="9" s="1"/>
  <c r="C1023" i="9"/>
  <c r="D1023" i="9" l="1"/>
  <c r="G1023" i="9" s="1"/>
  <c r="H1023" i="9" s="1"/>
  <c r="J1023" i="9" s="1"/>
  <c r="I1023" i="9" l="1"/>
  <c r="B1024" i="9" l="1"/>
  <c r="K1023" i="9"/>
  <c r="O1023" i="9" s="1"/>
  <c r="L1023" i="9" l="1"/>
  <c r="M1023" i="9" s="1"/>
  <c r="N1023" i="9" s="1"/>
  <c r="C1024" i="9"/>
  <c r="D1024" i="9" l="1"/>
  <c r="G1024" i="9" s="1"/>
  <c r="H1024" i="9" s="1"/>
  <c r="J1024" i="9" s="1"/>
  <c r="I1024" i="9" l="1"/>
  <c r="B1025" i="9" l="1"/>
  <c r="K1024" i="9"/>
  <c r="O1024" i="9" s="1"/>
  <c r="L1024" i="9" l="1"/>
  <c r="M1024" i="9" s="1"/>
  <c r="N1024" i="9" s="1"/>
  <c r="C1025" i="9"/>
  <c r="D1025" i="9" l="1"/>
  <c r="G1025" i="9" s="1"/>
  <c r="H1025" i="9" s="1"/>
  <c r="J1025" i="9" s="1"/>
  <c r="I1025" i="9" l="1"/>
  <c r="B1026" i="9" l="1"/>
  <c r="K1025" i="9"/>
  <c r="O1025" i="9" s="1"/>
  <c r="L1025" i="9" l="1"/>
  <c r="M1025" i="9" s="1"/>
  <c r="N1025" i="9" s="1"/>
  <c r="C1026" i="9"/>
  <c r="D1026" i="9" l="1"/>
  <c r="G1026" i="9" s="1"/>
  <c r="H1026" i="9" s="1"/>
  <c r="J1026" i="9" s="1"/>
  <c r="I1026" i="9" l="1"/>
  <c r="B1027" i="9" s="1"/>
  <c r="K1026" i="9" l="1"/>
  <c r="O1026" i="9" s="1"/>
  <c r="C1027" i="9"/>
  <c r="L1026" i="9" l="1"/>
  <c r="M1026" i="9" s="1"/>
  <c r="N1026" i="9" s="1"/>
  <c r="D1027" i="9"/>
  <c r="G1027" i="9" s="1"/>
  <c r="H1027" i="9" s="1"/>
  <c r="J1027" i="9" s="1"/>
  <c r="I1027" i="9" l="1"/>
  <c r="B1028" i="9" l="1"/>
  <c r="K1027" i="9"/>
  <c r="O1027" i="9" s="1"/>
  <c r="L1027" i="9" l="1"/>
  <c r="M1027" i="9" s="1"/>
  <c r="N1027" i="9" s="1"/>
  <c r="C1028" i="9"/>
  <c r="D1028" i="9" l="1"/>
  <c r="G1028" i="9" s="1"/>
  <c r="H1028" i="9" s="1"/>
  <c r="J1028" i="9" s="1"/>
  <c r="I1028" i="9" l="1"/>
  <c r="B1029" i="9" l="1"/>
  <c r="K1028" i="9"/>
  <c r="O1028" i="9" s="1"/>
  <c r="L1028" i="9" l="1"/>
  <c r="M1028" i="9" s="1"/>
  <c r="N1028" i="9" s="1"/>
  <c r="C1029" i="9"/>
  <c r="D1029" i="9" l="1"/>
  <c r="G1029" i="9" s="1"/>
  <c r="H1029" i="9" s="1"/>
  <c r="J1029" i="9" s="1"/>
  <c r="I1029" i="9" l="1"/>
  <c r="B1030" i="9" l="1"/>
  <c r="K1029" i="9"/>
  <c r="O1029" i="9" s="1"/>
  <c r="L1029" i="9" l="1"/>
  <c r="M1029" i="9" s="1"/>
  <c r="N1029" i="9" s="1"/>
  <c r="C1030" i="9"/>
  <c r="D1030" i="9" l="1"/>
  <c r="G1030" i="9" s="1"/>
  <c r="H1030" i="9" s="1"/>
  <c r="J1030" i="9" s="1"/>
  <c r="I1030" i="9" l="1"/>
  <c r="B1031" i="9" l="1"/>
  <c r="K1030" i="9"/>
  <c r="O1030" i="9" s="1"/>
  <c r="L1030" i="9" l="1"/>
  <c r="M1030" i="9" s="1"/>
  <c r="N1030" i="9" s="1"/>
  <c r="C1031" i="9"/>
  <c r="D1031" i="9" l="1"/>
  <c r="G1031" i="9" s="1"/>
  <c r="H1031" i="9" s="1"/>
  <c r="J1031" i="9" s="1"/>
  <c r="I1031" i="9" l="1"/>
  <c r="B1032" i="9" l="1"/>
  <c r="K1031" i="9"/>
  <c r="O1031" i="9" s="1"/>
  <c r="L1031" i="9" l="1"/>
  <c r="M1031" i="9" s="1"/>
  <c r="N1031" i="9" s="1"/>
  <c r="C1032" i="9"/>
  <c r="D1032" i="9" l="1"/>
  <c r="G1032" i="9" s="1"/>
  <c r="H1032" i="9" s="1"/>
  <c r="J1032" i="9" s="1"/>
  <c r="I1032" i="9" l="1"/>
  <c r="B1033" i="9" l="1"/>
  <c r="K1032" i="9"/>
  <c r="O1032" i="9" s="1"/>
  <c r="L1032" i="9" l="1"/>
  <c r="M1032" i="9" s="1"/>
  <c r="N1032" i="9" s="1"/>
  <c r="C1033" i="9"/>
  <c r="D1033" i="9" l="1"/>
  <c r="G1033" i="9" s="1"/>
  <c r="H1033" i="9" s="1"/>
  <c r="J1033" i="9" s="1"/>
  <c r="I1033" i="9" l="1"/>
  <c r="B1034" i="9" l="1"/>
  <c r="K1033" i="9"/>
  <c r="O1033" i="9" s="1"/>
  <c r="L1033" i="9" l="1"/>
  <c r="M1033" i="9" s="1"/>
  <c r="N1033" i="9" s="1"/>
  <c r="C1034" i="9"/>
  <c r="D1034" i="9" l="1"/>
  <c r="G1034" i="9" s="1"/>
  <c r="H1034" i="9" s="1"/>
  <c r="J1034" i="9" s="1"/>
  <c r="I1034" i="9" l="1"/>
  <c r="B1035" i="9" l="1"/>
  <c r="K1034" i="9"/>
  <c r="O1034" i="9" s="1"/>
  <c r="L1034" i="9" l="1"/>
  <c r="M1034" i="9" s="1"/>
  <c r="N1034" i="9" s="1"/>
  <c r="C1035" i="9"/>
  <c r="D1035" i="9" l="1"/>
  <c r="G1035" i="9" s="1"/>
  <c r="H1035" i="9" s="1"/>
  <c r="J1035" i="9" s="1"/>
  <c r="I1035" i="9" l="1"/>
  <c r="B1036" i="9" l="1"/>
  <c r="K1035" i="9"/>
  <c r="O1035" i="9" s="1"/>
  <c r="L1035" i="9" l="1"/>
  <c r="M1035" i="9" s="1"/>
  <c r="N1035" i="9" s="1"/>
  <c r="C1036" i="9"/>
  <c r="D1036" i="9" l="1"/>
  <c r="G1036" i="9" s="1"/>
  <c r="H1036" i="9" s="1"/>
  <c r="J1036" i="9" s="1"/>
  <c r="I1036" i="9" l="1"/>
  <c r="B1037" i="9" s="1"/>
  <c r="K1036" i="9" l="1"/>
  <c r="O1036" i="9" s="1"/>
  <c r="C1037" i="9"/>
  <c r="L1036" i="9" l="1"/>
  <c r="M1036" i="9" s="1"/>
  <c r="N1036" i="9" s="1"/>
  <c r="D1037" i="9"/>
  <c r="G1037" i="9" s="1"/>
  <c r="H1037" i="9" s="1"/>
  <c r="J1037" i="9" s="1"/>
  <c r="I1037" i="9" l="1"/>
  <c r="B1038" i="9" l="1"/>
  <c r="K1037" i="9"/>
  <c r="O1037" i="9" s="1"/>
  <c r="L1037" i="9" l="1"/>
  <c r="M1037" i="9" s="1"/>
  <c r="N1037" i="9" s="1"/>
  <c r="C1038" i="9"/>
  <c r="D1038" i="9" l="1"/>
  <c r="G1038" i="9" s="1"/>
  <c r="H1038" i="9" s="1"/>
  <c r="J1038" i="9" s="1"/>
  <c r="I1038" i="9" l="1"/>
  <c r="B1039" i="9" s="1"/>
  <c r="K1038" i="9" l="1"/>
  <c r="O1038" i="9" s="1"/>
  <c r="C1039" i="9"/>
  <c r="L1038" i="9" l="1"/>
  <c r="M1038" i="9" s="1"/>
  <c r="N1038" i="9" s="1"/>
  <c r="D1039" i="9"/>
  <c r="G1039" i="9" s="1"/>
  <c r="H1039" i="9" s="1"/>
  <c r="J1039" i="9" s="1"/>
  <c r="I1039" i="9" l="1"/>
  <c r="B1040" i="9" s="1"/>
  <c r="K1039" i="9" l="1"/>
  <c r="O1039" i="9" s="1"/>
  <c r="C1040" i="9"/>
  <c r="L1039" i="9" l="1"/>
  <c r="M1039" i="9" s="1"/>
  <c r="N1039" i="9" s="1"/>
  <c r="D1040" i="9"/>
  <c r="G1040" i="9" s="1"/>
  <c r="H1040" i="9" s="1"/>
  <c r="J1040" i="9" s="1"/>
  <c r="I1040" i="9" l="1"/>
  <c r="B1041" i="9" l="1"/>
  <c r="K1040" i="9"/>
  <c r="O1040" i="9" s="1"/>
  <c r="L1040" i="9" l="1"/>
  <c r="M1040" i="9" s="1"/>
  <c r="N1040" i="9" s="1"/>
  <c r="C1041" i="9"/>
  <c r="D1041" i="9" l="1"/>
  <c r="G1041" i="9" s="1"/>
  <c r="H1041" i="9" s="1"/>
  <c r="J1041" i="9" s="1"/>
  <c r="I1041" i="9" l="1"/>
  <c r="B1042" i="9" l="1"/>
  <c r="K1041" i="9"/>
  <c r="O1041" i="9" s="1"/>
  <c r="L1041" i="9" l="1"/>
  <c r="M1041" i="9" s="1"/>
  <c r="N1041" i="9" s="1"/>
  <c r="C1042" i="9"/>
  <c r="D1042" i="9" l="1"/>
  <c r="G1042" i="9" s="1"/>
  <c r="H1042" i="9" s="1"/>
  <c r="J1042" i="9" s="1"/>
  <c r="I1042" i="9" l="1"/>
  <c r="B1043" i="9" l="1"/>
  <c r="K1042" i="9"/>
  <c r="O1042" i="9" s="1"/>
  <c r="L1042" i="9" l="1"/>
  <c r="M1042" i="9" s="1"/>
  <c r="N1042" i="9" s="1"/>
  <c r="C1043" i="9"/>
  <c r="D1043" i="9" l="1"/>
  <c r="G1043" i="9" s="1"/>
  <c r="H1043" i="9" s="1"/>
  <c r="J1043" i="9" s="1"/>
  <c r="I1043" i="9" l="1"/>
  <c r="B1044" i="9" l="1"/>
  <c r="K1043" i="9"/>
  <c r="O1043" i="9" s="1"/>
  <c r="L1043" i="9" l="1"/>
  <c r="M1043" i="9" s="1"/>
  <c r="N1043" i="9" s="1"/>
  <c r="C1044" i="9"/>
  <c r="D1044" i="9" l="1"/>
  <c r="G1044" i="9" s="1"/>
  <c r="H1044" i="9" s="1"/>
  <c r="J1044" i="9" s="1"/>
  <c r="I1044" i="9" l="1"/>
  <c r="B1045" i="9" l="1"/>
  <c r="K1044" i="9"/>
  <c r="O1044" i="9" s="1"/>
  <c r="L1044" i="9" l="1"/>
  <c r="M1044" i="9" s="1"/>
  <c r="N1044" i="9" s="1"/>
  <c r="C1045" i="9"/>
  <c r="D1045" i="9" l="1"/>
  <c r="G1045" i="9" s="1"/>
  <c r="H1045" i="9" s="1"/>
  <c r="J1045" i="9" s="1"/>
  <c r="I1045" i="9" l="1"/>
  <c r="B1046" i="9" l="1"/>
  <c r="K1045" i="9"/>
  <c r="O1045" i="9" s="1"/>
  <c r="L1045" i="9" l="1"/>
  <c r="M1045" i="9" s="1"/>
  <c r="N1045" i="9" s="1"/>
  <c r="C1046" i="9"/>
  <c r="D1046" i="9" l="1"/>
  <c r="G1046" i="9" s="1"/>
  <c r="H1046" i="9" s="1"/>
  <c r="J1046" i="9" s="1"/>
  <c r="I1046" i="9" l="1"/>
  <c r="B1047" i="9" l="1"/>
  <c r="K1046" i="9"/>
  <c r="O1046" i="9" s="1"/>
  <c r="L1046" i="9" l="1"/>
  <c r="M1046" i="9" s="1"/>
  <c r="N1046" i="9" s="1"/>
  <c r="C1047" i="9"/>
  <c r="D1047" i="9" l="1"/>
  <c r="G1047" i="9" s="1"/>
  <c r="H1047" i="9" s="1"/>
  <c r="J1047" i="9" s="1"/>
  <c r="I1047" i="9" l="1"/>
  <c r="B1048" i="9" l="1"/>
  <c r="K1047" i="9"/>
  <c r="O1047" i="9" s="1"/>
  <c r="L1047" i="9" l="1"/>
  <c r="M1047" i="9" s="1"/>
  <c r="N1047" i="9" s="1"/>
  <c r="C1048" i="9"/>
  <c r="D1048" i="9" l="1"/>
  <c r="G1048" i="9" s="1"/>
  <c r="H1048" i="9" s="1"/>
  <c r="J1048" i="9" s="1"/>
  <c r="I1048" i="9" l="1"/>
  <c r="B1049" i="9" l="1"/>
  <c r="K1048" i="9"/>
  <c r="O1048" i="9" s="1"/>
  <c r="L1048" i="9" l="1"/>
  <c r="M1048" i="9" s="1"/>
  <c r="N1048" i="9" s="1"/>
  <c r="C1049" i="9"/>
  <c r="D1049" i="9" l="1"/>
  <c r="G1049" i="9" s="1"/>
  <c r="H1049" i="9" s="1"/>
  <c r="J1049" i="9" s="1"/>
  <c r="I1049" i="9" l="1"/>
  <c r="B1050" i="9" l="1"/>
  <c r="K1049" i="9"/>
  <c r="O1049" i="9" s="1"/>
  <c r="L1049" i="9" l="1"/>
  <c r="M1049" i="9" s="1"/>
  <c r="N1049" i="9" s="1"/>
  <c r="C1050" i="9"/>
  <c r="D1050" i="9" l="1"/>
  <c r="G1050" i="9" s="1"/>
  <c r="H1050" i="9" s="1"/>
  <c r="J1050" i="9" s="1"/>
  <c r="I1050" i="9" l="1"/>
  <c r="B1051" i="9" s="1"/>
  <c r="K1050" i="9" l="1"/>
  <c r="O1050" i="9" s="1"/>
  <c r="C1051" i="9"/>
  <c r="L1050" i="9" l="1"/>
  <c r="M1050" i="9" s="1"/>
  <c r="N1050" i="9" s="1"/>
  <c r="D1051" i="9"/>
  <c r="G1051" i="9" s="1"/>
  <c r="H1051" i="9" s="1"/>
  <c r="J1051" i="9" s="1"/>
  <c r="I1051" i="9" l="1"/>
  <c r="B1052" i="9" l="1"/>
  <c r="K1051" i="9"/>
  <c r="O1051" i="9" s="1"/>
  <c r="L1051" i="9" l="1"/>
  <c r="M1051" i="9" s="1"/>
  <c r="N1051" i="9" s="1"/>
  <c r="C1052" i="9"/>
  <c r="D1052" i="9" l="1"/>
  <c r="G1052" i="9" s="1"/>
  <c r="H1052" i="9" s="1"/>
  <c r="J1052" i="9" s="1"/>
  <c r="I1052" i="9" l="1"/>
  <c r="B1053" i="9" l="1"/>
  <c r="K1052" i="9"/>
  <c r="O1052" i="9" s="1"/>
  <c r="L1052" i="9" l="1"/>
  <c r="M1052" i="9" s="1"/>
  <c r="N1052" i="9" s="1"/>
  <c r="C1053" i="9"/>
  <c r="D1053" i="9" l="1"/>
  <c r="G1053" i="9" s="1"/>
  <c r="H1053" i="9" s="1"/>
  <c r="J1053" i="9" s="1"/>
  <c r="I1053" i="9" l="1"/>
  <c r="B1054" i="9" l="1"/>
  <c r="K1053" i="9"/>
  <c r="O1053" i="9" s="1"/>
  <c r="L1053" i="9" l="1"/>
  <c r="M1053" i="9" s="1"/>
  <c r="N1053" i="9" s="1"/>
  <c r="C1054" i="9"/>
  <c r="D1054" i="9" l="1"/>
  <c r="G1054" i="9" s="1"/>
  <c r="H1054" i="9" s="1"/>
  <c r="J1054" i="9" s="1"/>
  <c r="I1054" i="9" l="1"/>
  <c r="B1055" i="9" l="1"/>
  <c r="K1054" i="9"/>
  <c r="O1054" i="9" s="1"/>
  <c r="L1054" i="9" l="1"/>
  <c r="M1054" i="9" s="1"/>
  <c r="N1054" i="9" s="1"/>
  <c r="C1055" i="9"/>
  <c r="D1055" i="9" l="1"/>
  <c r="G1055" i="9" s="1"/>
  <c r="H1055" i="9" s="1"/>
  <c r="J1055" i="9" s="1"/>
  <c r="I1055" i="9" l="1"/>
  <c r="B1056" i="9" l="1"/>
  <c r="K1055" i="9"/>
  <c r="O1055" i="9" s="1"/>
  <c r="L1055" i="9" l="1"/>
  <c r="M1055" i="9" s="1"/>
  <c r="N1055" i="9" s="1"/>
  <c r="C1056" i="9"/>
  <c r="D1056" i="9" l="1"/>
  <c r="G1056" i="9" s="1"/>
  <c r="H1056" i="9" s="1"/>
  <c r="J1056" i="9" s="1"/>
  <c r="I1056" i="9" l="1"/>
  <c r="B1057" i="9" l="1"/>
  <c r="K1056" i="9"/>
  <c r="O1056" i="9" s="1"/>
  <c r="L1056" i="9" l="1"/>
  <c r="M1056" i="9" s="1"/>
  <c r="N1056" i="9" s="1"/>
  <c r="C1057" i="9"/>
  <c r="D1057" i="9" l="1"/>
  <c r="G1057" i="9" s="1"/>
  <c r="H1057" i="9" s="1"/>
  <c r="J1057" i="9" s="1"/>
  <c r="I1057" i="9" l="1"/>
  <c r="B1058" i="9" l="1"/>
  <c r="K1057" i="9"/>
  <c r="O1057" i="9" s="1"/>
  <c r="L1057" i="9" l="1"/>
  <c r="M1057" i="9" s="1"/>
  <c r="N1057" i="9" s="1"/>
  <c r="C1058" i="9"/>
  <c r="D1058" i="9" l="1"/>
  <c r="G1058" i="9" s="1"/>
  <c r="H1058" i="9" s="1"/>
  <c r="J1058" i="9" s="1"/>
  <c r="I1058" i="9" l="1"/>
  <c r="B1059" i="9" l="1"/>
  <c r="K1058" i="9"/>
  <c r="O1058" i="9" s="1"/>
  <c r="L1058" i="9" l="1"/>
  <c r="M1058" i="9" s="1"/>
  <c r="N1058" i="9" s="1"/>
  <c r="C1059" i="9"/>
  <c r="D1059" i="9" l="1"/>
  <c r="G1059" i="9" s="1"/>
  <c r="H1059" i="9" s="1"/>
  <c r="J1059" i="9" s="1"/>
  <c r="I1059" i="9" l="1"/>
  <c r="B1060" i="9" l="1"/>
  <c r="K1059" i="9"/>
  <c r="O1059" i="9" s="1"/>
  <c r="L1059" i="9" l="1"/>
  <c r="M1059" i="9" s="1"/>
  <c r="N1059" i="9" s="1"/>
  <c r="C1060" i="9"/>
  <c r="D1060" i="9" l="1"/>
  <c r="G1060" i="9" s="1"/>
  <c r="H1060" i="9" s="1"/>
  <c r="J1060" i="9" s="1"/>
  <c r="I1060" i="9" l="1"/>
  <c r="B1061" i="9" s="1"/>
  <c r="K1060" i="9" l="1"/>
  <c r="O1060" i="9" s="1"/>
  <c r="C1061" i="9"/>
  <c r="L1060" i="9" l="1"/>
  <c r="M1060" i="9" s="1"/>
  <c r="N1060" i="9" s="1"/>
  <c r="D1061" i="9"/>
  <c r="G1061" i="9" s="1"/>
  <c r="H1061" i="9" s="1"/>
  <c r="J1061" i="9" s="1"/>
  <c r="I1061" i="9" l="1"/>
  <c r="B1062" i="9" l="1"/>
  <c r="K1061" i="9"/>
  <c r="O1061" i="9" s="1"/>
  <c r="L1061" i="9" l="1"/>
  <c r="M1061" i="9" s="1"/>
  <c r="N1061" i="9" s="1"/>
  <c r="C1062" i="9"/>
  <c r="D1062" i="9" l="1"/>
  <c r="G1062" i="9" s="1"/>
  <c r="H1062" i="9" s="1"/>
  <c r="J1062" i="9" s="1"/>
  <c r="I1062" i="9" l="1"/>
  <c r="B1063" i="9" l="1"/>
  <c r="K1062" i="9"/>
  <c r="O1062" i="9" s="1"/>
  <c r="L1062" i="9" l="1"/>
  <c r="M1062" i="9" s="1"/>
  <c r="N1062" i="9" s="1"/>
  <c r="C1063" i="9"/>
  <c r="D1063" i="9" l="1"/>
  <c r="G1063" i="9" s="1"/>
  <c r="H1063" i="9" s="1"/>
  <c r="J1063" i="9" s="1"/>
  <c r="I1063" i="9" l="1"/>
  <c r="B1064" i="9" l="1"/>
  <c r="K1063" i="9"/>
  <c r="O1063" i="9" s="1"/>
  <c r="L1063" i="9" l="1"/>
  <c r="M1063" i="9" s="1"/>
  <c r="N1063" i="9" s="1"/>
  <c r="C1064" i="9"/>
  <c r="D1064" i="9" l="1"/>
  <c r="G1064" i="9" s="1"/>
  <c r="H1064" i="9" s="1"/>
  <c r="J1064" i="9" s="1"/>
  <c r="I1064" i="9" l="1"/>
  <c r="B1065" i="9" l="1"/>
  <c r="K1064" i="9"/>
  <c r="O1064" i="9" s="1"/>
  <c r="L1064" i="9" l="1"/>
  <c r="M1064" i="9" s="1"/>
  <c r="N1064" i="9" s="1"/>
  <c r="C1065" i="9"/>
  <c r="D1065" i="9" l="1"/>
  <c r="G1065" i="9" s="1"/>
  <c r="H1065" i="9" s="1"/>
  <c r="J1065" i="9" s="1"/>
  <c r="I1065" i="9" l="1"/>
  <c r="B1066" i="9" l="1"/>
  <c r="K1065" i="9"/>
  <c r="O1065" i="9" s="1"/>
  <c r="L1065" i="9" l="1"/>
  <c r="M1065" i="9" s="1"/>
  <c r="N1065" i="9" s="1"/>
  <c r="C1066" i="9"/>
  <c r="D1066" i="9" l="1"/>
  <c r="G1066" i="9" s="1"/>
  <c r="H1066" i="9" s="1"/>
  <c r="J1066" i="9" s="1"/>
  <c r="I1066" i="9" l="1"/>
  <c r="B1067" i="9" s="1"/>
  <c r="K1066" i="9" l="1"/>
  <c r="O1066" i="9" s="1"/>
  <c r="C1067" i="9"/>
  <c r="L1066" i="9" l="1"/>
  <c r="M1066" i="9" s="1"/>
  <c r="N1066" i="9" s="1"/>
  <c r="D1067" i="9"/>
  <c r="G1067" i="9" s="1"/>
  <c r="H1067" i="9" s="1"/>
  <c r="J1067" i="9" s="1"/>
  <c r="I1067" i="9" l="1"/>
  <c r="B1068" i="9" l="1"/>
  <c r="K1067" i="9"/>
  <c r="O1067" i="9" s="1"/>
  <c r="L1067" i="9" l="1"/>
  <c r="M1067" i="9" s="1"/>
  <c r="N1067" i="9" s="1"/>
  <c r="C1068" i="9"/>
  <c r="D1068" i="9" l="1"/>
  <c r="G1068" i="9" s="1"/>
  <c r="H1068" i="9" s="1"/>
  <c r="J1068" i="9" s="1"/>
  <c r="I1068" i="9" l="1"/>
  <c r="B1069" i="9" l="1"/>
  <c r="K1068" i="9"/>
  <c r="O1068" i="9" s="1"/>
  <c r="L1068" i="9" l="1"/>
  <c r="M1068" i="9" s="1"/>
  <c r="N1068" i="9" s="1"/>
  <c r="C1069" i="9"/>
  <c r="D1069" i="9" l="1"/>
  <c r="G1069" i="9" s="1"/>
  <c r="H1069" i="9" s="1"/>
  <c r="J1069" i="9" s="1"/>
  <c r="I1069" i="9" l="1"/>
  <c r="B1070" i="9" l="1"/>
  <c r="K1069" i="9"/>
  <c r="O1069" i="9" s="1"/>
  <c r="L1069" i="9" l="1"/>
  <c r="M1069" i="9" s="1"/>
  <c r="N1069" i="9" s="1"/>
  <c r="C1070" i="9"/>
  <c r="D1070" i="9" l="1"/>
  <c r="G1070" i="9" s="1"/>
  <c r="H1070" i="9" s="1"/>
  <c r="J1070" i="9" s="1"/>
  <c r="I1070" i="9" l="1"/>
  <c r="B1071" i="9" l="1"/>
  <c r="K1070" i="9"/>
  <c r="O1070" i="9" s="1"/>
  <c r="L1070" i="9" l="1"/>
  <c r="M1070" i="9" s="1"/>
  <c r="N1070" i="9" s="1"/>
  <c r="C1071" i="9"/>
  <c r="D1071" i="9" l="1"/>
  <c r="G1071" i="9" s="1"/>
  <c r="H1071" i="9" s="1"/>
  <c r="J1071" i="9" s="1"/>
  <c r="I1071" i="9" l="1"/>
  <c r="B1072" i="9" l="1"/>
  <c r="K1071" i="9"/>
  <c r="O1071" i="9" s="1"/>
  <c r="L1071" i="9" l="1"/>
  <c r="M1071" i="9" s="1"/>
  <c r="N1071" i="9" s="1"/>
  <c r="C1072" i="9"/>
  <c r="D1072" i="9" l="1"/>
  <c r="G1072" i="9" s="1"/>
  <c r="H1072" i="9" s="1"/>
  <c r="J1072" i="9" s="1"/>
  <c r="I1072" i="9" l="1"/>
  <c r="B1073" i="9" l="1"/>
  <c r="K1072" i="9"/>
  <c r="O1072" i="9" s="1"/>
  <c r="L1072" i="9" l="1"/>
  <c r="M1072" i="9" s="1"/>
  <c r="N1072" i="9" s="1"/>
  <c r="C1073" i="9"/>
  <c r="D1073" i="9" l="1"/>
  <c r="G1073" i="9" s="1"/>
  <c r="H1073" i="9" s="1"/>
  <c r="J1073" i="9" s="1"/>
  <c r="I1073" i="9" l="1"/>
  <c r="B1074" i="9" l="1"/>
  <c r="K1073" i="9"/>
  <c r="O1073" i="9" s="1"/>
  <c r="L1073" i="9" l="1"/>
  <c r="M1073" i="9" s="1"/>
  <c r="N1073" i="9" s="1"/>
  <c r="C1074" i="9"/>
  <c r="D1074" i="9" l="1"/>
  <c r="G1074" i="9" s="1"/>
  <c r="H1074" i="9" s="1"/>
  <c r="J1074" i="9" s="1"/>
  <c r="I1074" i="9" l="1"/>
  <c r="B1075" i="9" s="1"/>
  <c r="K1074" i="9" l="1"/>
  <c r="O1074" i="9" s="1"/>
  <c r="C1075" i="9"/>
  <c r="L1074" i="9" l="1"/>
  <c r="M1074" i="9" s="1"/>
  <c r="N1074" i="9" s="1"/>
  <c r="D1075" i="9"/>
  <c r="G1075" i="9" s="1"/>
  <c r="H1075" i="9" s="1"/>
  <c r="J1075" i="9" s="1"/>
  <c r="I1075" i="9" l="1"/>
  <c r="B1076" i="9" l="1"/>
  <c r="K1075" i="9"/>
  <c r="O1075" i="9" s="1"/>
  <c r="L1075" i="9" l="1"/>
  <c r="M1075" i="9" s="1"/>
  <c r="N1075" i="9" s="1"/>
  <c r="C1076" i="9"/>
  <c r="D1076" i="9" l="1"/>
  <c r="G1076" i="9" s="1"/>
  <c r="H1076" i="9" s="1"/>
  <c r="J1076" i="9" s="1"/>
  <c r="I1076" i="9" l="1"/>
  <c r="B1077" i="9" l="1"/>
  <c r="K1076" i="9"/>
  <c r="O1076" i="9" s="1"/>
  <c r="L1076" i="9" l="1"/>
  <c r="M1076" i="9" s="1"/>
  <c r="N1076" i="9" s="1"/>
  <c r="C1077" i="9"/>
  <c r="D1077" i="9" l="1"/>
  <c r="G1077" i="9" s="1"/>
  <c r="H1077" i="9" s="1"/>
  <c r="J1077" i="9" s="1"/>
  <c r="I1077" i="9" l="1"/>
  <c r="B1078" i="9" l="1"/>
  <c r="K1077" i="9"/>
  <c r="O1077" i="9" s="1"/>
  <c r="L1077" i="9" l="1"/>
  <c r="M1077" i="9" s="1"/>
  <c r="N1077" i="9" s="1"/>
  <c r="C1078" i="9"/>
  <c r="D1078" i="9" l="1"/>
  <c r="G1078" i="9" s="1"/>
  <c r="H1078" i="9" s="1"/>
  <c r="J1078" i="9" s="1"/>
  <c r="I1078" i="9" l="1"/>
  <c r="B1079" i="9" l="1"/>
  <c r="K1078" i="9"/>
  <c r="O1078" i="9" s="1"/>
  <c r="L1078" i="9" l="1"/>
  <c r="M1078" i="9" s="1"/>
  <c r="N1078" i="9" s="1"/>
  <c r="C1079" i="9"/>
  <c r="D1079" i="9" l="1"/>
  <c r="G1079" i="9" s="1"/>
  <c r="H1079" i="9" s="1"/>
  <c r="J1079" i="9" s="1"/>
  <c r="I1079" i="9" l="1"/>
  <c r="B1080" i="9" l="1"/>
  <c r="K1079" i="9"/>
  <c r="O1079" i="9" s="1"/>
  <c r="L1079" i="9" l="1"/>
  <c r="M1079" i="9" s="1"/>
  <c r="N1079" i="9" s="1"/>
  <c r="C1080" i="9"/>
  <c r="D1080" i="9" l="1"/>
  <c r="G1080" i="9" s="1"/>
  <c r="H1080" i="9" s="1"/>
  <c r="J1080" i="9" s="1"/>
  <c r="I1080" i="9" l="1"/>
  <c r="B1081" i="9" l="1"/>
  <c r="K1080" i="9"/>
  <c r="O1080" i="9" s="1"/>
  <c r="L1080" i="9" l="1"/>
  <c r="M1080" i="9" s="1"/>
  <c r="N1080" i="9" s="1"/>
  <c r="C1081" i="9"/>
  <c r="D1081" i="9" l="1"/>
  <c r="G1081" i="9" s="1"/>
  <c r="H1081" i="9" s="1"/>
  <c r="J1081" i="9" s="1"/>
  <c r="I1081" i="9" l="1"/>
  <c r="B1082" i="9" l="1"/>
  <c r="K1081" i="9"/>
  <c r="O1081" i="9" s="1"/>
  <c r="L1081" i="9" l="1"/>
  <c r="M1081" i="9" s="1"/>
  <c r="N1081" i="9" s="1"/>
  <c r="C1082" i="9"/>
  <c r="D1082" i="9" l="1"/>
  <c r="G1082" i="9" s="1"/>
  <c r="H1082" i="9" s="1"/>
  <c r="J1082" i="9" s="1"/>
  <c r="I1082" i="9" l="1"/>
  <c r="B1083" i="9" l="1"/>
  <c r="K1082" i="9"/>
  <c r="O1082" i="9" s="1"/>
  <c r="L1082" i="9" l="1"/>
  <c r="M1082" i="9" s="1"/>
  <c r="N1082" i="9" s="1"/>
  <c r="C1083" i="9"/>
  <c r="D1083" i="9" l="1"/>
  <c r="G1083" i="9" s="1"/>
  <c r="H1083" i="9" s="1"/>
  <c r="I1083" i="9" s="1"/>
  <c r="B1084" i="9" l="1"/>
  <c r="K1083" i="9"/>
  <c r="O1083" i="9" s="1"/>
  <c r="J1083" i="9"/>
  <c r="L1083" i="9" l="1"/>
  <c r="M1083" i="9" s="1"/>
  <c r="N1083" i="9" s="1"/>
  <c r="C1084" i="9"/>
  <c r="D1084" i="9" l="1"/>
  <c r="G1084" i="9" s="1"/>
  <c r="H1084" i="9" s="1"/>
  <c r="J1084" i="9" s="1"/>
  <c r="I1084" i="9" l="1"/>
  <c r="B1085" i="9" l="1"/>
  <c r="K1084" i="9"/>
  <c r="O1084" i="9" s="1"/>
  <c r="L1084" i="9" l="1"/>
  <c r="M1084" i="9" s="1"/>
  <c r="N1084" i="9" s="1"/>
  <c r="C1085" i="9"/>
  <c r="D1085" i="9" l="1"/>
  <c r="G1085" i="9" s="1"/>
  <c r="H1085" i="9" s="1"/>
  <c r="J1085" i="9" s="1"/>
  <c r="I1085" i="9" l="1"/>
  <c r="B1086" i="9" l="1"/>
  <c r="K1085" i="9"/>
  <c r="O1085" i="9" s="1"/>
  <c r="L1085" i="9" l="1"/>
  <c r="M1085" i="9" s="1"/>
  <c r="N1085" i="9" s="1"/>
  <c r="C1086" i="9"/>
  <c r="D1086" i="9" l="1"/>
  <c r="G1086" i="9" s="1"/>
  <c r="H1086" i="9" s="1"/>
  <c r="J1086" i="9" s="1"/>
  <c r="I1086" i="9" l="1"/>
  <c r="B1087" i="9" l="1"/>
  <c r="K1086" i="9"/>
  <c r="O1086" i="9" s="1"/>
  <c r="L1086" i="9" l="1"/>
  <c r="M1086" i="9" s="1"/>
  <c r="N1086" i="9" s="1"/>
  <c r="C1087" i="9"/>
  <c r="D1087" i="9" l="1"/>
  <c r="G1087" i="9" s="1"/>
  <c r="H1087" i="9" s="1"/>
  <c r="J1087" i="9" s="1"/>
  <c r="I1087" i="9" l="1"/>
  <c r="B1088" i="9" l="1"/>
  <c r="K1087" i="9"/>
  <c r="O1087" i="9" s="1"/>
  <c r="L1087" i="9" l="1"/>
  <c r="M1087" i="9" s="1"/>
  <c r="N1087" i="9" s="1"/>
  <c r="C1088" i="9"/>
  <c r="D1088" i="9" l="1"/>
  <c r="G1088" i="9" s="1"/>
  <c r="H1088" i="9" s="1"/>
  <c r="J1088" i="9" s="1"/>
  <c r="I1088" i="9" l="1"/>
  <c r="B1089" i="9" l="1"/>
  <c r="K1088" i="9"/>
  <c r="O1088" i="9" s="1"/>
  <c r="L1088" i="9" l="1"/>
  <c r="M1088" i="9" s="1"/>
  <c r="N1088" i="9" s="1"/>
  <c r="C1089" i="9"/>
  <c r="D1089" i="9" l="1"/>
  <c r="G1089" i="9" s="1"/>
  <c r="H1089" i="9" s="1"/>
  <c r="J1089" i="9" s="1"/>
  <c r="I1089" i="9" l="1"/>
  <c r="B1090" i="9" l="1"/>
  <c r="K1089" i="9"/>
  <c r="O1089" i="9" s="1"/>
  <c r="L1089" i="9" l="1"/>
  <c r="M1089" i="9" s="1"/>
  <c r="N1089" i="9" s="1"/>
  <c r="C1090" i="9"/>
  <c r="D1090" i="9" l="1"/>
  <c r="G1090" i="9" s="1"/>
  <c r="H1090" i="9" s="1"/>
  <c r="J1090" i="9" s="1"/>
  <c r="I1090" i="9" l="1"/>
  <c r="B1091" i="9" s="1"/>
  <c r="K1090" i="9" l="1"/>
  <c r="O1090" i="9" s="1"/>
  <c r="C1091" i="9"/>
  <c r="L1090" i="9" l="1"/>
  <c r="M1090" i="9" s="1"/>
  <c r="N1090" i="9" s="1"/>
  <c r="D1091" i="9"/>
  <c r="G1091" i="9" s="1"/>
  <c r="H1091" i="9" s="1"/>
  <c r="J1091" i="9" s="1"/>
  <c r="I1091" i="9" l="1"/>
  <c r="B1092" i="9" l="1"/>
  <c r="K1091" i="9"/>
  <c r="O1091" i="9" s="1"/>
  <c r="L1091" i="9" l="1"/>
  <c r="M1091" i="9" s="1"/>
  <c r="N1091" i="9" s="1"/>
  <c r="C1092" i="9"/>
  <c r="D1092" i="9" l="1"/>
  <c r="G1092" i="9" s="1"/>
  <c r="H1092" i="9" s="1"/>
  <c r="J1092" i="9" s="1"/>
  <c r="I1092" i="9" l="1"/>
  <c r="B1093" i="9" s="1"/>
  <c r="K1092" i="9" l="1"/>
  <c r="O1092" i="9" s="1"/>
  <c r="C1093" i="9"/>
  <c r="L1092" i="9" l="1"/>
  <c r="M1092" i="9" s="1"/>
  <c r="N1092" i="9" s="1"/>
  <c r="D1093" i="9"/>
  <c r="G1093" i="9" s="1"/>
  <c r="H1093" i="9" s="1"/>
  <c r="J1093" i="9" s="1"/>
  <c r="I1093" i="9" l="1"/>
  <c r="B1094" i="9" l="1"/>
  <c r="K1093" i="9"/>
  <c r="O1093" i="9" s="1"/>
  <c r="L1093" i="9" l="1"/>
  <c r="M1093" i="9" s="1"/>
  <c r="N1093" i="9" s="1"/>
  <c r="C1094" i="9"/>
  <c r="D1094" i="9" l="1"/>
  <c r="G1094" i="9" s="1"/>
  <c r="H1094" i="9" s="1"/>
  <c r="I1094" i="9" s="1"/>
  <c r="J1094" i="9" l="1"/>
  <c r="B1095" i="9"/>
  <c r="K1094" i="9"/>
  <c r="O1094" i="9" s="1"/>
  <c r="L1094" i="9" l="1"/>
  <c r="M1094" i="9" s="1"/>
  <c r="N1094" i="9" s="1"/>
  <c r="C1095" i="9"/>
  <c r="D1095" i="9" l="1"/>
  <c r="G1095" i="9" s="1"/>
  <c r="H1095" i="9" s="1"/>
  <c r="J1095" i="9" s="1"/>
  <c r="I1095" i="9" l="1"/>
  <c r="B1096" i="9" l="1"/>
  <c r="K1095" i="9"/>
  <c r="O1095" i="9" s="1"/>
  <c r="L1095" i="9" l="1"/>
  <c r="M1095" i="9" s="1"/>
  <c r="N1095" i="9" s="1"/>
  <c r="C1096" i="9"/>
  <c r="D1096" i="9" l="1"/>
  <c r="G1096" i="9" s="1"/>
  <c r="H1096" i="9" s="1"/>
  <c r="J1096" i="9" s="1"/>
  <c r="I1096" i="9" l="1"/>
  <c r="B1097" i="9" l="1"/>
  <c r="K1096" i="9"/>
  <c r="O1096" i="9" s="1"/>
  <c r="L1096" i="9" l="1"/>
  <c r="M1096" i="9" s="1"/>
  <c r="N1096" i="9" s="1"/>
  <c r="C1097" i="9"/>
  <c r="D1097" i="9" l="1"/>
  <c r="G1097" i="9" s="1"/>
  <c r="H1097" i="9" s="1"/>
  <c r="J1097" i="9" s="1"/>
  <c r="I1097" i="9" l="1"/>
  <c r="B1098" i="9" l="1"/>
  <c r="K1097" i="9"/>
  <c r="O1097" i="9" s="1"/>
  <c r="L1097" i="9" l="1"/>
  <c r="M1097" i="9" s="1"/>
  <c r="N1097" i="9" s="1"/>
  <c r="C1098" i="9"/>
  <c r="D1098" i="9" l="1"/>
  <c r="G1098" i="9" s="1"/>
  <c r="H1098" i="9" s="1"/>
  <c r="J1098" i="9" s="1"/>
  <c r="I1098" i="9" l="1"/>
  <c r="B1099" i="9" l="1"/>
  <c r="K1098" i="9"/>
  <c r="O1098" i="9" s="1"/>
  <c r="L1098" i="9" l="1"/>
  <c r="M1098" i="9" s="1"/>
  <c r="N1098" i="9" s="1"/>
  <c r="C1099" i="9"/>
  <c r="D1099" i="9" l="1"/>
  <c r="G1099" i="9" s="1"/>
  <c r="H1099" i="9" s="1"/>
  <c r="J1099" i="9" s="1"/>
  <c r="I1099" i="9" l="1"/>
  <c r="B1100" i="9" l="1"/>
  <c r="K1099" i="9"/>
  <c r="O1099" i="9" s="1"/>
  <c r="L1099" i="9" l="1"/>
  <c r="M1099" i="9" s="1"/>
  <c r="N1099" i="9" s="1"/>
  <c r="C1100" i="9"/>
  <c r="D1100" i="9" l="1"/>
  <c r="G1100" i="9" s="1"/>
  <c r="H1100" i="9" s="1"/>
  <c r="J1100" i="9" s="1"/>
  <c r="I1100" i="9" l="1"/>
  <c r="B1101" i="9" l="1"/>
  <c r="K1100" i="9"/>
  <c r="O1100" i="9" s="1"/>
  <c r="L1100" i="9" l="1"/>
  <c r="M1100" i="9" s="1"/>
  <c r="N1100" i="9" s="1"/>
  <c r="C1101" i="9"/>
  <c r="D1101" i="9" l="1"/>
  <c r="G1101" i="9" s="1"/>
  <c r="H1101" i="9" s="1"/>
  <c r="J1101" i="9" s="1"/>
  <c r="I1101" i="9" l="1"/>
  <c r="B1102" i="9" l="1"/>
  <c r="K1101" i="9"/>
  <c r="O1101" i="9" s="1"/>
  <c r="L1101" i="9" l="1"/>
  <c r="M1101" i="9" s="1"/>
  <c r="N1101" i="9" s="1"/>
  <c r="C1102" i="9"/>
  <c r="D1102" i="9" l="1"/>
  <c r="G1102" i="9" s="1"/>
  <c r="H1102" i="9" s="1"/>
  <c r="I1102" i="9" s="1"/>
  <c r="B1103" i="9" l="1"/>
  <c r="K1102" i="9"/>
  <c r="O1102" i="9" s="1"/>
  <c r="J1102" i="9"/>
  <c r="L1102" i="9" l="1"/>
  <c r="M1102" i="9" s="1"/>
  <c r="N1102" i="9" s="1"/>
  <c r="C1103" i="9"/>
  <c r="D1103" i="9" l="1"/>
  <c r="G1103" i="9" s="1"/>
  <c r="H1103" i="9" s="1"/>
  <c r="J1103" i="9" s="1"/>
  <c r="I1103" i="9" l="1"/>
  <c r="B1104" i="9" l="1"/>
  <c r="K1103" i="9"/>
  <c r="O1103" i="9" s="1"/>
  <c r="L1103" i="9" l="1"/>
  <c r="M1103" i="9" s="1"/>
  <c r="N1103" i="9" s="1"/>
  <c r="C1104" i="9"/>
  <c r="D1104" i="9" l="1"/>
  <c r="G1104" i="9" s="1"/>
  <c r="H1104" i="9" s="1"/>
  <c r="J1104" i="9" s="1"/>
  <c r="I1104" i="9" l="1"/>
  <c r="B1105" i="9" l="1"/>
  <c r="K1104" i="9"/>
  <c r="O1104" i="9" s="1"/>
  <c r="L1104" i="9" l="1"/>
  <c r="M1104" i="9" s="1"/>
  <c r="N1104" i="9" s="1"/>
  <c r="C1105" i="9"/>
  <c r="D1105" i="9" l="1"/>
  <c r="G1105" i="9" s="1"/>
  <c r="H1105" i="9" s="1"/>
  <c r="J1105" i="9" s="1"/>
  <c r="I1105" i="9" l="1"/>
  <c r="B1106" i="9" l="1"/>
  <c r="K1105" i="9"/>
  <c r="O1105" i="9" s="1"/>
  <c r="L1105" i="9" l="1"/>
  <c r="M1105" i="9" s="1"/>
  <c r="N1105" i="9" s="1"/>
  <c r="C1106" i="9"/>
  <c r="D1106" i="9" l="1"/>
  <c r="G1106" i="9" s="1"/>
  <c r="H1106" i="9" s="1"/>
  <c r="J1106" i="9" s="1"/>
  <c r="I1106" i="9" l="1"/>
  <c r="B1107" i="9" l="1"/>
  <c r="K1106" i="9"/>
  <c r="O1106" i="9" s="1"/>
  <c r="L1106" i="9" l="1"/>
  <c r="M1106" i="9" s="1"/>
  <c r="N1106" i="9" s="1"/>
  <c r="C1107" i="9"/>
  <c r="D1107" i="9" l="1"/>
  <c r="G1107" i="9" s="1"/>
  <c r="H1107" i="9" s="1"/>
  <c r="I1107" i="9" s="1"/>
  <c r="B1108" i="9" l="1"/>
  <c r="K1107" i="9"/>
  <c r="O1107" i="9" s="1"/>
  <c r="J1107" i="9"/>
  <c r="L1107" i="9" l="1"/>
  <c r="M1107" i="9" s="1"/>
  <c r="N1107" i="9" s="1"/>
  <c r="C1108" i="9"/>
  <c r="D1108" i="9" l="1"/>
  <c r="G1108" i="9" s="1"/>
  <c r="H1108" i="9" s="1"/>
  <c r="I1108" i="9" s="1"/>
  <c r="B1109" i="9" l="1"/>
  <c r="K1108" i="9"/>
  <c r="O1108" i="9" s="1"/>
  <c r="J1108" i="9"/>
  <c r="L1108" i="9" l="1"/>
  <c r="M1108" i="9" s="1"/>
  <c r="N1108" i="9" s="1"/>
  <c r="C1109" i="9"/>
  <c r="D1109" i="9" l="1"/>
  <c r="G1109" i="9" s="1"/>
  <c r="H1109" i="9" s="1"/>
  <c r="J1109" i="9" s="1"/>
  <c r="I1109" i="9" l="1"/>
  <c r="B1110" i="9" l="1"/>
  <c r="K1109" i="9"/>
  <c r="O1109" i="9" s="1"/>
  <c r="L1109" i="9" l="1"/>
  <c r="M1109" i="9" s="1"/>
  <c r="N1109" i="9" s="1"/>
  <c r="C1110" i="9"/>
  <c r="D1110" i="9" l="1"/>
  <c r="G1110" i="9" s="1"/>
  <c r="H1110" i="9" s="1"/>
  <c r="I1110" i="9" s="1"/>
  <c r="B1111" i="9" l="1"/>
  <c r="K1110" i="9"/>
  <c r="O1110" i="9" s="1"/>
  <c r="J1110" i="9"/>
  <c r="L1110" i="9" l="1"/>
  <c r="M1110" i="9" s="1"/>
  <c r="N1110" i="9" s="1"/>
  <c r="C1111" i="9"/>
  <c r="D1111" i="9" l="1"/>
  <c r="G1111" i="9" s="1"/>
  <c r="H1111" i="9" s="1"/>
  <c r="J1111" i="9" s="1"/>
  <c r="I1111" i="9" l="1"/>
  <c r="B1112" i="9" l="1"/>
  <c r="K1111" i="9"/>
  <c r="O1111" i="9" s="1"/>
  <c r="L1111" i="9" l="1"/>
  <c r="M1111" i="9" s="1"/>
  <c r="N1111" i="9" s="1"/>
  <c r="C1112" i="9"/>
  <c r="D1112" i="9" l="1"/>
  <c r="G1112" i="9" s="1"/>
  <c r="H1112" i="9" s="1"/>
  <c r="J1112" i="9" s="1"/>
  <c r="I1112" i="9" l="1"/>
  <c r="B1113" i="9" l="1"/>
  <c r="K1112" i="9"/>
  <c r="O1112" i="9" s="1"/>
  <c r="L1112" i="9" l="1"/>
  <c r="M1112" i="9" s="1"/>
  <c r="N1112" i="9" s="1"/>
  <c r="C1113" i="9"/>
  <c r="D1113" i="9" l="1"/>
  <c r="G1113" i="9" s="1"/>
  <c r="H1113" i="9" s="1"/>
  <c r="J1113" i="9" s="1"/>
  <c r="I1113" i="9" l="1"/>
  <c r="B1114" i="9" l="1"/>
  <c r="K1113" i="9"/>
  <c r="O1113" i="9" s="1"/>
  <c r="L1113" i="9" l="1"/>
  <c r="M1113" i="9" s="1"/>
  <c r="N1113" i="9" s="1"/>
  <c r="C1114" i="9"/>
  <c r="D1114" i="9" l="1"/>
  <c r="G1114" i="9" s="1"/>
  <c r="H1114" i="9" s="1"/>
  <c r="J1114" i="9" s="1"/>
  <c r="I1114" i="9" l="1"/>
  <c r="B1115" i="9" l="1"/>
  <c r="K1114" i="9"/>
  <c r="O1114" i="9" s="1"/>
  <c r="L1114" i="9" l="1"/>
  <c r="M1114" i="9" s="1"/>
  <c r="N1114" i="9" s="1"/>
  <c r="C1115" i="9"/>
  <c r="D1115" i="9" l="1"/>
  <c r="G1115" i="9" s="1"/>
  <c r="H1115" i="9" s="1"/>
  <c r="J1115" i="9" s="1"/>
  <c r="I1115" i="9" l="1"/>
  <c r="B1116" i="9" l="1"/>
  <c r="K1115" i="9"/>
  <c r="O1115" i="9" s="1"/>
  <c r="L1115" i="9" l="1"/>
  <c r="M1115" i="9" s="1"/>
  <c r="N1115" i="9" s="1"/>
  <c r="C1116" i="9"/>
  <c r="D1116" i="9" l="1"/>
  <c r="G1116" i="9" s="1"/>
  <c r="H1116" i="9" s="1"/>
  <c r="I1116" i="9" s="1"/>
  <c r="B1117" i="9" l="1"/>
  <c r="K1116" i="9"/>
  <c r="O1116" i="9" s="1"/>
  <c r="J1116" i="9"/>
  <c r="L1116" i="9" l="1"/>
  <c r="M1116" i="9" s="1"/>
  <c r="N1116" i="9" s="1"/>
  <c r="C1117" i="9"/>
  <c r="D1117" i="9" l="1"/>
  <c r="G1117" i="9" s="1"/>
  <c r="H1117" i="9" s="1"/>
  <c r="J1117" i="9" s="1"/>
  <c r="I1117" i="9" l="1"/>
  <c r="B1118" i="9" l="1"/>
  <c r="K1117" i="9"/>
  <c r="O1117" i="9" s="1"/>
  <c r="L1117" i="9" l="1"/>
  <c r="M1117" i="9" s="1"/>
  <c r="N1117" i="9" s="1"/>
  <c r="C1118" i="9"/>
  <c r="D1118" i="9" l="1"/>
  <c r="G1118" i="9" s="1"/>
  <c r="H1118" i="9" s="1"/>
  <c r="I1118" i="9" s="1"/>
  <c r="B1119" i="9" l="1"/>
  <c r="K1118" i="9"/>
  <c r="O1118" i="9" s="1"/>
  <c r="J1118" i="9"/>
  <c r="L1118" i="9" l="1"/>
  <c r="M1118" i="9" s="1"/>
  <c r="N1118" i="9" s="1"/>
  <c r="C1119" i="9"/>
  <c r="D1119" i="9" l="1"/>
  <c r="G1119" i="9" s="1"/>
  <c r="H1119" i="9" s="1"/>
  <c r="J1119" i="9" s="1"/>
  <c r="I1119" i="9" l="1"/>
  <c r="B1120" i="9" l="1"/>
  <c r="K1119" i="9"/>
  <c r="O1119" i="9" s="1"/>
  <c r="L1119" i="9" l="1"/>
  <c r="M1119" i="9" s="1"/>
  <c r="N1119" i="9" s="1"/>
  <c r="C1120" i="9"/>
  <c r="D1120" i="9" l="1"/>
  <c r="G1120" i="9" s="1"/>
  <c r="H1120" i="9" s="1"/>
  <c r="J1120" i="9" s="1"/>
  <c r="I1120" i="9" l="1"/>
  <c r="B1121" i="9" l="1"/>
  <c r="K1120" i="9"/>
  <c r="O1120" i="9" s="1"/>
  <c r="L1120" i="9" l="1"/>
  <c r="M1120" i="9" s="1"/>
  <c r="N1120" i="9" s="1"/>
  <c r="C1121" i="9"/>
  <c r="D1121" i="9" l="1"/>
  <c r="G1121" i="9" s="1"/>
  <c r="H1121" i="9" s="1"/>
  <c r="J1121" i="9" s="1"/>
  <c r="I1121" i="9" l="1"/>
  <c r="B1122" i="9" l="1"/>
  <c r="K1121" i="9"/>
  <c r="O1121" i="9" s="1"/>
  <c r="L1121" i="9" l="1"/>
  <c r="M1121" i="9" s="1"/>
  <c r="N1121" i="9" s="1"/>
  <c r="C1122" i="9"/>
  <c r="D1122" i="9" l="1"/>
  <c r="G1122" i="9" s="1"/>
  <c r="H1122" i="9" s="1"/>
  <c r="J1122" i="9" s="1"/>
  <c r="I1122" i="9" l="1"/>
  <c r="B1123" i="9" s="1"/>
  <c r="K1122" i="9" l="1"/>
  <c r="O1122" i="9" s="1"/>
  <c r="C1123" i="9"/>
  <c r="L1122" i="9" l="1"/>
  <c r="M1122" i="9" s="1"/>
  <c r="N1122" i="9" s="1"/>
  <c r="D1123" i="9"/>
  <c r="G1123" i="9" s="1"/>
  <c r="H1123" i="9" s="1"/>
  <c r="J1123" i="9" s="1"/>
  <c r="I1123" i="9" l="1"/>
  <c r="B1124" i="9" l="1"/>
  <c r="K1123" i="9"/>
  <c r="O1123" i="9" s="1"/>
  <c r="L1123" i="9" l="1"/>
  <c r="M1123" i="9" s="1"/>
  <c r="N1123" i="9" s="1"/>
  <c r="C1124" i="9"/>
  <c r="D1124" i="9" l="1"/>
  <c r="G1124" i="9" s="1"/>
  <c r="H1124" i="9" s="1"/>
  <c r="I1124" i="9" s="1"/>
  <c r="B1125" i="9" l="1"/>
  <c r="K1124" i="9"/>
  <c r="O1124" i="9" s="1"/>
  <c r="J1124" i="9"/>
  <c r="L1124" i="9" l="1"/>
  <c r="M1124" i="9" s="1"/>
  <c r="N1124" i="9" s="1"/>
  <c r="C1125" i="9"/>
  <c r="D1125" i="9" l="1"/>
  <c r="G1125" i="9" s="1"/>
  <c r="H1125" i="9" s="1"/>
  <c r="J1125" i="9" s="1"/>
  <c r="I1125" i="9" l="1"/>
  <c r="B1126" i="9" l="1"/>
  <c r="K1125" i="9"/>
  <c r="O1125" i="9" s="1"/>
  <c r="L1125" i="9" l="1"/>
  <c r="M1125" i="9" s="1"/>
  <c r="N1125" i="9" s="1"/>
  <c r="C1126" i="9"/>
  <c r="D1126" i="9" l="1"/>
  <c r="G1126" i="9" s="1"/>
  <c r="H1126" i="9" s="1"/>
  <c r="I1126" i="9" s="1"/>
  <c r="B1127" i="9" l="1"/>
  <c r="K1126" i="9"/>
  <c r="O1126" i="9" s="1"/>
  <c r="J1126" i="9"/>
  <c r="L1126" i="9" l="1"/>
  <c r="M1126" i="9" s="1"/>
  <c r="N1126" i="9" s="1"/>
  <c r="C1127" i="9"/>
  <c r="D1127" i="9" l="1"/>
  <c r="G1127" i="9" s="1"/>
  <c r="H1127" i="9" s="1"/>
  <c r="J1127" i="9" s="1"/>
  <c r="I1127" i="9" l="1"/>
  <c r="B1128" i="9" l="1"/>
  <c r="K1127" i="9"/>
  <c r="O1127" i="9" s="1"/>
  <c r="L1127" i="9" l="1"/>
  <c r="M1127" i="9" s="1"/>
  <c r="N1127" i="9" s="1"/>
  <c r="C1128" i="9"/>
  <c r="D1128" i="9" l="1"/>
  <c r="G1128" i="9" s="1"/>
  <c r="H1128" i="9" s="1"/>
  <c r="J1128" i="9" s="1"/>
  <c r="I1128" i="9" l="1"/>
  <c r="B1129" i="9" l="1"/>
  <c r="K1128" i="9"/>
  <c r="O1128" i="9" s="1"/>
  <c r="L1128" i="9" l="1"/>
  <c r="M1128" i="9" s="1"/>
  <c r="N1128" i="9" s="1"/>
  <c r="C1129" i="9"/>
  <c r="D1129" i="9" l="1"/>
  <c r="G1129" i="9" s="1"/>
  <c r="H1129" i="9" s="1"/>
  <c r="J1129" i="9" s="1"/>
  <c r="I1129" i="9" l="1"/>
  <c r="B1130" i="9" l="1"/>
  <c r="K1129" i="9"/>
  <c r="O1129" i="9" s="1"/>
  <c r="L1129" i="9" l="1"/>
  <c r="M1129" i="9" s="1"/>
  <c r="N1129" i="9" s="1"/>
  <c r="C1130" i="9"/>
  <c r="D1130" i="9" l="1"/>
  <c r="G1130" i="9" s="1"/>
  <c r="H1130" i="9" s="1"/>
  <c r="J1130" i="9" s="1"/>
  <c r="I1130" i="9" l="1"/>
  <c r="B1131" i="9" l="1"/>
  <c r="K1130" i="9"/>
  <c r="O1130" i="9" s="1"/>
  <c r="L1130" i="9" l="1"/>
  <c r="M1130" i="9" s="1"/>
  <c r="N1130" i="9" s="1"/>
  <c r="C1131" i="9"/>
  <c r="D1131" i="9" l="1"/>
  <c r="G1131" i="9" s="1"/>
  <c r="H1131" i="9" s="1"/>
  <c r="J1131" i="9" s="1"/>
  <c r="I1131" i="9" l="1"/>
  <c r="B1132" i="9" l="1"/>
  <c r="K1131" i="9"/>
  <c r="O1131" i="9" s="1"/>
  <c r="L1131" i="9" l="1"/>
  <c r="M1131" i="9" s="1"/>
  <c r="N1131" i="9" s="1"/>
  <c r="C1132" i="9"/>
  <c r="D1132" i="9" l="1"/>
  <c r="G1132" i="9" s="1"/>
  <c r="H1132" i="9" s="1"/>
  <c r="I1132" i="9" s="1"/>
  <c r="B1133" i="9" l="1"/>
  <c r="K1132" i="9"/>
  <c r="O1132" i="9" s="1"/>
  <c r="J1132" i="9"/>
  <c r="L1132" i="9" l="1"/>
  <c r="M1132" i="9" s="1"/>
  <c r="N1132" i="9" s="1"/>
  <c r="C1133" i="9"/>
  <c r="D1133" i="9" l="1"/>
  <c r="G1133" i="9" s="1"/>
  <c r="H1133" i="9" s="1"/>
  <c r="J1133" i="9" s="1"/>
  <c r="I1133" i="9" l="1"/>
  <c r="B1134" i="9" l="1"/>
  <c r="K1133" i="9"/>
  <c r="O1133" i="9" s="1"/>
  <c r="L1133" i="9" l="1"/>
  <c r="M1133" i="9" s="1"/>
  <c r="N1133" i="9" s="1"/>
  <c r="C1134" i="9"/>
  <c r="D1134" i="9" l="1"/>
  <c r="G1134" i="9" s="1"/>
  <c r="H1134" i="9" s="1"/>
  <c r="I1134" i="9" s="1"/>
  <c r="B1135" i="9" l="1"/>
  <c r="K1134" i="9"/>
  <c r="O1134" i="9" s="1"/>
  <c r="J1134" i="9"/>
  <c r="L1134" i="9" l="1"/>
  <c r="M1134" i="9" s="1"/>
  <c r="N1134" i="9" s="1"/>
  <c r="C1135" i="9"/>
  <c r="D1135" i="9" l="1"/>
  <c r="G1135" i="9" s="1"/>
  <c r="H1135" i="9" s="1"/>
  <c r="J1135" i="9" s="1"/>
  <c r="I1135" i="9" l="1"/>
  <c r="B1136" i="9" l="1"/>
  <c r="K1135" i="9"/>
  <c r="O1135" i="9" s="1"/>
  <c r="L1135" i="9" l="1"/>
  <c r="M1135" i="9" s="1"/>
  <c r="N1135" i="9" s="1"/>
  <c r="C1136" i="9"/>
  <c r="D1136" i="9" l="1"/>
  <c r="G1136" i="9" s="1"/>
  <c r="H1136" i="9" s="1"/>
  <c r="J1136" i="9" s="1"/>
  <c r="I1136" i="9" l="1"/>
  <c r="B1137" i="9" l="1"/>
  <c r="K1136" i="9"/>
  <c r="O1136" i="9" s="1"/>
  <c r="L1136" i="9" l="1"/>
  <c r="M1136" i="9" s="1"/>
  <c r="N1136" i="9" s="1"/>
  <c r="C1137" i="9"/>
  <c r="D1137" i="9" l="1"/>
  <c r="G1137" i="9" s="1"/>
  <c r="H1137" i="9" s="1"/>
  <c r="I1137" i="9" s="1"/>
  <c r="B1138" i="9" l="1"/>
  <c r="K1137" i="9"/>
  <c r="O1137" i="9" s="1"/>
  <c r="J1137" i="9"/>
  <c r="L1137" i="9" l="1"/>
  <c r="M1137" i="9" s="1"/>
  <c r="N1137" i="9" s="1"/>
  <c r="C1138" i="9"/>
  <c r="D1138" i="9" l="1"/>
  <c r="G1138" i="9" s="1"/>
  <c r="H1138" i="9" s="1"/>
  <c r="J1138" i="9" s="1"/>
  <c r="I1138" i="9" l="1"/>
  <c r="B1139" i="9" l="1"/>
  <c r="K1138" i="9"/>
  <c r="O1138" i="9" s="1"/>
  <c r="L1138" i="9" l="1"/>
  <c r="M1138" i="9" s="1"/>
  <c r="N1138" i="9" s="1"/>
  <c r="C1139" i="9"/>
  <c r="D1139" i="9" l="1"/>
  <c r="G1139" i="9" s="1"/>
  <c r="H1139" i="9" s="1"/>
  <c r="J1139" i="9" s="1"/>
  <c r="I1139" i="9" l="1"/>
  <c r="B1140" i="9" l="1"/>
  <c r="K1139" i="9"/>
  <c r="O1139" i="9" s="1"/>
  <c r="L1139" i="9" l="1"/>
  <c r="M1139" i="9" s="1"/>
  <c r="N1139" i="9" s="1"/>
  <c r="C1140" i="9"/>
  <c r="D1140" i="9" l="1"/>
  <c r="G1140" i="9" s="1"/>
  <c r="H1140" i="9" s="1"/>
  <c r="I1140" i="9" s="1"/>
  <c r="B1141" i="9" l="1"/>
  <c r="K1140" i="9"/>
  <c r="O1140" i="9" s="1"/>
  <c r="J1140" i="9"/>
  <c r="L1140" i="9" l="1"/>
  <c r="M1140" i="9" s="1"/>
  <c r="N1140" i="9" s="1"/>
  <c r="C1141" i="9"/>
  <c r="D1141" i="9" l="1"/>
  <c r="G1141" i="9" s="1"/>
  <c r="H1141" i="9" s="1"/>
  <c r="J1141" i="9" s="1"/>
  <c r="I1141" i="9" l="1"/>
  <c r="B1142" i="9" l="1"/>
  <c r="K1141" i="9"/>
  <c r="O1141" i="9" s="1"/>
  <c r="L1141" i="9" l="1"/>
  <c r="M1141" i="9" s="1"/>
  <c r="N1141" i="9" s="1"/>
  <c r="C1142" i="9"/>
  <c r="D1142" i="9" l="1"/>
  <c r="G1142" i="9" s="1"/>
  <c r="H1142" i="9" s="1"/>
  <c r="I1142" i="9" s="1"/>
  <c r="B1143" i="9" l="1"/>
  <c r="K1142" i="9"/>
  <c r="O1142" i="9" s="1"/>
  <c r="J1142" i="9"/>
  <c r="L1142" i="9" l="1"/>
  <c r="M1142" i="9" s="1"/>
  <c r="N1142" i="9" s="1"/>
  <c r="C1143" i="9"/>
  <c r="D1143" i="9" l="1"/>
  <c r="G1143" i="9" s="1"/>
  <c r="H1143" i="9" s="1"/>
  <c r="I1143" i="9" s="1"/>
  <c r="B1144" i="9" l="1"/>
  <c r="K1143" i="9"/>
  <c r="O1143" i="9" s="1"/>
  <c r="J1143" i="9"/>
  <c r="L1143" i="9" l="1"/>
  <c r="M1143" i="9" s="1"/>
  <c r="N1143" i="9" s="1"/>
  <c r="C1144" i="9"/>
  <c r="D1144" i="9" l="1"/>
  <c r="G1144" i="9" s="1"/>
  <c r="H1144" i="9" s="1"/>
  <c r="J1144" i="9" s="1"/>
  <c r="I1144" i="9" l="1"/>
  <c r="B1145" i="9" l="1"/>
  <c r="K1144" i="9"/>
  <c r="O1144" i="9" s="1"/>
  <c r="L1144" i="9" l="1"/>
  <c r="M1144" i="9" s="1"/>
  <c r="N1144" i="9" s="1"/>
  <c r="C1145" i="9"/>
  <c r="D1145" i="9" l="1"/>
  <c r="G1145" i="9" s="1"/>
  <c r="H1145" i="9" s="1"/>
  <c r="J1145" i="9" s="1"/>
  <c r="I1145" i="9" l="1"/>
  <c r="B1146" i="9" l="1"/>
  <c r="K1145" i="9"/>
  <c r="O1145" i="9" s="1"/>
  <c r="L1145" i="9" l="1"/>
  <c r="M1145" i="9" s="1"/>
  <c r="N1145" i="9" s="1"/>
  <c r="C1146" i="9"/>
  <c r="D1146" i="9" l="1"/>
  <c r="G1146" i="9" s="1"/>
  <c r="H1146" i="9" s="1"/>
  <c r="J1146" i="9" s="1"/>
  <c r="I1146" i="9" l="1"/>
  <c r="B1147" i="9" l="1"/>
  <c r="K1146" i="9"/>
  <c r="O1146" i="9" s="1"/>
  <c r="L1146" i="9" l="1"/>
  <c r="M1146" i="9" s="1"/>
  <c r="N1146" i="9" s="1"/>
  <c r="C1147" i="9"/>
  <c r="D1147" i="9" l="1"/>
  <c r="G1147" i="9" s="1"/>
  <c r="H1147" i="9" s="1"/>
  <c r="J1147" i="9" s="1"/>
  <c r="I1147" i="9" l="1"/>
  <c r="B1148" i="9" l="1"/>
  <c r="K1147" i="9"/>
  <c r="O1147" i="9" s="1"/>
  <c r="L1147" i="9" l="1"/>
  <c r="M1147" i="9" s="1"/>
  <c r="N1147" i="9" s="1"/>
  <c r="C1148" i="9"/>
  <c r="D1148" i="9" l="1"/>
  <c r="G1148" i="9" s="1"/>
  <c r="H1148" i="9" s="1"/>
  <c r="I1148" i="9" s="1"/>
  <c r="B1149" i="9" l="1"/>
  <c r="K1148" i="9"/>
  <c r="O1148" i="9" s="1"/>
  <c r="J1148" i="9"/>
  <c r="L1148" i="9" l="1"/>
  <c r="M1148" i="9" s="1"/>
  <c r="N1148" i="9" s="1"/>
  <c r="C1149" i="9"/>
  <c r="D1149" i="9" l="1"/>
  <c r="G1149" i="9" s="1"/>
  <c r="H1149" i="9" s="1"/>
  <c r="J1149" i="9" s="1"/>
  <c r="I1149" i="9" l="1"/>
  <c r="B1150" i="9" l="1"/>
  <c r="K1149" i="9"/>
  <c r="O1149" i="9" s="1"/>
  <c r="L1149" i="9" l="1"/>
  <c r="M1149" i="9" s="1"/>
  <c r="N1149" i="9" s="1"/>
  <c r="C1150" i="9"/>
  <c r="D1150" i="9" l="1"/>
  <c r="G1150" i="9" s="1"/>
  <c r="H1150" i="9" s="1"/>
  <c r="I1150" i="9" s="1"/>
  <c r="B1151" i="9" l="1"/>
  <c r="K1150" i="9"/>
  <c r="O1150" i="9" s="1"/>
  <c r="J1150" i="9"/>
  <c r="L1150" i="9" l="1"/>
  <c r="M1150" i="9" s="1"/>
  <c r="N1150" i="9" s="1"/>
  <c r="C1151" i="9"/>
  <c r="D1151" i="9" l="1"/>
  <c r="G1151" i="9" s="1"/>
  <c r="H1151" i="9" s="1"/>
  <c r="I1151" i="9" s="1"/>
  <c r="B1152" i="9" l="1"/>
  <c r="K1151" i="9"/>
  <c r="O1151" i="9" s="1"/>
  <c r="J1151" i="9"/>
  <c r="L1151" i="9" l="1"/>
  <c r="M1151" i="9" s="1"/>
  <c r="N1151" i="9" s="1"/>
  <c r="C1152" i="9"/>
  <c r="D1152" i="9" l="1"/>
  <c r="G1152" i="9" s="1"/>
  <c r="H1152" i="9" s="1"/>
  <c r="J1152" i="9" s="1"/>
  <c r="I1152" i="9" l="1"/>
  <c r="B1153" i="9" l="1"/>
  <c r="K1152" i="9"/>
  <c r="O1152" i="9" s="1"/>
  <c r="L1152" i="9" l="1"/>
  <c r="M1152" i="9" s="1"/>
  <c r="N1152" i="9" s="1"/>
  <c r="C1153" i="9"/>
  <c r="D1153" i="9" l="1"/>
  <c r="G1153" i="9" s="1"/>
  <c r="H1153" i="9" s="1"/>
  <c r="J1153" i="9" s="1"/>
  <c r="I1153" i="9" l="1"/>
  <c r="B1154" i="9" l="1"/>
  <c r="K1153" i="9"/>
  <c r="O1153" i="9" s="1"/>
  <c r="L1153" i="9" l="1"/>
  <c r="M1153" i="9" s="1"/>
  <c r="N1153" i="9" s="1"/>
  <c r="C1154" i="9"/>
  <c r="D1154" i="9" l="1"/>
  <c r="G1154" i="9" s="1"/>
  <c r="H1154" i="9" s="1"/>
  <c r="J1154" i="9" s="1"/>
  <c r="I1154" i="9" l="1"/>
  <c r="B1155" i="9" l="1"/>
  <c r="K1154" i="9"/>
  <c r="O1154" i="9" s="1"/>
  <c r="L1154" i="9" l="1"/>
  <c r="M1154" i="9" s="1"/>
  <c r="N1154" i="9" s="1"/>
  <c r="C1155" i="9"/>
  <c r="D1155" i="9" l="1"/>
  <c r="G1155" i="9" s="1"/>
  <c r="H1155" i="9" s="1"/>
  <c r="J1155" i="9" s="1"/>
  <c r="I1155" i="9" l="1"/>
  <c r="B1156" i="9" l="1"/>
  <c r="K1155" i="9"/>
  <c r="O1155" i="9" s="1"/>
  <c r="L1155" i="9" l="1"/>
  <c r="M1155" i="9" s="1"/>
  <c r="N1155" i="9" s="1"/>
  <c r="C1156" i="9"/>
  <c r="D1156" i="9" l="1"/>
  <c r="G1156" i="9" s="1"/>
  <c r="H1156" i="9" s="1"/>
  <c r="I1156" i="9" s="1"/>
  <c r="B1157" i="9" l="1"/>
  <c r="K1156" i="9"/>
  <c r="O1156" i="9" s="1"/>
  <c r="J1156" i="9"/>
  <c r="L1156" i="9" l="1"/>
  <c r="M1156" i="9" s="1"/>
  <c r="N1156" i="9" s="1"/>
  <c r="C1157" i="9"/>
  <c r="D1157" i="9" l="1"/>
  <c r="G1157" i="9" s="1"/>
  <c r="H1157" i="9" s="1"/>
  <c r="J1157" i="9" s="1"/>
  <c r="I1157" i="9" l="1"/>
  <c r="B1158" i="9" l="1"/>
  <c r="K1157" i="9"/>
  <c r="O1157" i="9" s="1"/>
  <c r="L1157" i="9" l="1"/>
  <c r="M1157" i="9" s="1"/>
  <c r="N1157" i="9" s="1"/>
  <c r="C1158" i="9"/>
  <c r="D1158" i="9" l="1"/>
  <c r="G1158" i="9" s="1"/>
  <c r="H1158" i="9" s="1"/>
  <c r="I1158" i="9" s="1"/>
  <c r="B1159" i="9" l="1"/>
  <c r="K1158" i="9"/>
  <c r="O1158" i="9" s="1"/>
  <c r="J1158" i="9"/>
  <c r="L1158" i="9" l="1"/>
  <c r="M1158" i="9" s="1"/>
  <c r="N1158" i="9" s="1"/>
  <c r="C1159" i="9"/>
  <c r="D1159" i="9" l="1"/>
  <c r="G1159" i="9" s="1"/>
  <c r="H1159" i="9" s="1"/>
  <c r="I1159" i="9" s="1"/>
  <c r="B1160" i="9" l="1"/>
  <c r="K1159" i="9"/>
  <c r="O1159" i="9" s="1"/>
  <c r="J1159" i="9"/>
  <c r="L1159" i="9" l="1"/>
  <c r="M1159" i="9" s="1"/>
  <c r="N1159" i="9" s="1"/>
  <c r="C1160" i="9"/>
  <c r="D1160" i="9" l="1"/>
  <c r="G1160" i="9" s="1"/>
  <c r="H1160" i="9" s="1"/>
  <c r="J1160" i="9" s="1"/>
  <c r="I1160" i="9" l="1"/>
  <c r="B1161" i="9" l="1"/>
  <c r="K1160" i="9"/>
  <c r="O1160" i="9" s="1"/>
  <c r="L1160" i="9" l="1"/>
  <c r="M1160" i="9" s="1"/>
  <c r="N1160" i="9" s="1"/>
  <c r="C1161" i="9"/>
  <c r="D1161" i="9" l="1"/>
  <c r="G1161" i="9" s="1"/>
  <c r="H1161" i="9" s="1"/>
  <c r="J1161" i="9" s="1"/>
  <c r="I1161" i="9" l="1"/>
  <c r="B1162" i="9" l="1"/>
  <c r="K1161" i="9"/>
  <c r="O1161" i="9" s="1"/>
  <c r="L1161" i="9" l="1"/>
  <c r="M1161" i="9" s="1"/>
  <c r="N1161" i="9" s="1"/>
  <c r="C1162" i="9"/>
  <c r="D1162" i="9" l="1"/>
  <c r="G1162" i="9" s="1"/>
  <c r="H1162" i="9" s="1"/>
  <c r="J1162" i="9" s="1"/>
  <c r="I1162" i="9" l="1"/>
  <c r="B1163" i="9" l="1"/>
  <c r="K1162" i="9"/>
  <c r="O1162" i="9" s="1"/>
  <c r="L1162" i="9" l="1"/>
  <c r="M1162" i="9" s="1"/>
  <c r="N1162" i="9" s="1"/>
  <c r="C1163" i="9"/>
  <c r="D1163" i="9" l="1"/>
  <c r="G1163" i="9" s="1"/>
  <c r="H1163" i="9" s="1"/>
  <c r="J1163" i="9" s="1"/>
  <c r="I1163" i="9" l="1"/>
  <c r="B1164" i="9" l="1"/>
  <c r="K1163" i="9"/>
  <c r="O1163" i="9" s="1"/>
  <c r="L1163" i="9" l="1"/>
  <c r="M1163" i="9" s="1"/>
  <c r="N1163" i="9" s="1"/>
  <c r="C1164" i="9"/>
  <c r="D1164" i="9" l="1"/>
  <c r="G1164" i="9" s="1"/>
  <c r="H1164" i="9" s="1"/>
  <c r="I1164" i="9" s="1"/>
  <c r="B1165" i="9" l="1"/>
  <c r="K1164" i="9"/>
  <c r="O1164" i="9" s="1"/>
  <c r="J1164" i="9"/>
  <c r="L1164" i="9" l="1"/>
  <c r="M1164" i="9" s="1"/>
  <c r="N1164" i="9" s="1"/>
  <c r="C1165" i="9"/>
  <c r="D1165" i="9" l="1"/>
  <c r="G1165" i="9" s="1"/>
  <c r="H1165" i="9" s="1"/>
  <c r="J1165" i="9" s="1"/>
  <c r="I1165" i="9" l="1"/>
  <c r="B1166" i="9" l="1"/>
  <c r="K1165" i="9"/>
  <c r="O1165" i="9" s="1"/>
  <c r="L1165" i="9" l="1"/>
  <c r="M1165" i="9" s="1"/>
  <c r="N1165" i="9" s="1"/>
  <c r="C1166" i="9"/>
  <c r="D1166" i="9" l="1"/>
  <c r="G1166" i="9" s="1"/>
  <c r="H1166" i="9" s="1"/>
  <c r="I1166" i="9" s="1"/>
  <c r="B1167" i="9" l="1"/>
  <c r="K1166" i="9"/>
  <c r="O1166" i="9" s="1"/>
  <c r="J1166" i="9"/>
  <c r="L1166" i="9" l="1"/>
  <c r="M1166" i="9" s="1"/>
  <c r="N1166" i="9" s="1"/>
  <c r="C1167" i="9"/>
  <c r="D1167" i="9" l="1"/>
  <c r="G1167" i="9" s="1"/>
  <c r="H1167" i="9" s="1"/>
  <c r="I1167" i="9" s="1"/>
  <c r="J1167" i="9" l="1"/>
  <c r="B1168" i="9"/>
  <c r="K1167" i="9"/>
  <c r="O1167" i="9" s="1"/>
  <c r="L1167" i="9" l="1"/>
  <c r="M1167" i="9" s="1"/>
  <c r="N1167" i="9" s="1"/>
  <c r="C1168" i="9"/>
  <c r="D1168" i="9" l="1"/>
  <c r="G1168" i="9" s="1"/>
  <c r="H1168" i="9" s="1"/>
  <c r="J1168" i="9" s="1"/>
  <c r="I1168" i="9" l="1"/>
  <c r="B1169" i="9" l="1"/>
  <c r="K1168" i="9"/>
  <c r="O1168" i="9" s="1"/>
  <c r="L1168" i="9" l="1"/>
  <c r="M1168" i="9" s="1"/>
  <c r="N1168" i="9" s="1"/>
  <c r="C1169" i="9"/>
  <c r="D1169" i="9" l="1"/>
  <c r="G1169" i="9" s="1"/>
  <c r="H1169" i="9" s="1"/>
  <c r="J1169" i="9" s="1"/>
  <c r="I1169" i="9" l="1"/>
  <c r="B1170" i="9" l="1"/>
  <c r="K1169" i="9"/>
  <c r="O1169" i="9" s="1"/>
  <c r="L1169" i="9" l="1"/>
  <c r="M1169" i="9" s="1"/>
  <c r="N1169" i="9" s="1"/>
  <c r="C1170" i="9"/>
  <c r="D1170" i="9" l="1"/>
  <c r="G1170" i="9" s="1"/>
  <c r="H1170" i="9" s="1"/>
  <c r="J1170" i="9" s="1"/>
  <c r="I1170" i="9" l="1"/>
  <c r="B1171" i="9" s="1"/>
  <c r="K1170" i="9" l="1"/>
  <c r="O1170" i="9" s="1"/>
  <c r="C1171" i="9"/>
  <c r="L1170" i="9" l="1"/>
  <c r="M1170" i="9" s="1"/>
  <c r="N1170" i="9" s="1"/>
  <c r="D1171" i="9"/>
  <c r="G1171" i="9" s="1"/>
  <c r="H1171" i="9" s="1"/>
  <c r="J1171" i="9" s="1"/>
  <c r="I1171" i="9" l="1"/>
  <c r="B1172" i="9" l="1"/>
  <c r="K1171" i="9"/>
  <c r="O1171" i="9" s="1"/>
  <c r="L1171" i="9" l="1"/>
  <c r="M1171" i="9" s="1"/>
  <c r="N1171" i="9" s="1"/>
  <c r="C1172" i="9"/>
  <c r="D1172" i="9" l="1"/>
  <c r="G1172" i="9" s="1"/>
  <c r="H1172" i="9" s="1"/>
  <c r="I1172" i="9" s="1"/>
  <c r="B1173" i="9" l="1"/>
  <c r="K1172" i="9"/>
  <c r="O1172" i="9" s="1"/>
  <c r="J1172" i="9"/>
  <c r="L1172" i="9" l="1"/>
  <c r="M1172" i="9" s="1"/>
  <c r="N1172" i="9" s="1"/>
  <c r="C1173" i="9"/>
  <c r="D1173" i="9" l="1"/>
  <c r="G1173" i="9" s="1"/>
  <c r="H1173" i="9" s="1"/>
  <c r="J1173" i="9" s="1"/>
  <c r="I1173" i="9" l="1"/>
  <c r="B1174" i="9" l="1"/>
  <c r="K1173" i="9"/>
  <c r="O1173" i="9" s="1"/>
  <c r="L1173" i="9" l="1"/>
  <c r="M1173" i="9" s="1"/>
  <c r="N1173" i="9" s="1"/>
  <c r="C1174" i="9"/>
  <c r="D1174" i="9" l="1"/>
  <c r="G1174" i="9" s="1"/>
  <c r="H1174" i="9" s="1"/>
  <c r="I1174" i="9" s="1"/>
  <c r="B1175" i="9" l="1"/>
  <c r="K1174" i="9"/>
  <c r="O1174" i="9" s="1"/>
  <c r="J1174" i="9"/>
  <c r="L1174" i="9" l="1"/>
  <c r="M1174" i="9" s="1"/>
  <c r="N1174" i="9" s="1"/>
  <c r="C1175" i="9"/>
  <c r="D1175" i="9" l="1"/>
  <c r="G1175" i="9" s="1"/>
  <c r="H1175" i="9" s="1"/>
  <c r="I1175" i="9" s="1"/>
  <c r="B1176" i="9" l="1"/>
  <c r="K1175" i="9"/>
  <c r="O1175" i="9" s="1"/>
  <c r="J1175" i="9"/>
  <c r="L1175" i="9" l="1"/>
  <c r="M1175" i="9" s="1"/>
  <c r="N1175" i="9" s="1"/>
  <c r="C1176" i="9"/>
  <c r="D1176" i="9" l="1"/>
  <c r="G1176" i="9" s="1"/>
  <c r="H1176" i="9" s="1"/>
  <c r="J1176" i="9" s="1"/>
  <c r="I1176" i="9" l="1"/>
  <c r="B1177" i="9" l="1"/>
  <c r="K1176" i="9"/>
  <c r="O1176" i="9" s="1"/>
  <c r="L1176" i="9" l="1"/>
  <c r="M1176" i="9" s="1"/>
  <c r="N1176" i="9" s="1"/>
  <c r="C1177" i="9"/>
  <c r="D1177" i="9" l="1"/>
  <c r="G1177" i="9" s="1"/>
  <c r="H1177" i="9" s="1"/>
  <c r="J1177" i="9" s="1"/>
  <c r="I1177" i="9" l="1"/>
  <c r="B1178" i="9" l="1"/>
  <c r="K1177" i="9"/>
  <c r="O1177" i="9" s="1"/>
  <c r="L1177" i="9" l="1"/>
  <c r="M1177" i="9" s="1"/>
  <c r="N1177" i="9" s="1"/>
  <c r="C1178" i="9"/>
  <c r="D1178" i="9" l="1"/>
  <c r="G1178" i="9" s="1"/>
  <c r="H1178" i="9" s="1"/>
  <c r="I1178" i="9" s="1"/>
  <c r="B1179" i="9" l="1"/>
  <c r="K1178" i="9"/>
  <c r="O1178" i="9" s="1"/>
  <c r="J1178" i="9"/>
  <c r="L1178" i="9" l="1"/>
  <c r="M1178" i="9" s="1"/>
  <c r="N1178" i="9" s="1"/>
  <c r="C1179" i="9"/>
  <c r="D1179" i="9" l="1"/>
  <c r="G1179" i="9" s="1"/>
  <c r="H1179" i="9" s="1"/>
  <c r="J1179" i="9" s="1"/>
  <c r="I1179" i="9" l="1"/>
  <c r="B1180" i="9" l="1"/>
  <c r="K1179" i="9"/>
  <c r="O1179" i="9" s="1"/>
  <c r="L1179" i="9" l="1"/>
  <c r="M1179" i="9" s="1"/>
  <c r="N1179" i="9" s="1"/>
  <c r="C1180" i="9"/>
  <c r="D1180" i="9" l="1"/>
  <c r="G1180" i="9" s="1"/>
  <c r="H1180" i="9" s="1"/>
  <c r="I1180" i="9" s="1"/>
  <c r="B1181" i="9" l="1"/>
  <c r="K1180" i="9"/>
  <c r="O1180" i="9" s="1"/>
  <c r="J1180" i="9"/>
  <c r="L1180" i="9" l="1"/>
  <c r="M1180" i="9" s="1"/>
  <c r="N1180" i="9" s="1"/>
  <c r="C1181" i="9"/>
  <c r="D1181" i="9" l="1"/>
  <c r="G1181" i="9" s="1"/>
  <c r="H1181" i="9" s="1"/>
  <c r="J1181" i="9" s="1"/>
  <c r="I1181" i="9" l="1"/>
  <c r="B1182" i="9" l="1"/>
  <c r="K1181" i="9"/>
  <c r="O1181" i="9" s="1"/>
  <c r="L1181" i="9" l="1"/>
  <c r="M1181" i="9" s="1"/>
  <c r="N1181" i="9" s="1"/>
  <c r="C1182" i="9"/>
  <c r="D1182" i="9" l="1"/>
  <c r="G1182" i="9" s="1"/>
  <c r="H1182" i="9" s="1"/>
  <c r="I1182" i="9" s="1"/>
  <c r="B1183" i="9" l="1"/>
  <c r="K1182" i="9"/>
  <c r="O1182" i="9" s="1"/>
  <c r="J1182" i="9"/>
  <c r="L1182" i="9" l="1"/>
  <c r="M1182" i="9" s="1"/>
  <c r="N1182" i="9" s="1"/>
  <c r="C1183" i="9"/>
  <c r="D1183" i="9" l="1"/>
  <c r="G1183" i="9" s="1"/>
  <c r="H1183" i="9" s="1"/>
  <c r="I1183" i="9" s="1"/>
  <c r="B1184" i="9" l="1"/>
  <c r="K1183" i="9"/>
  <c r="O1183" i="9" s="1"/>
  <c r="J1183" i="9"/>
  <c r="L1183" i="9" l="1"/>
  <c r="M1183" i="9" s="1"/>
  <c r="N1183" i="9" s="1"/>
  <c r="C1184" i="9"/>
  <c r="D1184" i="9" l="1"/>
  <c r="G1184" i="9" s="1"/>
  <c r="H1184" i="9" s="1"/>
  <c r="J1184" i="9" s="1"/>
  <c r="I1184" i="9" l="1"/>
  <c r="B1185" i="9" l="1"/>
  <c r="K1184" i="9"/>
  <c r="O1184" i="9" s="1"/>
  <c r="L1184" i="9" l="1"/>
  <c r="M1184" i="9" s="1"/>
  <c r="N1184" i="9" s="1"/>
  <c r="C1185" i="9"/>
  <c r="D1185" i="9" l="1"/>
  <c r="G1185" i="9" s="1"/>
  <c r="H1185" i="9" s="1"/>
  <c r="I1185" i="9" s="1"/>
  <c r="B1186" i="9" l="1"/>
  <c r="K1185" i="9"/>
  <c r="O1185" i="9" s="1"/>
  <c r="J1185" i="9"/>
  <c r="L1185" i="9" l="1"/>
  <c r="M1185" i="9" s="1"/>
  <c r="N1185" i="9" s="1"/>
  <c r="C1186" i="9"/>
  <c r="D1186" i="9" l="1"/>
  <c r="G1186" i="9" s="1"/>
  <c r="H1186" i="9" s="1"/>
  <c r="J1186" i="9" s="1"/>
  <c r="I1186" i="9" l="1"/>
  <c r="B1187" i="9" l="1"/>
  <c r="K1186" i="9"/>
  <c r="O1186" i="9" s="1"/>
  <c r="L1186" i="9" l="1"/>
  <c r="M1186" i="9" s="1"/>
  <c r="N1186" i="9" s="1"/>
  <c r="C1187" i="9"/>
  <c r="D1187" i="9" l="1"/>
  <c r="G1187" i="9" s="1"/>
  <c r="H1187" i="9" s="1"/>
  <c r="J1187" i="9" s="1"/>
  <c r="I1187" i="9" l="1"/>
  <c r="B1188" i="9" s="1"/>
  <c r="K1187" i="9" l="1"/>
  <c r="O1187" i="9" s="1"/>
  <c r="C1188" i="9"/>
  <c r="L1187" i="9" l="1"/>
  <c r="M1187" i="9" s="1"/>
  <c r="N1187" i="9" s="1"/>
  <c r="D1188" i="9"/>
  <c r="G1188" i="9" s="1"/>
  <c r="H1188" i="9" s="1"/>
  <c r="I1188" i="9" s="1"/>
  <c r="B1189" i="9" l="1"/>
  <c r="K1188" i="9"/>
  <c r="O1188" i="9" s="1"/>
  <c r="J1188" i="9"/>
  <c r="L1188" i="9" l="1"/>
  <c r="M1188" i="9" s="1"/>
  <c r="N1188" i="9" s="1"/>
  <c r="C1189" i="9"/>
  <c r="D1189" i="9" l="1"/>
  <c r="G1189" i="9" s="1"/>
  <c r="H1189" i="9" s="1"/>
  <c r="J1189" i="9" s="1"/>
  <c r="I1189" i="9" l="1"/>
  <c r="B1190" i="9" l="1"/>
  <c r="K1189" i="9"/>
  <c r="O1189" i="9" s="1"/>
  <c r="L1189" i="9" l="1"/>
  <c r="M1189" i="9" s="1"/>
  <c r="N1189" i="9" s="1"/>
  <c r="C1190" i="9"/>
  <c r="D1190" i="9" l="1"/>
  <c r="G1190" i="9" s="1"/>
  <c r="H1190" i="9" s="1"/>
  <c r="I1190" i="9" s="1"/>
  <c r="B1191" i="9" l="1"/>
  <c r="K1190" i="9"/>
  <c r="O1190" i="9" s="1"/>
  <c r="J1190" i="9"/>
  <c r="L1190" i="9" l="1"/>
  <c r="M1190" i="9" s="1"/>
  <c r="N1190" i="9" s="1"/>
  <c r="C1191" i="9"/>
  <c r="D1191" i="9" l="1"/>
  <c r="G1191" i="9" s="1"/>
  <c r="H1191" i="9" s="1"/>
  <c r="J1191" i="9" s="1"/>
  <c r="I1191" i="9" l="1"/>
  <c r="B1192" i="9" l="1"/>
  <c r="K1191" i="9"/>
  <c r="O1191" i="9" s="1"/>
  <c r="L1191" i="9" l="1"/>
  <c r="M1191" i="9" s="1"/>
  <c r="N1191" i="9" s="1"/>
  <c r="C1192" i="9"/>
  <c r="D1192" i="9" l="1"/>
  <c r="G1192" i="9" s="1"/>
  <c r="H1192" i="9" s="1"/>
  <c r="I1192" i="9" s="1"/>
  <c r="B1193" i="9" l="1"/>
  <c r="K1192" i="9"/>
  <c r="O1192" i="9" s="1"/>
  <c r="J1192" i="9"/>
  <c r="L1192" i="9" l="1"/>
  <c r="M1192" i="9" s="1"/>
  <c r="N1192" i="9" s="1"/>
  <c r="C1193" i="9"/>
  <c r="D1193" i="9" l="1"/>
  <c r="G1193" i="9" s="1"/>
  <c r="H1193" i="9" s="1"/>
  <c r="J1193" i="9" s="1"/>
  <c r="I1193" i="9" l="1"/>
  <c r="B1194" i="9" l="1"/>
  <c r="K1193" i="9"/>
  <c r="O1193" i="9" s="1"/>
  <c r="L1193" i="9" l="1"/>
  <c r="M1193" i="9" s="1"/>
  <c r="N1193" i="9" s="1"/>
  <c r="C1194" i="9"/>
  <c r="D1194" i="9" l="1"/>
  <c r="G1194" i="9" s="1"/>
  <c r="H1194" i="9" s="1"/>
  <c r="J1194" i="9" s="1"/>
  <c r="I1194" i="9" l="1"/>
  <c r="B1195" i="9" l="1"/>
  <c r="K1194" i="9"/>
  <c r="O1194" i="9" s="1"/>
  <c r="L1194" i="9" l="1"/>
  <c r="M1194" i="9" s="1"/>
  <c r="N1194" i="9" s="1"/>
  <c r="C1195" i="9"/>
  <c r="D1195" i="9" l="1"/>
  <c r="G1195" i="9" s="1"/>
  <c r="H1195" i="9" s="1"/>
  <c r="J1195" i="9" s="1"/>
  <c r="I1195" i="9" l="1"/>
  <c r="B1196" i="9" l="1"/>
  <c r="K1195" i="9"/>
  <c r="O1195" i="9" s="1"/>
  <c r="L1195" i="9" l="1"/>
  <c r="M1195" i="9" s="1"/>
  <c r="N1195" i="9" s="1"/>
  <c r="C1196" i="9"/>
  <c r="D1196" i="9" l="1"/>
  <c r="G1196" i="9" s="1"/>
  <c r="H1196" i="9" s="1"/>
  <c r="J1196" i="9" s="1"/>
  <c r="I1196" i="9" l="1"/>
  <c r="B1197" i="9" l="1"/>
  <c r="K1196" i="9"/>
  <c r="O1196" i="9" s="1"/>
  <c r="L1196" i="9" l="1"/>
  <c r="M1196" i="9" s="1"/>
  <c r="N1196" i="9" s="1"/>
  <c r="C1197" i="9"/>
  <c r="D1197" i="9" l="1"/>
  <c r="G1197" i="9" s="1"/>
  <c r="H1197" i="9" s="1"/>
  <c r="I1197" i="9" s="1"/>
  <c r="B1198" i="9" l="1"/>
  <c r="K1197" i="9"/>
  <c r="O1197" i="9" s="1"/>
  <c r="J1197" i="9"/>
  <c r="L1197" i="9" l="1"/>
  <c r="M1197" i="9" s="1"/>
  <c r="N1197" i="9" s="1"/>
  <c r="C1198" i="9"/>
  <c r="D1198" i="9" l="1"/>
  <c r="G1198" i="9" s="1"/>
  <c r="H1198" i="9" s="1"/>
  <c r="I1198" i="9" s="1"/>
  <c r="B1199" i="9" l="1"/>
  <c r="K1198" i="9"/>
  <c r="O1198" i="9" s="1"/>
  <c r="J1198" i="9"/>
  <c r="L1198" i="9" l="1"/>
  <c r="M1198" i="9" s="1"/>
  <c r="N1198" i="9" s="1"/>
  <c r="C1199" i="9"/>
  <c r="D1199" i="9" l="1"/>
  <c r="G1199" i="9" s="1"/>
  <c r="H1199" i="9" s="1"/>
  <c r="J1199" i="9" s="1"/>
  <c r="I1199" i="9" l="1"/>
  <c r="B1200" i="9" l="1"/>
  <c r="K1199" i="9"/>
  <c r="O1199" i="9" s="1"/>
  <c r="L1199" i="9" l="1"/>
  <c r="M1199" i="9" s="1"/>
  <c r="N1199" i="9" s="1"/>
  <c r="C1200" i="9"/>
  <c r="D1200" i="9" l="1"/>
  <c r="G1200" i="9" s="1"/>
  <c r="H1200" i="9" s="1"/>
  <c r="I1200" i="9" s="1"/>
  <c r="B1201" i="9" l="1"/>
  <c r="K1200" i="9"/>
  <c r="O1200" i="9" s="1"/>
  <c r="J1200" i="9"/>
  <c r="L1200" i="9" l="1"/>
  <c r="M1200" i="9" s="1"/>
  <c r="N1200" i="9" s="1"/>
  <c r="C1201" i="9"/>
  <c r="D1201" i="9" l="1"/>
  <c r="G1201" i="9" s="1"/>
  <c r="H1201" i="9" s="1"/>
  <c r="I1201" i="9" s="1"/>
  <c r="B1202" i="9" l="1"/>
  <c r="K1201" i="9"/>
  <c r="O1201" i="9" s="1"/>
  <c r="J1201" i="9"/>
  <c r="L1201" i="9" l="1"/>
  <c r="M1201" i="9" s="1"/>
  <c r="N1201" i="9" s="1"/>
  <c r="C1202" i="9"/>
  <c r="D1202" i="9" l="1"/>
  <c r="G1202" i="9" s="1"/>
  <c r="H1202" i="9" s="1"/>
  <c r="J1202" i="9" s="1"/>
  <c r="I1202" i="9" l="1"/>
  <c r="B1203" i="9" l="1"/>
  <c r="K1202" i="9"/>
  <c r="O1202" i="9" s="1"/>
  <c r="L1202" i="9" l="1"/>
  <c r="M1202" i="9" s="1"/>
  <c r="N1202" i="9" s="1"/>
  <c r="C1203" i="9"/>
  <c r="D1203" i="9" l="1"/>
  <c r="G1203" i="9" s="1"/>
  <c r="H1203" i="9" s="1"/>
  <c r="J1203" i="9" s="1"/>
  <c r="I1203" i="9" l="1"/>
  <c r="B1204" i="9" l="1"/>
  <c r="K1203" i="9"/>
  <c r="O1203" i="9" s="1"/>
  <c r="L1203" i="9" l="1"/>
  <c r="M1203" i="9" s="1"/>
  <c r="N1203" i="9" s="1"/>
  <c r="C1204" i="9"/>
  <c r="D1204" i="9" l="1"/>
  <c r="G1204" i="9" s="1"/>
  <c r="H1204" i="9" s="1"/>
  <c r="J1204" i="9" s="1"/>
  <c r="I1204" i="9" l="1"/>
  <c r="B1205" i="9" l="1"/>
  <c r="K1204" i="9"/>
  <c r="O1204" i="9" s="1"/>
  <c r="L1204" i="9" l="1"/>
  <c r="M1204" i="9" s="1"/>
  <c r="N1204" i="9" s="1"/>
  <c r="C1205" i="9"/>
  <c r="D1205" i="9" l="1"/>
  <c r="G1205" i="9" s="1"/>
  <c r="H1205" i="9" s="1"/>
  <c r="J1205" i="9" s="1"/>
  <c r="I1205" i="9" l="1"/>
  <c r="B1206" i="9" l="1"/>
  <c r="K1205" i="9"/>
  <c r="O1205" i="9" s="1"/>
  <c r="L1205" i="9" l="1"/>
  <c r="M1205" i="9" s="1"/>
  <c r="N1205" i="9" s="1"/>
  <c r="C1206" i="9"/>
  <c r="D1206" i="9" l="1"/>
  <c r="G1206" i="9" s="1"/>
  <c r="H1206" i="9" s="1"/>
  <c r="I1206" i="9" s="1"/>
  <c r="B1207" i="9" l="1"/>
  <c r="K1206" i="9"/>
  <c r="O1206" i="9" s="1"/>
  <c r="J1206" i="9"/>
  <c r="L1206" i="9" l="1"/>
  <c r="M1206" i="9" s="1"/>
  <c r="N1206" i="9" s="1"/>
  <c r="C1207" i="9"/>
  <c r="D1207" i="9" l="1"/>
  <c r="G1207" i="9" s="1"/>
  <c r="H1207" i="9" s="1"/>
  <c r="J1207" i="9" s="1"/>
  <c r="I1207" i="9" l="1"/>
  <c r="B1208" i="9" l="1"/>
  <c r="K1207" i="9"/>
  <c r="O1207" i="9" s="1"/>
  <c r="L1207" i="9" l="1"/>
  <c r="M1207" i="9" s="1"/>
  <c r="N1207" i="9" s="1"/>
  <c r="C1208" i="9"/>
  <c r="D1208" i="9" l="1"/>
  <c r="G1208" i="9" s="1"/>
  <c r="H1208" i="9" s="1"/>
  <c r="I1208" i="9" s="1"/>
  <c r="B1209" i="9" l="1"/>
  <c r="K1208" i="9"/>
  <c r="O1208" i="9" s="1"/>
  <c r="J1208" i="9"/>
  <c r="L1208" i="9" l="1"/>
  <c r="M1208" i="9" s="1"/>
  <c r="N1208" i="9" s="1"/>
  <c r="C1209" i="9"/>
  <c r="D1209" i="9" l="1"/>
  <c r="G1209" i="9" s="1"/>
  <c r="H1209" i="9" s="1"/>
  <c r="I1209" i="9" s="1"/>
  <c r="B1210" i="9" l="1"/>
  <c r="K1209" i="9"/>
  <c r="O1209" i="9" s="1"/>
  <c r="J1209" i="9"/>
  <c r="L1209" i="9" l="1"/>
  <c r="M1209" i="9" s="1"/>
  <c r="N1209" i="9" s="1"/>
  <c r="C1210" i="9"/>
  <c r="D1210" i="9" l="1"/>
  <c r="G1210" i="9" s="1"/>
  <c r="H1210" i="9" s="1"/>
  <c r="J1210" i="9" s="1"/>
  <c r="I1210" i="9" l="1"/>
  <c r="B1211" i="9" l="1"/>
  <c r="K1210" i="9"/>
  <c r="O1210" i="9" s="1"/>
  <c r="L1210" i="9" l="1"/>
  <c r="M1210" i="9" s="1"/>
  <c r="N1210" i="9" s="1"/>
  <c r="C1211" i="9"/>
  <c r="D1211" i="9" l="1"/>
  <c r="G1211" i="9" s="1"/>
  <c r="H1211" i="9" s="1"/>
  <c r="J1211" i="9" s="1"/>
  <c r="I1211" i="9" l="1"/>
  <c r="B1212" i="9" l="1"/>
  <c r="K1211" i="9"/>
  <c r="O1211" i="9" s="1"/>
  <c r="L1211" i="9" l="1"/>
  <c r="M1211" i="9" s="1"/>
  <c r="N1211" i="9" s="1"/>
  <c r="C1212" i="9"/>
  <c r="D1212" i="9" l="1"/>
  <c r="G1212" i="9" s="1"/>
  <c r="H1212" i="9" s="1"/>
  <c r="J1212" i="9" s="1"/>
  <c r="I1212" i="9" l="1"/>
  <c r="B1213" i="9" l="1"/>
  <c r="K1212" i="9"/>
  <c r="O1212" i="9" s="1"/>
  <c r="L1212" i="9" l="1"/>
  <c r="M1212" i="9" s="1"/>
  <c r="N1212" i="9" s="1"/>
  <c r="C1213" i="9"/>
  <c r="D1213" i="9" l="1"/>
  <c r="G1213" i="9" s="1"/>
  <c r="H1213" i="9" s="1"/>
  <c r="J1213" i="9" s="1"/>
  <c r="I1213" i="9" l="1"/>
  <c r="B1214" i="9" l="1"/>
  <c r="K1213" i="9"/>
  <c r="O1213" i="9" s="1"/>
  <c r="L1213" i="9" l="1"/>
  <c r="M1213" i="9" s="1"/>
  <c r="N1213" i="9" s="1"/>
  <c r="C1214" i="9"/>
  <c r="D1214" i="9" l="1"/>
  <c r="G1214" i="9" s="1"/>
  <c r="H1214" i="9" s="1"/>
  <c r="I1214" i="9" s="1"/>
  <c r="B1215" i="9" l="1"/>
  <c r="K1214" i="9"/>
  <c r="O1214" i="9" s="1"/>
  <c r="J1214" i="9"/>
  <c r="L1214" i="9" l="1"/>
  <c r="M1214" i="9" s="1"/>
  <c r="N1214" i="9" s="1"/>
  <c r="C1215" i="9"/>
  <c r="D1215" i="9" l="1"/>
  <c r="G1215" i="9" s="1"/>
  <c r="H1215" i="9" s="1"/>
  <c r="J1215" i="9" s="1"/>
  <c r="I1215" i="9" l="1"/>
  <c r="B1216" i="9" l="1"/>
  <c r="K1215" i="9"/>
  <c r="O1215" i="9" s="1"/>
  <c r="L1215" i="9" l="1"/>
  <c r="M1215" i="9" s="1"/>
  <c r="N1215" i="9" s="1"/>
  <c r="C1216" i="9"/>
  <c r="D1216" i="9" l="1"/>
  <c r="G1216" i="9" s="1"/>
  <c r="H1216" i="9" s="1"/>
  <c r="I1216" i="9" s="1"/>
  <c r="B1217" i="9" l="1"/>
  <c r="K1216" i="9"/>
  <c r="O1216" i="9" s="1"/>
  <c r="J1216" i="9"/>
  <c r="L1216" i="9" l="1"/>
  <c r="M1216" i="9" s="1"/>
  <c r="N1216" i="9" s="1"/>
  <c r="C1217" i="9"/>
  <c r="D1217" i="9" l="1"/>
  <c r="G1217" i="9" s="1"/>
  <c r="H1217" i="9" s="1"/>
  <c r="J1217" i="9" s="1"/>
  <c r="I1217" i="9" l="1"/>
  <c r="B1218" i="9" s="1"/>
  <c r="K1217" i="9" l="1"/>
  <c r="O1217" i="9" s="1"/>
  <c r="C1218" i="9"/>
  <c r="L1217" i="9" l="1"/>
  <c r="M1217" i="9" s="1"/>
  <c r="N1217" i="9" s="1"/>
  <c r="D1218" i="9"/>
  <c r="G1218" i="9" s="1"/>
  <c r="H1218" i="9" s="1"/>
  <c r="J1218" i="9" s="1"/>
  <c r="I1218" i="9" l="1"/>
  <c r="B1219" i="9" l="1"/>
  <c r="K1218" i="9"/>
  <c r="O1218" i="9" s="1"/>
  <c r="L1218" i="9" l="1"/>
  <c r="M1218" i="9" s="1"/>
  <c r="N1218" i="9" s="1"/>
  <c r="C1219" i="9"/>
  <c r="D1219" i="9" l="1"/>
  <c r="G1219" i="9" s="1"/>
  <c r="H1219" i="9" s="1"/>
  <c r="J1219" i="9" s="1"/>
  <c r="I1219" i="9" l="1"/>
  <c r="B1220" i="9" l="1"/>
  <c r="K1219" i="9"/>
  <c r="O1219" i="9" s="1"/>
  <c r="L1219" i="9" l="1"/>
  <c r="M1219" i="9" s="1"/>
  <c r="N1219" i="9" s="1"/>
  <c r="C1220" i="9"/>
  <c r="D1220" i="9" l="1"/>
  <c r="G1220" i="9" s="1"/>
  <c r="H1220" i="9" s="1"/>
  <c r="J1220" i="9" s="1"/>
  <c r="I1220" i="9" l="1"/>
  <c r="B1221" i="9" s="1"/>
  <c r="K1220" i="9" l="1"/>
  <c r="O1220" i="9" s="1"/>
  <c r="C1221" i="9"/>
  <c r="L1220" i="9" l="1"/>
  <c r="M1220" i="9" s="1"/>
  <c r="N1220" i="9" s="1"/>
  <c r="D1221" i="9"/>
  <c r="G1221" i="9" s="1"/>
  <c r="H1221" i="9" s="1"/>
  <c r="J1221" i="9" s="1"/>
  <c r="I1221" i="9" l="1"/>
  <c r="B1222" i="9" s="1"/>
  <c r="K1221" i="9" l="1"/>
  <c r="O1221" i="9" s="1"/>
  <c r="C1222" i="9"/>
  <c r="L1221" i="9" l="1"/>
  <c r="M1221" i="9" s="1"/>
  <c r="N1221" i="9" s="1"/>
  <c r="D1222" i="9"/>
  <c r="G1222" i="9" s="1"/>
  <c r="H1222" i="9" s="1"/>
  <c r="I1222" i="9" s="1"/>
  <c r="B1223" i="9" l="1"/>
  <c r="K1222" i="9"/>
  <c r="O1222" i="9" s="1"/>
  <c r="J1222" i="9"/>
  <c r="L1222" i="9" l="1"/>
  <c r="M1222" i="9" s="1"/>
  <c r="N1222" i="9" s="1"/>
  <c r="C1223" i="9"/>
  <c r="D1223" i="9" l="1"/>
  <c r="G1223" i="9" s="1"/>
  <c r="H1223" i="9" s="1"/>
  <c r="J1223" i="9" s="1"/>
  <c r="I1223" i="9" l="1"/>
  <c r="B1224" i="9" l="1"/>
  <c r="K1223" i="9"/>
  <c r="O1223" i="9" s="1"/>
  <c r="L1223" i="9" l="1"/>
  <c r="M1223" i="9" s="1"/>
  <c r="N1223" i="9" s="1"/>
  <c r="C1224" i="9"/>
  <c r="D1224" i="9" l="1"/>
  <c r="G1224" i="9" s="1"/>
  <c r="H1224" i="9" s="1"/>
  <c r="I1224" i="9" s="1"/>
  <c r="B1225" i="9" l="1"/>
  <c r="K1224" i="9"/>
  <c r="O1224" i="9" s="1"/>
  <c r="J1224" i="9"/>
  <c r="L1224" i="9" l="1"/>
  <c r="M1224" i="9" s="1"/>
  <c r="N1224" i="9" s="1"/>
  <c r="C1225" i="9"/>
  <c r="D1225" i="9" l="1"/>
  <c r="G1225" i="9" s="1"/>
  <c r="H1225" i="9" s="1"/>
  <c r="J1225" i="9" s="1"/>
  <c r="I1225" i="9" l="1"/>
  <c r="B1226" i="9" l="1"/>
  <c r="K1225" i="9"/>
  <c r="O1225" i="9" s="1"/>
  <c r="L1225" i="9" l="1"/>
  <c r="M1225" i="9" s="1"/>
  <c r="N1225" i="9" s="1"/>
  <c r="C1226" i="9"/>
  <c r="D1226" i="9" l="1"/>
  <c r="G1226" i="9" s="1"/>
  <c r="H1226" i="9" s="1"/>
  <c r="J1226" i="9" s="1"/>
  <c r="I1226" i="9" l="1"/>
  <c r="B1227" i="9" l="1"/>
  <c r="K1226" i="9"/>
  <c r="O1226" i="9" s="1"/>
  <c r="L1226" i="9" l="1"/>
  <c r="M1226" i="9" s="1"/>
  <c r="N1226" i="9" s="1"/>
  <c r="C1227" i="9"/>
  <c r="D1227" i="9" l="1"/>
  <c r="G1227" i="9" s="1"/>
  <c r="H1227" i="9" s="1"/>
  <c r="J1227" i="9" s="1"/>
  <c r="I1227" i="9" l="1"/>
  <c r="B1228" i="9" l="1"/>
  <c r="K1227" i="9"/>
  <c r="O1227" i="9" s="1"/>
  <c r="L1227" i="9" l="1"/>
  <c r="M1227" i="9" s="1"/>
  <c r="N1227" i="9" s="1"/>
  <c r="C1228" i="9"/>
  <c r="D1228" i="9" l="1"/>
  <c r="G1228" i="9" s="1"/>
  <c r="H1228" i="9" s="1"/>
  <c r="J1228" i="9" s="1"/>
  <c r="I1228" i="9" l="1"/>
  <c r="B1229" i="9" l="1"/>
  <c r="K1228" i="9"/>
  <c r="O1228" i="9" s="1"/>
  <c r="L1228" i="9" l="1"/>
  <c r="M1228" i="9" s="1"/>
  <c r="N1228" i="9" s="1"/>
  <c r="C1229" i="9"/>
  <c r="D1229" i="9" l="1"/>
  <c r="G1229" i="9" s="1"/>
  <c r="H1229" i="9" s="1"/>
  <c r="J1229" i="9" s="1"/>
  <c r="I1229" i="9" l="1"/>
  <c r="B1230" i="9" l="1"/>
  <c r="K1229" i="9"/>
  <c r="O1229" i="9" s="1"/>
  <c r="L1229" i="9" l="1"/>
  <c r="M1229" i="9" s="1"/>
  <c r="N1229" i="9" s="1"/>
  <c r="C1230" i="9"/>
  <c r="D1230" i="9" l="1"/>
  <c r="G1230" i="9" s="1"/>
  <c r="H1230" i="9" s="1"/>
  <c r="I1230" i="9" s="1"/>
  <c r="B1231" i="9" l="1"/>
  <c r="K1230" i="9"/>
  <c r="O1230" i="9" s="1"/>
  <c r="J1230" i="9"/>
  <c r="L1230" i="9" l="1"/>
  <c r="M1230" i="9" s="1"/>
  <c r="N1230" i="9" s="1"/>
  <c r="C1231" i="9"/>
  <c r="D1231" i="9" l="1"/>
  <c r="G1231" i="9" s="1"/>
  <c r="H1231" i="9" s="1"/>
  <c r="J1231" i="9" s="1"/>
  <c r="I1231" i="9" l="1"/>
  <c r="B1232" i="9" l="1"/>
  <c r="K1231" i="9"/>
  <c r="O1231" i="9" s="1"/>
  <c r="L1231" i="9" l="1"/>
  <c r="M1231" i="9" s="1"/>
  <c r="N1231" i="9" s="1"/>
  <c r="C1232" i="9"/>
  <c r="D1232" i="9" l="1"/>
  <c r="G1232" i="9" s="1"/>
  <c r="H1232" i="9" s="1"/>
  <c r="I1232" i="9" s="1"/>
  <c r="B1233" i="9" l="1"/>
  <c r="K1232" i="9"/>
  <c r="O1232" i="9" s="1"/>
  <c r="J1232" i="9"/>
  <c r="L1232" i="9" l="1"/>
  <c r="M1232" i="9" s="1"/>
  <c r="N1232" i="9" s="1"/>
  <c r="C1233" i="9"/>
  <c r="D1233" i="9" l="1"/>
  <c r="G1233" i="9" s="1"/>
  <c r="H1233" i="9" s="1"/>
  <c r="I1233" i="9" s="1"/>
  <c r="B1234" i="9" l="1"/>
  <c r="K1233" i="9"/>
  <c r="O1233" i="9" s="1"/>
  <c r="J1233" i="9"/>
  <c r="L1233" i="9" l="1"/>
  <c r="M1233" i="9" s="1"/>
  <c r="N1233" i="9" s="1"/>
  <c r="C1234" i="9"/>
  <c r="D1234" i="9" l="1"/>
  <c r="G1234" i="9" s="1"/>
  <c r="H1234" i="9" s="1"/>
  <c r="J1234" i="9" s="1"/>
  <c r="I1234" i="9" l="1"/>
  <c r="B1235" i="9" l="1"/>
  <c r="K1234" i="9"/>
  <c r="O1234" i="9" s="1"/>
  <c r="L1234" i="9" l="1"/>
  <c r="M1234" i="9" s="1"/>
  <c r="N1234" i="9" s="1"/>
  <c r="C1235" i="9"/>
  <c r="D1235" i="9" l="1"/>
  <c r="G1235" i="9" s="1"/>
  <c r="H1235" i="9" s="1"/>
  <c r="I1235" i="9" s="1"/>
  <c r="B1236" i="9" l="1"/>
  <c r="K1235" i="9"/>
  <c r="O1235" i="9" s="1"/>
  <c r="J1235" i="9"/>
  <c r="L1235" i="9" l="1"/>
  <c r="M1235" i="9" s="1"/>
  <c r="N1235" i="9" s="1"/>
  <c r="C1236" i="9"/>
  <c r="D1236" i="9" l="1"/>
  <c r="G1236" i="9" s="1"/>
  <c r="H1236" i="9" s="1"/>
  <c r="J1236" i="9" s="1"/>
  <c r="I1236" i="9" l="1"/>
  <c r="B1237" i="9" l="1"/>
  <c r="K1236" i="9"/>
  <c r="O1236" i="9" s="1"/>
  <c r="L1236" i="9" l="1"/>
  <c r="M1236" i="9" s="1"/>
  <c r="N1236" i="9" s="1"/>
  <c r="C1237" i="9"/>
  <c r="D1237" i="9" l="1"/>
  <c r="G1237" i="9" s="1"/>
  <c r="H1237" i="9" s="1"/>
  <c r="J1237" i="9" s="1"/>
  <c r="I1237" i="9" l="1"/>
  <c r="B1238" i="9" l="1"/>
  <c r="K1237" i="9"/>
  <c r="O1237" i="9" s="1"/>
  <c r="L1237" i="9" l="1"/>
  <c r="M1237" i="9" s="1"/>
  <c r="N1237" i="9" s="1"/>
  <c r="C1238" i="9"/>
  <c r="D1238" i="9" l="1"/>
  <c r="G1238" i="9" s="1"/>
  <c r="H1238" i="9" s="1"/>
  <c r="I1238" i="9" s="1"/>
  <c r="B1239" i="9" l="1"/>
  <c r="K1238" i="9"/>
  <c r="O1238" i="9" s="1"/>
  <c r="J1238" i="9"/>
  <c r="L1238" i="9" l="1"/>
  <c r="M1238" i="9" s="1"/>
  <c r="N1238" i="9" s="1"/>
  <c r="C1239" i="9"/>
  <c r="D1239" i="9" l="1"/>
  <c r="G1239" i="9" s="1"/>
  <c r="H1239" i="9" s="1"/>
  <c r="J1239" i="9" s="1"/>
  <c r="I1239" i="9" l="1"/>
  <c r="B1240" i="9" l="1"/>
  <c r="K1239" i="9"/>
  <c r="O1239" i="9" s="1"/>
  <c r="L1239" i="9" l="1"/>
  <c r="M1239" i="9" s="1"/>
  <c r="N1239" i="9" s="1"/>
  <c r="C1240" i="9"/>
  <c r="D1240" i="9" l="1"/>
  <c r="G1240" i="9" s="1"/>
  <c r="H1240" i="9" s="1"/>
  <c r="I1240" i="9" s="1"/>
  <c r="B1241" i="9" l="1"/>
  <c r="K1240" i="9"/>
  <c r="O1240" i="9" s="1"/>
  <c r="J1240" i="9"/>
  <c r="L1240" i="9" l="1"/>
  <c r="M1240" i="9" s="1"/>
  <c r="N1240" i="9" s="1"/>
  <c r="C1241" i="9"/>
  <c r="D1241" i="9" l="1"/>
  <c r="G1241" i="9" s="1"/>
  <c r="H1241" i="9" s="1"/>
  <c r="I1241" i="9" s="1"/>
  <c r="B1242" i="9" l="1"/>
  <c r="K1241" i="9"/>
  <c r="O1241" i="9" s="1"/>
  <c r="J1241" i="9"/>
  <c r="L1241" i="9" l="1"/>
  <c r="M1241" i="9" s="1"/>
  <c r="N1241" i="9" s="1"/>
  <c r="C1242" i="9"/>
  <c r="D1242" i="9" l="1"/>
  <c r="G1242" i="9" s="1"/>
  <c r="H1242" i="9" s="1"/>
  <c r="J1242" i="9" s="1"/>
  <c r="I1242" i="9" l="1"/>
  <c r="B1243" i="9" l="1"/>
  <c r="K1242" i="9"/>
  <c r="O1242" i="9" s="1"/>
  <c r="L1242" i="9" l="1"/>
  <c r="M1242" i="9" s="1"/>
  <c r="N1242" i="9" s="1"/>
  <c r="C1243" i="9"/>
  <c r="D1243" i="9" l="1"/>
  <c r="G1243" i="9" s="1"/>
  <c r="H1243" i="9" s="1"/>
  <c r="I1243" i="9" s="1"/>
  <c r="B1244" i="9" l="1"/>
  <c r="K1243" i="9"/>
  <c r="O1243" i="9" s="1"/>
  <c r="J1243" i="9"/>
  <c r="L1243" i="9" l="1"/>
  <c r="M1243" i="9" s="1"/>
  <c r="N1243" i="9" s="1"/>
  <c r="C1244" i="9"/>
  <c r="D1244" i="9" l="1"/>
  <c r="G1244" i="9" s="1"/>
  <c r="H1244" i="9" s="1"/>
  <c r="J1244" i="9" s="1"/>
  <c r="I1244" i="9" l="1"/>
  <c r="B1245" i="9" l="1"/>
  <c r="K1244" i="9"/>
  <c r="O1244" i="9" s="1"/>
  <c r="L1244" i="9" l="1"/>
  <c r="M1244" i="9" s="1"/>
  <c r="N1244" i="9" s="1"/>
  <c r="C1245" i="9"/>
  <c r="D1245" i="9" l="1"/>
  <c r="G1245" i="9" s="1"/>
  <c r="H1245" i="9" s="1"/>
  <c r="J1245" i="9" s="1"/>
  <c r="I1245" i="9" l="1"/>
  <c r="B1246" i="9" l="1"/>
  <c r="K1245" i="9"/>
  <c r="O1245" i="9" s="1"/>
  <c r="L1245" i="9" l="1"/>
  <c r="M1245" i="9" s="1"/>
  <c r="N1245" i="9" s="1"/>
  <c r="C1246" i="9"/>
  <c r="D1246" i="9" l="1"/>
  <c r="G1246" i="9" s="1"/>
  <c r="H1246" i="9" s="1"/>
  <c r="I1246" i="9" s="1"/>
  <c r="B1247" i="9" l="1"/>
  <c r="K1246" i="9"/>
  <c r="O1246" i="9" s="1"/>
  <c r="J1246" i="9"/>
  <c r="L1246" i="9" l="1"/>
  <c r="M1246" i="9" s="1"/>
  <c r="N1246" i="9" s="1"/>
  <c r="C1247" i="9"/>
  <c r="D1247" i="9" l="1"/>
  <c r="G1247" i="9" s="1"/>
  <c r="H1247" i="9" s="1"/>
  <c r="J1247" i="9" s="1"/>
  <c r="I1247" i="9" l="1"/>
  <c r="B1248" i="9" l="1"/>
  <c r="K1247" i="9"/>
  <c r="O1247" i="9" s="1"/>
  <c r="L1247" i="9" l="1"/>
  <c r="M1247" i="9" s="1"/>
  <c r="N1247" i="9" s="1"/>
  <c r="C1248" i="9"/>
  <c r="D1248" i="9" l="1"/>
  <c r="G1248" i="9" s="1"/>
  <c r="H1248" i="9" s="1"/>
  <c r="I1248" i="9" s="1"/>
  <c r="B1249" i="9" l="1"/>
  <c r="K1248" i="9"/>
  <c r="O1248" i="9" s="1"/>
  <c r="J1248" i="9"/>
  <c r="L1248" i="9" l="1"/>
  <c r="M1248" i="9" s="1"/>
  <c r="N1248" i="9" s="1"/>
  <c r="C1249" i="9"/>
  <c r="D1249" i="9" l="1"/>
  <c r="G1249" i="9" s="1"/>
  <c r="H1249" i="9" s="1"/>
  <c r="I1249" i="9" s="1"/>
  <c r="B1250" i="9" l="1"/>
  <c r="K1249" i="9"/>
  <c r="O1249" i="9" s="1"/>
  <c r="J1249" i="9"/>
  <c r="L1249" i="9" l="1"/>
  <c r="M1249" i="9" s="1"/>
  <c r="N1249" i="9" s="1"/>
  <c r="C1250" i="9"/>
  <c r="D1250" i="9" l="1"/>
  <c r="G1250" i="9" s="1"/>
  <c r="H1250" i="9" s="1"/>
  <c r="J1250" i="9" s="1"/>
  <c r="I1250" i="9" l="1"/>
  <c r="B1251" i="9" l="1"/>
  <c r="K1250" i="9"/>
  <c r="O1250" i="9" s="1"/>
  <c r="L1250" i="9" l="1"/>
  <c r="M1250" i="9" s="1"/>
  <c r="N1250" i="9" s="1"/>
  <c r="C1251" i="9"/>
  <c r="D1251" i="9" l="1"/>
  <c r="G1251" i="9" s="1"/>
  <c r="H1251" i="9" s="1"/>
  <c r="J1251" i="9" s="1"/>
  <c r="I1251" i="9" l="1"/>
  <c r="B1252" i="9" l="1"/>
  <c r="K1251" i="9"/>
  <c r="O1251" i="9" s="1"/>
  <c r="L1251" i="9" l="1"/>
  <c r="M1251" i="9" s="1"/>
  <c r="N1251" i="9" s="1"/>
  <c r="C1252" i="9"/>
  <c r="D1252" i="9" l="1"/>
  <c r="G1252" i="9" s="1"/>
  <c r="H1252" i="9" s="1"/>
  <c r="J1252" i="9" s="1"/>
  <c r="I1252" i="9" l="1"/>
  <c r="B1253" i="9" l="1"/>
  <c r="K1252" i="9"/>
  <c r="O1252" i="9" s="1"/>
  <c r="L1252" i="9" l="1"/>
  <c r="M1252" i="9" s="1"/>
  <c r="N1252" i="9" s="1"/>
  <c r="C1253" i="9"/>
  <c r="D1253" i="9" l="1"/>
  <c r="G1253" i="9" s="1"/>
  <c r="H1253" i="9" s="1"/>
  <c r="J1253" i="9" s="1"/>
  <c r="I1253" i="9" l="1"/>
  <c r="B1254" i="9" l="1"/>
  <c r="K1253" i="9"/>
  <c r="O1253" i="9" s="1"/>
  <c r="L1253" i="9" l="1"/>
  <c r="M1253" i="9" s="1"/>
  <c r="N1253" i="9" s="1"/>
  <c r="C1254" i="9"/>
  <c r="D1254" i="9" l="1"/>
  <c r="G1254" i="9" s="1"/>
  <c r="H1254" i="9" s="1"/>
  <c r="I1254" i="9" s="1"/>
  <c r="B1255" i="9" l="1"/>
  <c r="K1254" i="9"/>
  <c r="O1254" i="9" s="1"/>
  <c r="J1254" i="9"/>
  <c r="L1254" i="9" l="1"/>
  <c r="M1254" i="9" s="1"/>
  <c r="N1254" i="9" s="1"/>
  <c r="C1255" i="9"/>
  <c r="D1255" i="9" l="1"/>
  <c r="G1255" i="9" s="1"/>
  <c r="H1255" i="9" s="1"/>
  <c r="J1255" i="9" s="1"/>
  <c r="I1255" i="9" l="1"/>
  <c r="B1256" i="9" l="1"/>
  <c r="K1255" i="9"/>
  <c r="O1255" i="9" s="1"/>
  <c r="L1255" i="9" l="1"/>
  <c r="M1255" i="9" s="1"/>
  <c r="N1255" i="9" s="1"/>
  <c r="C1256" i="9"/>
  <c r="D1256" i="9" l="1"/>
  <c r="G1256" i="9" s="1"/>
  <c r="H1256" i="9" s="1"/>
  <c r="I1256" i="9" s="1"/>
  <c r="B1257" i="9" l="1"/>
  <c r="K1256" i="9"/>
  <c r="O1256" i="9" s="1"/>
  <c r="J1256" i="9"/>
  <c r="L1256" i="9" l="1"/>
  <c r="M1256" i="9" s="1"/>
  <c r="N1256" i="9" s="1"/>
  <c r="C1257" i="9"/>
  <c r="D1257" i="9" l="1"/>
  <c r="G1257" i="9" s="1"/>
  <c r="H1257" i="9" s="1"/>
  <c r="I1257" i="9" s="1"/>
  <c r="B1258" i="9" l="1"/>
  <c r="K1257" i="9"/>
  <c r="O1257" i="9" s="1"/>
  <c r="J1257" i="9"/>
  <c r="L1257" i="9" l="1"/>
  <c r="M1257" i="9" s="1"/>
  <c r="N1257" i="9" s="1"/>
  <c r="C1258" i="9"/>
  <c r="D1258" i="9" l="1"/>
  <c r="G1258" i="9" s="1"/>
  <c r="H1258" i="9" s="1"/>
  <c r="J1258" i="9" s="1"/>
  <c r="I1258" i="9" l="1"/>
  <c r="B1259" i="9" l="1"/>
  <c r="K1258" i="9"/>
  <c r="O1258" i="9" s="1"/>
  <c r="L1258" i="9" l="1"/>
  <c r="M1258" i="9" s="1"/>
  <c r="N1258" i="9" s="1"/>
  <c r="C1259" i="9"/>
  <c r="D1259" i="9" l="1"/>
  <c r="G1259" i="9" s="1"/>
  <c r="H1259" i="9" s="1"/>
  <c r="J1259" i="9" s="1"/>
  <c r="I1259" i="9" l="1"/>
  <c r="B1260" i="9" l="1"/>
  <c r="K1259" i="9"/>
  <c r="O1259" i="9" s="1"/>
  <c r="L1259" i="9" l="1"/>
  <c r="M1259" i="9" s="1"/>
  <c r="N1259" i="9" s="1"/>
  <c r="C1260" i="9"/>
  <c r="D1260" i="9" l="1"/>
  <c r="G1260" i="9" s="1"/>
  <c r="H1260" i="9" s="1"/>
  <c r="J1260" i="9" s="1"/>
  <c r="I1260" i="9" l="1"/>
  <c r="B1261" i="9" l="1"/>
  <c r="K1260" i="9"/>
  <c r="O1260" i="9" s="1"/>
  <c r="L1260" i="9" l="1"/>
  <c r="M1260" i="9" s="1"/>
  <c r="N1260" i="9" s="1"/>
  <c r="C1261" i="9"/>
  <c r="D1261" i="9" l="1"/>
  <c r="G1261" i="9" s="1"/>
  <c r="H1261" i="9" s="1"/>
  <c r="J1261" i="9" s="1"/>
  <c r="I1261" i="9" l="1"/>
  <c r="B1262" i="9" l="1"/>
  <c r="K1261" i="9"/>
  <c r="O1261" i="9" s="1"/>
  <c r="L1261" i="9" l="1"/>
  <c r="M1261" i="9" s="1"/>
  <c r="N1261" i="9" s="1"/>
  <c r="C1262" i="9"/>
  <c r="D1262" i="9" l="1"/>
  <c r="G1262" i="9" s="1"/>
  <c r="H1262" i="9" s="1"/>
  <c r="I1262" i="9" s="1"/>
  <c r="B1263" i="9" l="1"/>
  <c r="K1262" i="9"/>
  <c r="O1262" i="9" s="1"/>
  <c r="J1262" i="9"/>
  <c r="L1262" i="9" l="1"/>
  <c r="M1262" i="9" s="1"/>
  <c r="N1262" i="9" s="1"/>
  <c r="C1263" i="9"/>
  <c r="D1263" i="9" l="1"/>
  <c r="G1263" i="9" s="1"/>
  <c r="H1263" i="9" s="1"/>
  <c r="J1263" i="9" s="1"/>
  <c r="I1263" i="9" l="1"/>
  <c r="B1264" i="9" l="1"/>
  <c r="K1263" i="9"/>
  <c r="O1263" i="9" s="1"/>
  <c r="L1263" i="9" l="1"/>
  <c r="M1263" i="9" s="1"/>
  <c r="N1263" i="9" s="1"/>
  <c r="C1264" i="9"/>
  <c r="D1264" i="9" l="1"/>
  <c r="G1264" i="9" s="1"/>
  <c r="H1264" i="9" s="1"/>
  <c r="I1264" i="9" s="1"/>
  <c r="B1265" i="9" l="1"/>
  <c r="K1264" i="9"/>
  <c r="O1264" i="9" s="1"/>
  <c r="J1264" i="9"/>
  <c r="L1264" i="9" l="1"/>
  <c r="M1264" i="9" s="1"/>
  <c r="N1264" i="9" s="1"/>
  <c r="C1265" i="9"/>
  <c r="D1265" i="9" l="1"/>
  <c r="G1265" i="9" s="1"/>
  <c r="H1265" i="9" s="1"/>
  <c r="I1265" i="9" s="1"/>
  <c r="B1266" i="9" l="1"/>
  <c r="K1265" i="9"/>
  <c r="O1265" i="9" s="1"/>
  <c r="J1265" i="9"/>
  <c r="L1265" i="9" l="1"/>
  <c r="M1265" i="9" s="1"/>
  <c r="N1265" i="9" s="1"/>
  <c r="C1266" i="9"/>
  <c r="D1266" i="9" l="1"/>
  <c r="G1266" i="9" s="1"/>
  <c r="H1266" i="9" s="1"/>
  <c r="J1266" i="9" s="1"/>
  <c r="I1266" i="9" l="1"/>
  <c r="B1267" i="9" l="1"/>
  <c r="K1266" i="9"/>
  <c r="O1266" i="9" s="1"/>
  <c r="L1266" i="9" l="1"/>
  <c r="M1266" i="9" s="1"/>
  <c r="N1266" i="9" s="1"/>
  <c r="C1267" i="9"/>
  <c r="D1267" i="9" l="1"/>
  <c r="G1267" i="9" s="1"/>
  <c r="H1267" i="9" s="1"/>
  <c r="J1267" i="9" s="1"/>
  <c r="I1267" i="9" l="1"/>
  <c r="B1268" i="9" l="1"/>
  <c r="K1267" i="9"/>
  <c r="O1267" i="9" s="1"/>
  <c r="L1267" i="9" l="1"/>
  <c r="M1267" i="9" s="1"/>
  <c r="N1267" i="9" s="1"/>
  <c r="C1268" i="9"/>
  <c r="D1268" i="9" l="1"/>
  <c r="G1268" i="9" s="1"/>
  <c r="H1268" i="9" s="1"/>
  <c r="J1268" i="9" s="1"/>
  <c r="I1268" i="9" l="1"/>
  <c r="B1269" i="9" l="1"/>
  <c r="K1268" i="9"/>
  <c r="O1268" i="9" s="1"/>
  <c r="L1268" i="9" l="1"/>
  <c r="M1268" i="9" s="1"/>
  <c r="N1268" i="9" s="1"/>
  <c r="C1269" i="9"/>
  <c r="D1269" i="9" l="1"/>
  <c r="G1269" i="9" s="1"/>
  <c r="H1269" i="9" s="1"/>
  <c r="J1269" i="9" s="1"/>
  <c r="I1269" i="9" l="1"/>
  <c r="B1270" i="9" l="1"/>
  <c r="K1269" i="9"/>
  <c r="O1269" i="9" s="1"/>
  <c r="L1269" i="9" l="1"/>
  <c r="M1269" i="9" s="1"/>
  <c r="N1269" i="9" s="1"/>
  <c r="C1270" i="9"/>
  <c r="D1270" i="9" l="1"/>
  <c r="G1270" i="9" s="1"/>
  <c r="H1270" i="9" s="1"/>
  <c r="I1270" i="9" s="1"/>
  <c r="B1271" i="9" l="1"/>
  <c r="K1270" i="9"/>
  <c r="O1270" i="9" s="1"/>
  <c r="J1270" i="9"/>
  <c r="L1270" i="9" l="1"/>
  <c r="M1270" i="9" s="1"/>
  <c r="N1270" i="9" s="1"/>
  <c r="C1271" i="9"/>
  <c r="D1271" i="9" l="1"/>
  <c r="G1271" i="9" s="1"/>
  <c r="H1271" i="9" s="1"/>
  <c r="J1271" i="9" s="1"/>
  <c r="I1271" i="9" l="1"/>
  <c r="B1272" i="9" l="1"/>
  <c r="K1271" i="9"/>
  <c r="O1271" i="9" s="1"/>
  <c r="L1271" i="9" l="1"/>
  <c r="M1271" i="9" s="1"/>
  <c r="N1271" i="9" s="1"/>
  <c r="C1272" i="9"/>
  <c r="D1272" i="9" l="1"/>
  <c r="G1272" i="9" s="1"/>
  <c r="H1272" i="9" s="1"/>
  <c r="I1272" i="9" s="1"/>
  <c r="B1273" i="9" l="1"/>
  <c r="K1272" i="9"/>
  <c r="O1272" i="9" s="1"/>
  <c r="J1272" i="9"/>
  <c r="L1272" i="9" l="1"/>
  <c r="M1272" i="9" s="1"/>
  <c r="N1272" i="9" s="1"/>
  <c r="C1273" i="9"/>
  <c r="D1273" i="9" l="1"/>
  <c r="G1273" i="9" s="1"/>
  <c r="H1273" i="9" s="1"/>
  <c r="I1273" i="9" s="1"/>
  <c r="B1274" i="9" l="1"/>
  <c r="K1273" i="9"/>
  <c r="O1273" i="9" s="1"/>
  <c r="J1273" i="9"/>
  <c r="L1273" i="9" l="1"/>
  <c r="M1273" i="9" s="1"/>
  <c r="N1273" i="9" s="1"/>
  <c r="C1274" i="9"/>
  <c r="D1274" i="9" l="1"/>
  <c r="G1274" i="9" s="1"/>
  <c r="H1274" i="9" s="1"/>
  <c r="J1274" i="9" s="1"/>
  <c r="I1274" i="9" l="1"/>
  <c r="B1275" i="9" l="1"/>
  <c r="K1274" i="9"/>
  <c r="O1274" i="9" s="1"/>
  <c r="L1274" i="9" l="1"/>
  <c r="M1274" i="9" s="1"/>
  <c r="N1274" i="9" s="1"/>
  <c r="C1275" i="9"/>
  <c r="D1275" i="9" l="1"/>
  <c r="G1275" i="9" s="1"/>
  <c r="H1275" i="9" s="1"/>
  <c r="J1275" i="9" s="1"/>
  <c r="I1275" i="9" l="1"/>
  <c r="B1276" i="9" s="1"/>
  <c r="K1275" i="9" l="1"/>
  <c r="O1275" i="9" s="1"/>
  <c r="C1276" i="9"/>
  <c r="L1275" i="9" l="1"/>
  <c r="M1275" i="9" s="1"/>
  <c r="N1275" i="9" s="1"/>
  <c r="D1276" i="9"/>
  <c r="G1276" i="9" s="1"/>
  <c r="H1276" i="9" s="1"/>
  <c r="J1276" i="9" s="1"/>
  <c r="I1276" i="9" l="1"/>
  <c r="B1277" i="9" l="1"/>
  <c r="K1276" i="9"/>
  <c r="O1276" i="9" s="1"/>
  <c r="L1276" i="9" l="1"/>
  <c r="M1276" i="9" s="1"/>
  <c r="N1276" i="9" s="1"/>
  <c r="C1277" i="9"/>
  <c r="D1277" i="9" l="1"/>
  <c r="G1277" i="9" s="1"/>
  <c r="H1277" i="9" s="1"/>
  <c r="J1277" i="9" s="1"/>
  <c r="I1277" i="9" l="1"/>
  <c r="B1278" i="9" l="1"/>
  <c r="K1277" i="9"/>
  <c r="O1277" i="9" s="1"/>
  <c r="L1277" i="9" l="1"/>
  <c r="M1277" i="9" s="1"/>
  <c r="N1277" i="9" s="1"/>
  <c r="C1278" i="9"/>
  <c r="D1278" i="9" l="1"/>
  <c r="G1278" i="9" s="1"/>
  <c r="H1278" i="9" s="1"/>
  <c r="I1278" i="9" s="1"/>
  <c r="B1279" i="9" l="1"/>
  <c r="K1278" i="9"/>
  <c r="O1278" i="9" s="1"/>
  <c r="J1278" i="9"/>
  <c r="L1278" i="9" l="1"/>
  <c r="M1278" i="9" s="1"/>
  <c r="N1278" i="9" s="1"/>
  <c r="C1279" i="9"/>
  <c r="D1279" i="9" l="1"/>
  <c r="G1279" i="9" s="1"/>
  <c r="H1279" i="9" s="1"/>
  <c r="J1279" i="9" s="1"/>
  <c r="I1279" i="9" l="1"/>
  <c r="B1280" i="9" l="1"/>
  <c r="K1279" i="9"/>
  <c r="O1279" i="9" s="1"/>
  <c r="L1279" i="9" l="1"/>
  <c r="M1279" i="9" s="1"/>
  <c r="N1279" i="9" s="1"/>
  <c r="C1280" i="9"/>
  <c r="D1280" i="9" l="1"/>
  <c r="G1280" i="9" s="1"/>
  <c r="H1280" i="9" s="1"/>
  <c r="I1280" i="9" s="1"/>
  <c r="B1281" i="9" l="1"/>
  <c r="K1280" i="9"/>
  <c r="O1280" i="9" s="1"/>
  <c r="J1280" i="9"/>
  <c r="L1280" i="9" l="1"/>
  <c r="M1280" i="9" s="1"/>
  <c r="N1280" i="9" s="1"/>
  <c r="C1281" i="9"/>
  <c r="D1281" i="9" l="1"/>
  <c r="G1281" i="9" s="1"/>
  <c r="H1281" i="9" s="1"/>
  <c r="I1281" i="9" s="1"/>
  <c r="B1282" i="9" l="1"/>
  <c r="K1281" i="9"/>
  <c r="O1281" i="9" s="1"/>
  <c r="J1281" i="9"/>
  <c r="L1281" i="9" l="1"/>
  <c r="M1281" i="9" s="1"/>
  <c r="N1281" i="9" s="1"/>
  <c r="C1282" i="9"/>
  <c r="D1282" i="9" l="1"/>
  <c r="G1282" i="9" s="1"/>
  <c r="H1282" i="9" s="1"/>
  <c r="J1282" i="9" s="1"/>
  <c r="I1282" i="9" l="1"/>
  <c r="B1283" i="9" l="1"/>
  <c r="K1282" i="9"/>
  <c r="O1282" i="9" s="1"/>
  <c r="L1282" i="9" l="1"/>
  <c r="M1282" i="9" s="1"/>
  <c r="N1282" i="9" s="1"/>
  <c r="C1283" i="9"/>
  <c r="D1283" i="9" l="1"/>
  <c r="G1283" i="9" s="1"/>
  <c r="H1283" i="9" s="1"/>
  <c r="J1283" i="9" s="1"/>
  <c r="I1283" i="9" l="1"/>
  <c r="B1284" i="9" l="1"/>
  <c r="K1283" i="9"/>
  <c r="O1283" i="9" s="1"/>
  <c r="L1283" i="9" l="1"/>
  <c r="M1283" i="9" s="1"/>
  <c r="N1283" i="9" s="1"/>
  <c r="C1284" i="9"/>
  <c r="D1284" i="9" l="1"/>
  <c r="G1284" i="9" s="1"/>
  <c r="H1284" i="9" s="1"/>
  <c r="J1284" i="9" s="1"/>
  <c r="I1284" i="9" l="1"/>
  <c r="B1285" i="9" l="1"/>
  <c r="K1284" i="9"/>
  <c r="O1284" i="9" s="1"/>
  <c r="L1284" i="9" l="1"/>
  <c r="M1284" i="9" s="1"/>
  <c r="N1284" i="9" s="1"/>
  <c r="C1285" i="9"/>
  <c r="D1285" i="9" l="1"/>
  <c r="G1285" i="9" s="1"/>
  <c r="H1285" i="9" s="1"/>
  <c r="J1285" i="9" s="1"/>
  <c r="I1285" i="9" l="1"/>
  <c r="B1286" i="9" l="1"/>
  <c r="K1285" i="9"/>
  <c r="O1285" i="9" s="1"/>
  <c r="L1285" i="9" l="1"/>
  <c r="M1285" i="9" s="1"/>
  <c r="N1285" i="9" s="1"/>
  <c r="C1286" i="9"/>
  <c r="D1286" i="9" l="1"/>
  <c r="G1286" i="9" s="1"/>
  <c r="H1286" i="9" s="1"/>
  <c r="I1286" i="9" s="1"/>
  <c r="B1287" i="9" l="1"/>
  <c r="K1286" i="9"/>
  <c r="O1286" i="9" s="1"/>
  <c r="J1286" i="9"/>
  <c r="L1286" i="9" l="1"/>
  <c r="M1286" i="9" s="1"/>
  <c r="N1286" i="9" s="1"/>
  <c r="C1287" i="9"/>
  <c r="D1287" i="9" l="1"/>
  <c r="G1287" i="9" s="1"/>
  <c r="H1287" i="9" s="1"/>
  <c r="J1287" i="9" s="1"/>
  <c r="I1287" i="9" l="1"/>
  <c r="B1288" i="9" l="1"/>
  <c r="K1287" i="9"/>
  <c r="O1287" i="9" s="1"/>
  <c r="L1287" i="9" l="1"/>
  <c r="M1287" i="9" s="1"/>
  <c r="N1287" i="9" s="1"/>
  <c r="C1288" i="9"/>
  <c r="D1288" i="9" l="1"/>
  <c r="G1288" i="9" s="1"/>
  <c r="H1288" i="9" s="1"/>
  <c r="I1288" i="9" s="1"/>
  <c r="B1289" i="9" l="1"/>
  <c r="K1288" i="9"/>
  <c r="O1288" i="9" s="1"/>
  <c r="J1288" i="9"/>
  <c r="L1288" i="9" l="1"/>
  <c r="M1288" i="9" s="1"/>
  <c r="N1288" i="9" s="1"/>
  <c r="C1289" i="9"/>
  <c r="D1289" i="9" l="1"/>
  <c r="G1289" i="9" s="1"/>
  <c r="H1289" i="9" s="1"/>
  <c r="I1289" i="9" s="1"/>
  <c r="B1290" i="9" l="1"/>
  <c r="K1289" i="9"/>
  <c r="O1289" i="9" s="1"/>
  <c r="J1289" i="9"/>
  <c r="L1289" i="9" l="1"/>
  <c r="M1289" i="9" s="1"/>
  <c r="N1289" i="9" s="1"/>
  <c r="C1290" i="9"/>
  <c r="D1290" i="9" l="1"/>
  <c r="G1290" i="9" s="1"/>
  <c r="H1290" i="9" s="1"/>
  <c r="J1290" i="9" s="1"/>
  <c r="I1290" i="9" l="1"/>
  <c r="B1291" i="9" l="1"/>
  <c r="K1290" i="9"/>
  <c r="O1290" i="9" s="1"/>
  <c r="L1290" i="9" l="1"/>
  <c r="M1290" i="9" s="1"/>
  <c r="N1290" i="9" s="1"/>
  <c r="C1291" i="9"/>
  <c r="D1291" i="9" l="1"/>
  <c r="G1291" i="9" s="1"/>
  <c r="H1291" i="9" s="1"/>
  <c r="J1291" i="9" s="1"/>
  <c r="I1291" i="9" l="1"/>
  <c r="B1292" i="9" s="1"/>
  <c r="K1291" i="9" l="1"/>
  <c r="O1291" i="9" s="1"/>
  <c r="C1292" i="9"/>
  <c r="L1291" i="9" l="1"/>
  <c r="M1291" i="9" s="1"/>
  <c r="N1291" i="9" s="1"/>
  <c r="D1292" i="9"/>
  <c r="G1292" i="9" s="1"/>
  <c r="H1292" i="9" s="1"/>
  <c r="J1292" i="9" s="1"/>
  <c r="I1292" i="9" l="1"/>
  <c r="B1293" i="9" l="1"/>
  <c r="K1292" i="9"/>
  <c r="O1292" i="9" s="1"/>
  <c r="L1292" i="9" l="1"/>
  <c r="M1292" i="9" s="1"/>
  <c r="N1292" i="9" s="1"/>
  <c r="C1293" i="9"/>
  <c r="D1293" i="9" l="1"/>
  <c r="G1293" i="9" s="1"/>
  <c r="H1293" i="9" s="1"/>
  <c r="J1293" i="9" s="1"/>
  <c r="I1293" i="9" l="1"/>
  <c r="B1294" i="9" s="1"/>
  <c r="K1293" i="9" l="1"/>
  <c r="O1293" i="9" s="1"/>
  <c r="C1294" i="9"/>
  <c r="L1293" i="9" l="1"/>
  <c r="M1293" i="9" s="1"/>
  <c r="N1293" i="9" s="1"/>
  <c r="D1294" i="9"/>
  <c r="G1294" i="9" s="1"/>
  <c r="H1294" i="9" s="1"/>
  <c r="I1294" i="9" s="1"/>
  <c r="B1295" i="9" l="1"/>
  <c r="K1294" i="9"/>
  <c r="O1294" i="9" s="1"/>
  <c r="J1294" i="9"/>
  <c r="L1294" i="9" l="1"/>
  <c r="M1294" i="9" s="1"/>
  <c r="N1294" i="9" s="1"/>
  <c r="C1295" i="9"/>
  <c r="D1295" i="9" l="1"/>
  <c r="G1295" i="9" s="1"/>
  <c r="H1295" i="9" s="1"/>
  <c r="J1295" i="9" s="1"/>
  <c r="I1295" i="9" l="1"/>
  <c r="B1296" i="9" l="1"/>
  <c r="K1295" i="9"/>
  <c r="O1295" i="9" s="1"/>
  <c r="L1295" i="9" l="1"/>
  <c r="M1295" i="9" s="1"/>
  <c r="N1295" i="9" s="1"/>
  <c r="C1296" i="9"/>
  <c r="D1296" i="9" l="1"/>
  <c r="G1296" i="9" s="1"/>
  <c r="H1296" i="9" s="1"/>
  <c r="I1296" i="9" s="1"/>
  <c r="B1297" i="9" l="1"/>
  <c r="K1296" i="9"/>
  <c r="O1296" i="9" s="1"/>
  <c r="J1296" i="9"/>
  <c r="L1296" i="9" l="1"/>
  <c r="M1296" i="9" s="1"/>
  <c r="N1296" i="9" s="1"/>
  <c r="C1297" i="9"/>
  <c r="D1297" i="9" l="1"/>
  <c r="G1297" i="9" s="1"/>
  <c r="H1297" i="9" s="1"/>
  <c r="I1297" i="9" s="1"/>
  <c r="B1298" i="9" l="1"/>
  <c r="K1297" i="9"/>
  <c r="O1297" i="9" s="1"/>
  <c r="J1297" i="9"/>
  <c r="L1297" i="9" l="1"/>
  <c r="M1297" i="9" s="1"/>
  <c r="N1297" i="9" s="1"/>
  <c r="C1298" i="9"/>
  <c r="D1298" i="9" l="1"/>
  <c r="G1298" i="9" s="1"/>
  <c r="H1298" i="9" s="1"/>
  <c r="J1298" i="9" s="1"/>
  <c r="I1298" i="9" l="1"/>
  <c r="B1299" i="9" l="1"/>
  <c r="K1298" i="9"/>
  <c r="O1298" i="9" s="1"/>
  <c r="L1298" i="9" l="1"/>
  <c r="M1298" i="9" s="1"/>
  <c r="N1298" i="9" s="1"/>
  <c r="C1299" i="9"/>
  <c r="D1299" i="9" l="1"/>
  <c r="G1299" i="9" s="1"/>
  <c r="H1299" i="9" s="1"/>
  <c r="J1299" i="9" s="1"/>
  <c r="I1299" i="9" l="1"/>
  <c r="B1300" i="9" l="1"/>
  <c r="K1299" i="9"/>
  <c r="O1299" i="9" s="1"/>
  <c r="L1299" i="9" l="1"/>
  <c r="M1299" i="9" s="1"/>
  <c r="N1299" i="9" s="1"/>
  <c r="C1300" i="9"/>
  <c r="D1300" i="9" l="1"/>
  <c r="G1300" i="9" s="1"/>
  <c r="H1300" i="9" s="1"/>
  <c r="J1300" i="9" s="1"/>
  <c r="I1300" i="9" l="1"/>
  <c r="B1301" i="9" l="1"/>
  <c r="K1300" i="9"/>
  <c r="O1300" i="9" s="1"/>
  <c r="L1300" i="9" l="1"/>
  <c r="M1300" i="9" s="1"/>
  <c r="N1300" i="9" s="1"/>
  <c r="C1301" i="9"/>
  <c r="D1301" i="9" l="1"/>
  <c r="G1301" i="9" s="1"/>
  <c r="H1301" i="9" s="1"/>
  <c r="J1301" i="9" s="1"/>
  <c r="I1301" i="9" l="1"/>
  <c r="B1302" i="9" l="1"/>
  <c r="K1301" i="9"/>
  <c r="O1301" i="9" s="1"/>
  <c r="L1301" i="9" l="1"/>
  <c r="M1301" i="9" s="1"/>
  <c r="N1301" i="9" s="1"/>
  <c r="C1302" i="9"/>
  <c r="D1302" i="9" l="1"/>
  <c r="G1302" i="9" s="1"/>
  <c r="H1302" i="9" s="1"/>
  <c r="I1302" i="9" s="1"/>
  <c r="B1303" i="9" l="1"/>
  <c r="K1302" i="9"/>
  <c r="O1302" i="9" s="1"/>
  <c r="J1302" i="9"/>
  <c r="L1302" i="9" l="1"/>
  <c r="M1302" i="9" s="1"/>
  <c r="N1302" i="9" s="1"/>
  <c r="C1303" i="9"/>
  <c r="D1303" i="9" l="1"/>
  <c r="G1303" i="9" s="1"/>
  <c r="H1303" i="9" s="1"/>
  <c r="J1303" i="9" s="1"/>
  <c r="I1303" i="9" l="1"/>
  <c r="B1304" i="9" l="1"/>
  <c r="K1303" i="9"/>
  <c r="O1303" i="9" s="1"/>
  <c r="L1303" i="9" l="1"/>
  <c r="M1303" i="9" s="1"/>
  <c r="N1303" i="9" s="1"/>
  <c r="C1304" i="9"/>
  <c r="D1304" i="9" l="1"/>
  <c r="G1304" i="9" s="1"/>
  <c r="H1304" i="9" s="1"/>
  <c r="I1304" i="9" s="1"/>
  <c r="J1304" i="9" l="1"/>
  <c r="B1305" i="9"/>
  <c r="K1304" i="9"/>
  <c r="O1304" i="9" s="1"/>
  <c r="L1304" i="9" l="1"/>
  <c r="M1304" i="9" s="1"/>
  <c r="N1304" i="9" s="1"/>
  <c r="C1305" i="9"/>
  <c r="D1305" i="9" l="1"/>
  <c r="G1305" i="9" s="1"/>
  <c r="H1305" i="9" s="1"/>
  <c r="I1305" i="9" s="1"/>
  <c r="B1306" i="9" l="1"/>
  <c r="K1305" i="9"/>
  <c r="O1305" i="9" s="1"/>
  <c r="J1305" i="9"/>
  <c r="L1305" i="9" l="1"/>
  <c r="M1305" i="9" s="1"/>
  <c r="N1305" i="9" s="1"/>
  <c r="C1306" i="9"/>
  <c r="D1306" i="9" l="1"/>
  <c r="G1306" i="9" s="1"/>
  <c r="H1306" i="9" s="1"/>
  <c r="J1306" i="9" s="1"/>
  <c r="I1306" i="9" l="1"/>
  <c r="B1307" i="9" l="1"/>
  <c r="K1306" i="9"/>
  <c r="O1306" i="9" s="1"/>
  <c r="L1306" i="9" l="1"/>
  <c r="M1306" i="9" s="1"/>
  <c r="N1306" i="9" s="1"/>
  <c r="C1307" i="9"/>
  <c r="D1307" i="9" l="1"/>
  <c r="G1307" i="9" s="1"/>
  <c r="H1307" i="9" s="1"/>
  <c r="J1307" i="9" s="1"/>
  <c r="I1307" i="9" l="1"/>
  <c r="B1308" i="9" l="1"/>
  <c r="K1307" i="9"/>
  <c r="O1307" i="9" s="1"/>
  <c r="L1307" i="9" l="1"/>
  <c r="M1307" i="9" s="1"/>
  <c r="N1307" i="9" s="1"/>
  <c r="C1308" i="9"/>
  <c r="D1308" i="9" l="1"/>
  <c r="G1308" i="9" s="1"/>
  <c r="H1308" i="9" s="1"/>
  <c r="J1308" i="9" s="1"/>
  <c r="I1308" i="9" l="1"/>
  <c r="B1309" i="9" s="1"/>
  <c r="K1308" i="9" l="1"/>
  <c r="O1308" i="9" s="1"/>
  <c r="C1309" i="9"/>
  <c r="L1308" i="9" l="1"/>
  <c r="M1308" i="9" s="1"/>
  <c r="N1308" i="9" s="1"/>
  <c r="D1309" i="9"/>
  <c r="G1309" i="9" s="1"/>
  <c r="H1309" i="9" s="1"/>
  <c r="J1309" i="9" s="1"/>
  <c r="I1309" i="9" l="1"/>
  <c r="B1310" i="9" l="1"/>
  <c r="K1309" i="9"/>
  <c r="O1309" i="9" s="1"/>
  <c r="L1309" i="9" l="1"/>
  <c r="M1309" i="9" s="1"/>
  <c r="N1309" i="9" s="1"/>
  <c r="C1310" i="9"/>
  <c r="D1310" i="9" l="1"/>
  <c r="G1310" i="9" s="1"/>
  <c r="H1310" i="9" s="1"/>
  <c r="I1310" i="9" s="1"/>
  <c r="B1311" i="9" l="1"/>
  <c r="K1310" i="9"/>
  <c r="O1310" i="9" s="1"/>
  <c r="J1310" i="9"/>
  <c r="L1310" i="9" l="1"/>
  <c r="M1310" i="9" s="1"/>
  <c r="N1310" i="9" s="1"/>
  <c r="C1311" i="9"/>
  <c r="D1311" i="9" l="1"/>
  <c r="G1311" i="9" s="1"/>
  <c r="H1311" i="9" s="1"/>
  <c r="J1311" i="9" s="1"/>
  <c r="I1311" i="9" l="1"/>
  <c r="B1312" i="9" l="1"/>
  <c r="K1311" i="9"/>
  <c r="O1311" i="9" s="1"/>
  <c r="L1311" i="9" l="1"/>
  <c r="M1311" i="9" s="1"/>
  <c r="N1311" i="9" s="1"/>
  <c r="C1312" i="9"/>
  <c r="D1312" i="9" l="1"/>
  <c r="G1312" i="9" s="1"/>
  <c r="H1312" i="9" s="1"/>
  <c r="I1312" i="9" s="1"/>
  <c r="B1313" i="9" l="1"/>
  <c r="K1312" i="9"/>
  <c r="O1312" i="9" s="1"/>
  <c r="J1312" i="9"/>
  <c r="L1312" i="9" l="1"/>
  <c r="M1312" i="9" s="1"/>
  <c r="N1312" i="9" s="1"/>
  <c r="C1313" i="9"/>
  <c r="D1313" i="9" l="1"/>
  <c r="G1313" i="9" s="1"/>
  <c r="H1313" i="9" s="1"/>
  <c r="J1313" i="9" s="1"/>
  <c r="I1313" i="9" l="1"/>
  <c r="B1314" i="9" l="1"/>
  <c r="K1313" i="9"/>
  <c r="O1313" i="9" s="1"/>
  <c r="L1313" i="9" l="1"/>
  <c r="M1313" i="9" s="1"/>
  <c r="N1313" i="9" s="1"/>
  <c r="C1314" i="9"/>
  <c r="D1314" i="9" l="1"/>
  <c r="G1314" i="9" s="1"/>
  <c r="H1314" i="9" s="1"/>
  <c r="J1314" i="9" s="1"/>
  <c r="I1314" i="9" l="1"/>
  <c r="B1315" i="9" l="1"/>
  <c r="K1314" i="9"/>
  <c r="O1314" i="9" s="1"/>
  <c r="L1314" i="9" l="1"/>
  <c r="M1314" i="9" s="1"/>
  <c r="N1314" i="9" s="1"/>
  <c r="C1315" i="9"/>
  <c r="D1315" i="9" l="1"/>
  <c r="G1315" i="9" s="1"/>
  <c r="H1315" i="9" s="1"/>
  <c r="J1315" i="9" s="1"/>
  <c r="I1315" i="9" l="1"/>
  <c r="B1316" i="9" l="1"/>
  <c r="K1315" i="9"/>
  <c r="O1315" i="9" s="1"/>
  <c r="L1315" i="9" l="1"/>
  <c r="M1315" i="9" s="1"/>
  <c r="N1315" i="9" s="1"/>
  <c r="C1316" i="9"/>
  <c r="D1316" i="9" l="1"/>
  <c r="G1316" i="9" s="1"/>
  <c r="H1316" i="9" s="1"/>
  <c r="J1316" i="9" s="1"/>
  <c r="I1316" i="9" l="1"/>
  <c r="B1317" i="9" l="1"/>
  <c r="K1316" i="9"/>
  <c r="O1316" i="9" s="1"/>
  <c r="L1316" i="9" l="1"/>
  <c r="M1316" i="9" s="1"/>
  <c r="N1316" i="9" s="1"/>
  <c r="C1317" i="9"/>
  <c r="D1317" i="9" l="1"/>
  <c r="G1317" i="9" s="1"/>
  <c r="H1317" i="9" s="1"/>
  <c r="I1317" i="9" s="1"/>
  <c r="B1318" i="9" l="1"/>
  <c r="K1317" i="9"/>
  <c r="O1317" i="9" s="1"/>
  <c r="J1317" i="9"/>
  <c r="L1317" i="9" l="1"/>
  <c r="M1317" i="9" s="1"/>
  <c r="N1317" i="9" s="1"/>
  <c r="C1318" i="9"/>
  <c r="D1318" i="9" l="1"/>
  <c r="G1318" i="9" s="1"/>
  <c r="H1318" i="9" s="1"/>
  <c r="J1318" i="9" s="1"/>
  <c r="I1318" i="9" l="1"/>
  <c r="B1319" i="9" l="1"/>
  <c r="K1318" i="9"/>
  <c r="O1318" i="9" s="1"/>
  <c r="L1318" i="9" l="1"/>
  <c r="M1318" i="9" s="1"/>
  <c r="N1318" i="9" s="1"/>
  <c r="C1319" i="9"/>
  <c r="D1319" i="9" l="1"/>
  <c r="G1319" i="9" s="1"/>
  <c r="H1319" i="9" s="1"/>
  <c r="J1319" i="9" s="1"/>
  <c r="I1319" i="9" l="1"/>
  <c r="B1320" i="9" s="1"/>
  <c r="K1319" i="9" l="1"/>
  <c r="O1319" i="9" s="1"/>
  <c r="C1320" i="9"/>
  <c r="L1319" i="9" l="1"/>
  <c r="M1319" i="9" s="1"/>
  <c r="N1319" i="9" s="1"/>
  <c r="D1320" i="9"/>
  <c r="G1320" i="9" s="1"/>
  <c r="H1320" i="9" s="1"/>
  <c r="I1320" i="9" s="1"/>
  <c r="B1321" i="9" l="1"/>
  <c r="K1320" i="9"/>
  <c r="O1320" i="9" s="1"/>
  <c r="J1320" i="9"/>
  <c r="L1320" i="9" l="1"/>
  <c r="M1320" i="9" s="1"/>
  <c r="N1320" i="9" s="1"/>
  <c r="C1321" i="9"/>
  <c r="D1321" i="9" l="1"/>
  <c r="G1321" i="9" s="1"/>
  <c r="H1321" i="9" s="1"/>
  <c r="I1321" i="9" s="1"/>
  <c r="J1321" i="9" l="1"/>
  <c r="B1322" i="9"/>
  <c r="K1321" i="9"/>
  <c r="O1321" i="9" s="1"/>
  <c r="L1321" i="9" l="1"/>
  <c r="M1321" i="9" s="1"/>
  <c r="N1321" i="9" s="1"/>
  <c r="C1322" i="9"/>
  <c r="D1322" i="9" l="1"/>
  <c r="G1322" i="9" s="1"/>
  <c r="H1322" i="9" s="1"/>
  <c r="J1322" i="9" s="1"/>
  <c r="I1322" i="9" l="1"/>
  <c r="B1323" i="9" l="1"/>
  <c r="K1322" i="9"/>
  <c r="O1322" i="9" s="1"/>
  <c r="L1322" i="9" l="1"/>
  <c r="M1322" i="9" s="1"/>
  <c r="N1322" i="9" s="1"/>
  <c r="C1323" i="9"/>
  <c r="D1323" i="9" l="1"/>
  <c r="G1323" i="9" s="1"/>
  <c r="H1323" i="9" s="1"/>
  <c r="J1323" i="9" s="1"/>
  <c r="I1323" i="9" l="1"/>
  <c r="B1324" i="9" l="1"/>
  <c r="K1323" i="9"/>
  <c r="O1323" i="9" s="1"/>
  <c r="L1323" i="9" l="1"/>
  <c r="M1323" i="9" s="1"/>
  <c r="N1323" i="9" s="1"/>
  <c r="C1324" i="9"/>
  <c r="D1324" i="9" l="1"/>
  <c r="G1324" i="9" s="1"/>
  <c r="H1324" i="9" s="1"/>
  <c r="I1324" i="9" s="1"/>
  <c r="B1325" i="9" l="1"/>
  <c r="K1324" i="9"/>
  <c r="O1324" i="9" s="1"/>
  <c r="J1324" i="9"/>
  <c r="L1324" i="9" l="1"/>
  <c r="M1324" i="9" s="1"/>
  <c r="N1324" i="9" s="1"/>
  <c r="C1325" i="9"/>
  <c r="D1325" i="9" l="1"/>
  <c r="G1325" i="9" s="1"/>
  <c r="H1325" i="9" s="1"/>
  <c r="I1325" i="9" s="1"/>
  <c r="B1326" i="9" l="1"/>
  <c r="K1325" i="9"/>
  <c r="O1325" i="9" s="1"/>
  <c r="J1325" i="9"/>
  <c r="L1325" i="9" l="1"/>
  <c r="M1325" i="9" s="1"/>
  <c r="N1325" i="9" s="1"/>
  <c r="C1326" i="9"/>
  <c r="D1326" i="9" l="1"/>
  <c r="G1326" i="9" s="1"/>
  <c r="H1326" i="9" s="1"/>
  <c r="J1326" i="9" s="1"/>
  <c r="I1326" i="9" l="1"/>
  <c r="B1327" i="9" l="1"/>
  <c r="K1326" i="9"/>
  <c r="O1326" i="9" s="1"/>
  <c r="L1326" i="9" l="1"/>
  <c r="M1326" i="9" s="1"/>
  <c r="N1326" i="9" s="1"/>
  <c r="C1327" i="9"/>
  <c r="D1327" i="9" l="1"/>
  <c r="G1327" i="9" s="1"/>
  <c r="H1327" i="9" s="1"/>
  <c r="J1327" i="9" s="1"/>
  <c r="I1327" i="9" l="1"/>
  <c r="B1328" i="9" l="1"/>
  <c r="K1327" i="9"/>
  <c r="O1327" i="9" s="1"/>
  <c r="L1327" i="9" l="1"/>
  <c r="M1327" i="9" s="1"/>
  <c r="N1327" i="9" s="1"/>
  <c r="C1328" i="9"/>
  <c r="D1328" i="9" l="1"/>
  <c r="G1328" i="9" s="1"/>
  <c r="H1328" i="9" s="1"/>
  <c r="I1328" i="9" s="1"/>
  <c r="B1329" i="9" l="1"/>
  <c r="K1328" i="9"/>
  <c r="O1328" i="9" s="1"/>
  <c r="J1328" i="9"/>
  <c r="L1328" i="9" l="1"/>
  <c r="M1328" i="9" s="1"/>
  <c r="N1328" i="9" s="1"/>
  <c r="C1329" i="9"/>
  <c r="D1329" i="9" l="1"/>
  <c r="G1329" i="9" s="1"/>
  <c r="H1329" i="9" s="1"/>
  <c r="J1329" i="9" s="1"/>
  <c r="I1329" i="9" l="1"/>
  <c r="B1330" i="9" l="1"/>
  <c r="K1329" i="9"/>
  <c r="O1329" i="9" s="1"/>
  <c r="L1329" i="9" l="1"/>
  <c r="M1329" i="9" s="1"/>
  <c r="N1329" i="9" s="1"/>
  <c r="C1330" i="9"/>
  <c r="D1330" i="9" l="1"/>
  <c r="G1330" i="9" s="1"/>
  <c r="H1330" i="9" s="1"/>
  <c r="J1330" i="9" s="1"/>
  <c r="I1330" i="9" l="1"/>
  <c r="B1331" i="9" l="1"/>
  <c r="K1330" i="9"/>
  <c r="O1330" i="9" s="1"/>
  <c r="L1330" i="9" l="1"/>
  <c r="M1330" i="9" s="1"/>
  <c r="N1330" i="9" s="1"/>
  <c r="C1331" i="9"/>
  <c r="D1331" i="9" l="1"/>
  <c r="G1331" i="9" s="1"/>
  <c r="H1331" i="9" s="1"/>
  <c r="I1331" i="9" s="1"/>
  <c r="B1332" i="9" l="1"/>
  <c r="K1331" i="9"/>
  <c r="O1331" i="9" s="1"/>
  <c r="J1331" i="9"/>
  <c r="L1331" i="9" l="1"/>
  <c r="M1331" i="9" s="1"/>
  <c r="N1331" i="9" s="1"/>
  <c r="C1332" i="9"/>
  <c r="D1332" i="9" l="1"/>
  <c r="G1332" i="9" s="1"/>
  <c r="H1332" i="9" s="1"/>
  <c r="J1332" i="9" s="1"/>
  <c r="I1332" i="9" l="1"/>
  <c r="B1333" i="9" l="1"/>
  <c r="K1332" i="9"/>
  <c r="O1332" i="9" s="1"/>
  <c r="L1332" i="9" l="1"/>
  <c r="M1332" i="9" s="1"/>
  <c r="N1332" i="9" s="1"/>
  <c r="C1333" i="9"/>
  <c r="D1333" i="9" l="1"/>
  <c r="G1333" i="9" s="1"/>
  <c r="H1333" i="9" s="1"/>
  <c r="I1333" i="9" s="1"/>
  <c r="B1334" i="9" l="1"/>
  <c r="K1333" i="9"/>
  <c r="O1333" i="9" s="1"/>
  <c r="J1333" i="9"/>
  <c r="L1333" i="9" l="1"/>
  <c r="M1333" i="9" s="1"/>
  <c r="N1333" i="9" s="1"/>
  <c r="C1334" i="9"/>
  <c r="D1334" i="9" l="1"/>
  <c r="G1334" i="9" s="1"/>
  <c r="H1334" i="9" s="1"/>
  <c r="I1334" i="9" s="1"/>
  <c r="B1335" i="9" l="1"/>
  <c r="K1334" i="9"/>
  <c r="O1334" i="9" s="1"/>
  <c r="J1334" i="9"/>
  <c r="L1334" i="9" l="1"/>
  <c r="M1334" i="9" s="1"/>
  <c r="N1334" i="9" s="1"/>
  <c r="C1335" i="9"/>
  <c r="D1335" i="9" l="1"/>
  <c r="G1335" i="9" s="1"/>
  <c r="H1335" i="9" s="1"/>
  <c r="J1335" i="9" s="1"/>
  <c r="I1335" i="9" l="1"/>
  <c r="B1336" i="9" l="1"/>
  <c r="K1335" i="9"/>
  <c r="O1335" i="9" s="1"/>
  <c r="L1335" i="9" l="1"/>
  <c r="M1335" i="9" s="1"/>
  <c r="N1335" i="9" s="1"/>
  <c r="C1336" i="9"/>
  <c r="D1336" i="9" l="1"/>
  <c r="G1336" i="9" s="1"/>
  <c r="H1336" i="9" s="1"/>
  <c r="I1336" i="9" s="1"/>
  <c r="B1337" i="9" l="1"/>
  <c r="K1336" i="9"/>
  <c r="O1336" i="9" s="1"/>
  <c r="J1336" i="9"/>
  <c r="L1336" i="9" l="1"/>
  <c r="M1336" i="9" s="1"/>
  <c r="N1336" i="9" s="1"/>
  <c r="C1337" i="9"/>
  <c r="D1337" i="9" l="1"/>
  <c r="G1337" i="9" s="1"/>
  <c r="H1337" i="9" s="1"/>
  <c r="I1337" i="9" s="1"/>
  <c r="B1338" i="9" l="1"/>
  <c r="K1337" i="9"/>
  <c r="O1337" i="9" s="1"/>
  <c r="J1337" i="9"/>
  <c r="L1337" i="9" l="1"/>
  <c r="M1337" i="9" s="1"/>
  <c r="N1337" i="9" s="1"/>
  <c r="C1338" i="9"/>
  <c r="D1338" i="9" l="1"/>
  <c r="G1338" i="9" s="1"/>
  <c r="H1338" i="9" s="1"/>
  <c r="J1338" i="9" s="1"/>
  <c r="I1338" i="9" l="1"/>
  <c r="B1339" i="9" l="1"/>
  <c r="K1338" i="9"/>
  <c r="O1338" i="9" s="1"/>
  <c r="L1338" i="9" l="1"/>
  <c r="M1338" i="9" s="1"/>
  <c r="N1338" i="9" s="1"/>
  <c r="C1339" i="9"/>
  <c r="D1339" i="9" l="1"/>
  <c r="G1339" i="9" s="1"/>
  <c r="H1339" i="9" s="1"/>
  <c r="I1339" i="9" s="1"/>
  <c r="B1340" i="9" l="1"/>
  <c r="K1339" i="9"/>
  <c r="O1339" i="9" s="1"/>
  <c r="J1339" i="9"/>
  <c r="L1339" i="9" l="1"/>
  <c r="M1339" i="9" s="1"/>
  <c r="N1339" i="9" s="1"/>
  <c r="C1340" i="9"/>
  <c r="D1340" i="9" l="1"/>
  <c r="G1340" i="9" s="1"/>
  <c r="H1340" i="9" s="1"/>
  <c r="J1340" i="9" s="1"/>
  <c r="I1340" i="9" l="1"/>
  <c r="B1341" i="9" l="1"/>
  <c r="K1340" i="9"/>
  <c r="O1340" i="9" s="1"/>
  <c r="L1340" i="9" l="1"/>
  <c r="M1340" i="9" s="1"/>
  <c r="N1340" i="9" s="1"/>
  <c r="C1341" i="9"/>
  <c r="D1341" i="9" l="1"/>
  <c r="G1341" i="9" s="1"/>
  <c r="H1341" i="9" s="1"/>
  <c r="I1341" i="9" s="1"/>
  <c r="B1342" i="9" l="1"/>
  <c r="K1341" i="9"/>
  <c r="O1341" i="9" s="1"/>
  <c r="J1341" i="9"/>
  <c r="L1341" i="9" l="1"/>
  <c r="M1341" i="9" s="1"/>
  <c r="N1341" i="9" s="1"/>
  <c r="C1342" i="9"/>
  <c r="D1342" i="9" l="1"/>
  <c r="G1342" i="9" s="1"/>
  <c r="H1342" i="9" s="1"/>
  <c r="I1342" i="9" s="1"/>
  <c r="B1343" i="9" l="1"/>
  <c r="K1342" i="9"/>
  <c r="O1342" i="9" s="1"/>
  <c r="J1342" i="9"/>
  <c r="L1342" i="9" l="1"/>
  <c r="M1342" i="9" s="1"/>
  <c r="N1342" i="9" s="1"/>
  <c r="C1343" i="9"/>
  <c r="D1343" i="9" l="1"/>
  <c r="G1343" i="9" s="1"/>
  <c r="H1343" i="9" s="1"/>
  <c r="J1343" i="9" s="1"/>
  <c r="I1343" i="9" l="1"/>
  <c r="B1344" i="9" s="1"/>
  <c r="K1343" i="9" l="1"/>
  <c r="O1343" i="9" s="1"/>
  <c r="C1344" i="9"/>
  <c r="L1343" i="9" l="1"/>
  <c r="M1343" i="9" s="1"/>
  <c r="N1343" i="9" s="1"/>
  <c r="D1344" i="9"/>
  <c r="G1344" i="9" s="1"/>
  <c r="H1344" i="9" s="1"/>
  <c r="J1344" i="9" s="1"/>
  <c r="I1344" i="9" l="1"/>
  <c r="B1345" i="9" l="1"/>
  <c r="K1344" i="9"/>
  <c r="O1344" i="9" s="1"/>
  <c r="L1344" i="9" l="1"/>
  <c r="M1344" i="9" s="1"/>
  <c r="N1344" i="9" s="1"/>
  <c r="C1345" i="9"/>
  <c r="D1345" i="9" l="1"/>
  <c r="G1345" i="9" s="1"/>
  <c r="H1345" i="9" s="1"/>
  <c r="J1345" i="9" s="1"/>
  <c r="I1345" i="9" l="1"/>
  <c r="B1346" i="9" s="1"/>
  <c r="K1345" i="9" l="1"/>
  <c r="O1345" i="9" s="1"/>
  <c r="C1346" i="9"/>
  <c r="L1345" i="9" l="1"/>
  <c r="M1345" i="9" s="1"/>
  <c r="N1345" i="9" s="1"/>
  <c r="D1346" i="9"/>
  <c r="G1346" i="9" s="1"/>
  <c r="H1346" i="9" s="1"/>
  <c r="J1346" i="9" s="1"/>
  <c r="I1346" i="9" l="1"/>
  <c r="B1347" i="9" l="1"/>
  <c r="K1346" i="9"/>
  <c r="O1346" i="9" s="1"/>
  <c r="L1346" i="9" l="1"/>
  <c r="M1346" i="9" s="1"/>
  <c r="N1346" i="9" s="1"/>
  <c r="C1347" i="9"/>
  <c r="D1347" i="9" l="1"/>
  <c r="G1347" i="9" s="1"/>
  <c r="H1347" i="9" s="1"/>
  <c r="J1347" i="9" s="1"/>
  <c r="I1347" i="9" l="1"/>
  <c r="B1348" i="9" l="1"/>
  <c r="K1347" i="9"/>
  <c r="O1347" i="9" s="1"/>
  <c r="L1347" i="9" l="1"/>
  <c r="M1347" i="9" s="1"/>
  <c r="N1347" i="9" s="1"/>
  <c r="C1348" i="9"/>
  <c r="D1348" i="9" l="1"/>
  <c r="G1348" i="9" s="1"/>
  <c r="H1348" i="9" s="1"/>
  <c r="J1348" i="9" s="1"/>
  <c r="I1348" i="9" l="1"/>
  <c r="B1349" i="9" l="1"/>
  <c r="K1348" i="9"/>
  <c r="O1348" i="9" s="1"/>
  <c r="L1348" i="9" l="1"/>
  <c r="M1348" i="9" s="1"/>
  <c r="N1348" i="9" s="1"/>
  <c r="C1349" i="9"/>
  <c r="D1349" i="9" l="1"/>
  <c r="G1349" i="9" s="1"/>
  <c r="H1349" i="9" s="1"/>
  <c r="I1349" i="9" s="1"/>
  <c r="B1350" i="9" l="1"/>
  <c r="K1349" i="9"/>
  <c r="O1349" i="9" s="1"/>
  <c r="J1349" i="9"/>
  <c r="L1349" i="9" l="1"/>
  <c r="M1349" i="9" s="1"/>
  <c r="N1349" i="9" s="1"/>
  <c r="C1350" i="9"/>
  <c r="D1350" i="9" l="1"/>
  <c r="G1350" i="9" s="1"/>
  <c r="H1350" i="9" s="1"/>
  <c r="J1350" i="9" s="1"/>
  <c r="I1350" i="9" l="1"/>
  <c r="B1351" i="9" s="1"/>
  <c r="K1350" i="9" l="1"/>
  <c r="O1350" i="9" s="1"/>
  <c r="C1351" i="9"/>
  <c r="L1350" i="9" l="1"/>
  <c r="M1350" i="9" s="1"/>
  <c r="N1350" i="9" s="1"/>
  <c r="D1351" i="9"/>
  <c r="G1351" i="9" s="1"/>
  <c r="H1351" i="9" s="1"/>
  <c r="J1351" i="9" s="1"/>
  <c r="I1351" i="9" l="1"/>
  <c r="B1352" i="9" l="1"/>
  <c r="K1351" i="9"/>
  <c r="O1351" i="9" s="1"/>
  <c r="C1352" i="9" l="1"/>
  <c r="L1351" i="9"/>
  <c r="M1351" i="9" s="1"/>
  <c r="N1351" i="9" s="1"/>
  <c r="D1352" i="9" l="1"/>
  <c r="G1352" i="9" s="1"/>
  <c r="H1352" i="9" s="1"/>
  <c r="J1352" i="9" s="1"/>
  <c r="I1352" i="9" l="1"/>
  <c r="B1353" i="9" l="1"/>
  <c r="K1352" i="9"/>
  <c r="O1352" i="9" s="1"/>
  <c r="L1352" i="9" l="1"/>
  <c r="M1352" i="9" s="1"/>
  <c r="N1352" i="9" s="1"/>
  <c r="C1353" i="9"/>
  <c r="D1353" i="9" l="1"/>
  <c r="G1353" i="9" s="1"/>
  <c r="H1353" i="9" s="1"/>
  <c r="J1353" i="9" s="1"/>
  <c r="I1353" i="9" l="1"/>
  <c r="B1354" i="9" s="1"/>
  <c r="K1353" i="9" l="1"/>
  <c r="O1353" i="9" s="1"/>
  <c r="C1354" i="9"/>
  <c r="L1353" i="9" l="1"/>
  <c r="M1353" i="9" s="1"/>
  <c r="N1353" i="9" s="1"/>
  <c r="D1354" i="9"/>
  <c r="G1354" i="9" s="1"/>
  <c r="H1354" i="9" s="1"/>
  <c r="J1354" i="9" s="1"/>
  <c r="I1354" i="9" l="1"/>
  <c r="B1355" i="9" l="1"/>
  <c r="K1354" i="9"/>
  <c r="O1354" i="9" s="1"/>
  <c r="L1354" i="9" l="1"/>
  <c r="M1354" i="9" s="1"/>
  <c r="N1354" i="9" s="1"/>
  <c r="C1355" i="9"/>
  <c r="D1355" i="9" l="1"/>
  <c r="G1355" i="9" s="1"/>
  <c r="H1355" i="9" s="1"/>
  <c r="J1355" i="9" s="1"/>
  <c r="I1355" i="9" l="1"/>
  <c r="B1356" i="9" l="1"/>
  <c r="K1355" i="9"/>
  <c r="O1355" i="9" s="1"/>
  <c r="L1355" i="9" l="1"/>
  <c r="M1355" i="9" s="1"/>
  <c r="N1355" i="9" s="1"/>
  <c r="C1356" i="9"/>
  <c r="D1356" i="9" l="1"/>
  <c r="G1356" i="9" s="1"/>
  <c r="H1356" i="9" s="1"/>
  <c r="J1356" i="9" s="1"/>
  <c r="I1356" i="9" l="1"/>
  <c r="B1357" i="9" s="1"/>
  <c r="K1356" i="9" l="1"/>
  <c r="O1356" i="9" s="1"/>
  <c r="C1357" i="9"/>
  <c r="L1356" i="9" l="1"/>
  <c r="M1356" i="9" s="1"/>
  <c r="N1356" i="9" s="1"/>
  <c r="D1357" i="9"/>
  <c r="G1357" i="9" s="1"/>
  <c r="H1357" i="9" s="1"/>
  <c r="I1357" i="9" s="1"/>
  <c r="B1358" i="9" l="1"/>
  <c r="K1357" i="9"/>
  <c r="O1357" i="9" s="1"/>
  <c r="J1357" i="9"/>
  <c r="L1357" i="9" l="1"/>
  <c r="M1357" i="9" s="1"/>
  <c r="N1357" i="9" s="1"/>
  <c r="C1358" i="9"/>
  <c r="D1358" i="9" l="1"/>
  <c r="G1358" i="9" s="1"/>
  <c r="H1358" i="9" s="1"/>
  <c r="J1358" i="9" s="1"/>
  <c r="I1358" i="9" l="1"/>
  <c r="B1359" i="9" l="1"/>
  <c r="K1358" i="9"/>
  <c r="O1358" i="9" s="1"/>
  <c r="L1358" i="9" l="1"/>
  <c r="M1358" i="9" s="1"/>
  <c r="N1358" i="9" s="1"/>
  <c r="C1359" i="9"/>
  <c r="D1359" i="9" l="1"/>
  <c r="G1359" i="9" s="1"/>
  <c r="H1359" i="9" s="1"/>
  <c r="J1359" i="9" s="1"/>
  <c r="I1359" i="9" l="1"/>
  <c r="B1360" i="9" s="1"/>
  <c r="K1359" i="9" l="1"/>
  <c r="O1359" i="9" s="1"/>
  <c r="C1360" i="9"/>
  <c r="L1359" i="9" l="1"/>
  <c r="M1359" i="9" s="1"/>
  <c r="N1359" i="9" s="1"/>
  <c r="D1360" i="9"/>
  <c r="G1360" i="9" s="1"/>
  <c r="H1360" i="9" s="1"/>
  <c r="J1360" i="9" s="1"/>
  <c r="I1360" i="9" l="1"/>
  <c r="B1361" i="9" l="1"/>
  <c r="K1360" i="9"/>
  <c r="O1360" i="9" s="1"/>
  <c r="L1360" i="9" l="1"/>
  <c r="M1360" i="9" s="1"/>
  <c r="N1360" i="9" s="1"/>
  <c r="C1361" i="9"/>
  <c r="D1361" i="9" l="1"/>
  <c r="G1361" i="9" s="1"/>
  <c r="H1361" i="9" s="1"/>
  <c r="I1361" i="9" s="1"/>
  <c r="J1361" i="9" l="1"/>
  <c r="B1362" i="9"/>
  <c r="K1361" i="9"/>
  <c r="O1361" i="9" s="1"/>
  <c r="L1361" i="9" l="1"/>
  <c r="M1361" i="9" s="1"/>
  <c r="N1361" i="9" s="1"/>
  <c r="C1362" i="9"/>
  <c r="D1362" i="9" l="1"/>
  <c r="G1362" i="9" s="1"/>
  <c r="H1362" i="9" s="1"/>
  <c r="J1362" i="9" s="1"/>
  <c r="I1362" i="9" l="1"/>
  <c r="B1363" i="9" l="1"/>
  <c r="K1362" i="9"/>
  <c r="O1362" i="9" s="1"/>
  <c r="L1362" i="9" l="1"/>
  <c r="M1362" i="9" s="1"/>
  <c r="N1362" i="9" s="1"/>
  <c r="C1363" i="9"/>
  <c r="D1363" i="9" l="1"/>
  <c r="G1363" i="9" s="1"/>
  <c r="H1363" i="9" s="1"/>
  <c r="J1363" i="9" s="1"/>
  <c r="I1363" i="9" l="1"/>
  <c r="B1364" i="9" l="1"/>
  <c r="K1363" i="9"/>
  <c r="O1363" i="9" s="1"/>
  <c r="L1363" i="9" l="1"/>
  <c r="M1363" i="9" s="1"/>
  <c r="N1363" i="9" s="1"/>
  <c r="C1364" i="9"/>
  <c r="D1364" i="9" l="1"/>
  <c r="G1364" i="9" s="1"/>
  <c r="H1364" i="9" s="1"/>
  <c r="I1364" i="9" s="1"/>
  <c r="B1365" i="9" l="1"/>
  <c r="K1364" i="9"/>
  <c r="O1364" i="9" s="1"/>
  <c r="J1364" i="9"/>
  <c r="L1364" i="9" l="1"/>
  <c r="M1364" i="9" s="1"/>
  <c r="N1364" i="9" s="1"/>
  <c r="C1365" i="9"/>
  <c r="D1365" i="9" l="1"/>
  <c r="G1365" i="9" s="1"/>
  <c r="H1365" i="9" s="1"/>
  <c r="J1365" i="9" s="1"/>
  <c r="I1365" i="9" l="1"/>
  <c r="B1366" i="9" l="1"/>
  <c r="K1365" i="9"/>
  <c r="O1365" i="9" s="1"/>
  <c r="L1365" i="9" l="1"/>
  <c r="M1365" i="9" s="1"/>
  <c r="N1365" i="9" s="1"/>
  <c r="C1366" i="9"/>
  <c r="D1366" i="9" l="1"/>
  <c r="G1366" i="9" s="1"/>
  <c r="H1366" i="9" s="1"/>
  <c r="J1366" i="9" s="1"/>
  <c r="I1366" i="9" l="1"/>
  <c r="B1367" i="9" l="1"/>
  <c r="K1366" i="9"/>
  <c r="O1366" i="9" s="1"/>
  <c r="L1366" i="9" l="1"/>
  <c r="M1366" i="9" s="1"/>
  <c r="N1366" i="9" s="1"/>
  <c r="C1367" i="9"/>
  <c r="D1367" i="9" l="1"/>
  <c r="G1367" i="9" s="1"/>
  <c r="H1367" i="9" s="1"/>
  <c r="I1367" i="9" s="1"/>
  <c r="B1368" i="9" l="1"/>
  <c r="K1367" i="9"/>
  <c r="O1367" i="9" s="1"/>
  <c r="J1367" i="9"/>
  <c r="L1367" i="9" l="1"/>
  <c r="M1367" i="9" s="1"/>
  <c r="N1367" i="9" s="1"/>
  <c r="C1368" i="9"/>
  <c r="D1368" i="9" l="1"/>
  <c r="G1368" i="9" s="1"/>
  <c r="H1368" i="9" s="1"/>
  <c r="I1368" i="9" s="1"/>
  <c r="B1369" i="9" l="1"/>
  <c r="K1368" i="9"/>
  <c r="O1368" i="9" s="1"/>
  <c r="J1368" i="9"/>
  <c r="L1368" i="9" l="1"/>
  <c r="M1368" i="9" s="1"/>
  <c r="N1368" i="9" s="1"/>
  <c r="C1369" i="9"/>
  <c r="D1369" i="9" l="1"/>
  <c r="G1369" i="9" s="1"/>
  <c r="H1369" i="9" s="1"/>
  <c r="I1369" i="9" s="1"/>
  <c r="B1370" i="9" l="1"/>
  <c r="K1369" i="9"/>
  <c r="O1369" i="9" s="1"/>
  <c r="J1369" i="9"/>
  <c r="L1369" i="9" l="1"/>
  <c r="M1369" i="9" s="1"/>
  <c r="N1369" i="9" s="1"/>
  <c r="C1370" i="9"/>
  <c r="D1370" i="9" l="1"/>
  <c r="G1370" i="9" s="1"/>
  <c r="H1370" i="9" s="1"/>
  <c r="I1370" i="9" s="1"/>
  <c r="B1371" i="9" l="1"/>
  <c r="K1370" i="9"/>
  <c r="O1370" i="9" s="1"/>
  <c r="J1370" i="9"/>
  <c r="L1370" i="9" l="1"/>
  <c r="M1370" i="9" s="1"/>
  <c r="N1370" i="9" s="1"/>
  <c r="C1371" i="9"/>
  <c r="D1371" i="9" l="1"/>
  <c r="G1371" i="9" s="1"/>
  <c r="H1371" i="9" s="1"/>
  <c r="J1371" i="9" s="1"/>
  <c r="I1371" i="9" l="1"/>
  <c r="B1372" i="9" l="1"/>
  <c r="K1371" i="9"/>
  <c r="O1371" i="9" s="1"/>
  <c r="L1371" i="9" l="1"/>
  <c r="M1371" i="9" s="1"/>
  <c r="N1371" i="9" s="1"/>
  <c r="C1372" i="9"/>
  <c r="D1372" i="9" l="1"/>
  <c r="G1372" i="9" s="1"/>
  <c r="H1372" i="9" s="1"/>
  <c r="J1372" i="9" s="1"/>
  <c r="I1372" i="9" l="1"/>
  <c r="B1373" i="9" l="1"/>
  <c r="K1372" i="9"/>
  <c r="O1372" i="9" s="1"/>
  <c r="L1372" i="9" l="1"/>
  <c r="M1372" i="9" s="1"/>
  <c r="N1372" i="9" s="1"/>
  <c r="C1373" i="9"/>
  <c r="D1373" i="9" l="1"/>
  <c r="G1373" i="9" s="1"/>
  <c r="H1373" i="9" s="1"/>
  <c r="J1373" i="9" s="1"/>
  <c r="I1373" i="9" l="1"/>
  <c r="B1374" i="9" l="1"/>
  <c r="K1373" i="9"/>
  <c r="O1373" i="9" s="1"/>
  <c r="L1373" i="9" l="1"/>
  <c r="M1373" i="9" s="1"/>
  <c r="N1373" i="9" s="1"/>
  <c r="C1374" i="9"/>
  <c r="D1374" i="9" l="1"/>
  <c r="G1374" i="9" s="1"/>
  <c r="H1374" i="9" s="1"/>
  <c r="J1374" i="9" s="1"/>
  <c r="I1374" i="9" l="1"/>
  <c r="B1375" i="9" l="1"/>
  <c r="K1374" i="9"/>
  <c r="O1374" i="9" s="1"/>
  <c r="L1374" i="9" l="1"/>
  <c r="M1374" i="9" s="1"/>
  <c r="N1374" i="9" s="1"/>
  <c r="C1375" i="9"/>
  <c r="D1375" i="9" l="1"/>
  <c r="G1375" i="9" s="1"/>
  <c r="H1375" i="9" s="1"/>
  <c r="J1375" i="9" s="1"/>
  <c r="I1375" i="9" l="1"/>
  <c r="B1376" i="9" l="1"/>
  <c r="K1375" i="9"/>
  <c r="O1375" i="9" s="1"/>
  <c r="L1375" i="9" l="1"/>
  <c r="M1375" i="9" s="1"/>
  <c r="N1375" i="9" s="1"/>
  <c r="C1376" i="9"/>
  <c r="D1376" i="9" l="1"/>
  <c r="G1376" i="9" s="1"/>
  <c r="H1376" i="9" s="1"/>
  <c r="I1376" i="9" s="1"/>
  <c r="B1377" i="9" l="1"/>
  <c r="K1376" i="9"/>
  <c r="O1376" i="9" s="1"/>
  <c r="J1376" i="9"/>
  <c r="L1376" i="9" l="1"/>
  <c r="M1376" i="9" s="1"/>
  <c r="N1376" i="9" s="1"/>
  <c r="C1377" i="9"/>
  <c r="D1377" i="9" l="1"/>
  <c r="G1377" i="9" s="1"/>
  <c r="H1377" i="9" s="1"/>
  <c r="J1377" i="9" s="1"/>
  <c r="I1377" i="9" l="1"/>
  <c r="B1378" i="9" l="1"/>
  <c r="K1377" i="9"/>
  <c r="O1377" i="9" s="1"/>
  <c r="L1377" i="9" l="1"/>
  <c r="M1377" i="9" s="1"/>
  <c r="N1377" i="9" s="1"/>
  <c r="C1378" i="9"/>
  <c r="D1378" i="9" l="1"/>
  <c r="G1378" i="9" s="1"/>
  <c r="H1378" i="9" s="1"/>
  <c r="J1378" i="9" s="1"/>
  <c r="I1378" i="9" l="1"/>
  <c r="B1379" i="9" l="1"/>
  <c r="K1378" i="9"/>
  <c r="O1378" i="9" s="1"/>
  <c r="L1378" i="9" l="1"/>
  <c r="M1378" i="9" s="1"/>
  <c r="N1378" i="9" s="1"/>
  <c r="C1379" i="9"/>
  <c r="D1379" i="9" l="1"/>
  <c r="G1379" i="9" s="1"/>
  <c r="H1379" i="9" s="1"/>
  <c r="J1379" i="9" s="1"/>
  <c r="I1379" i="9" l="1"/>
  <c r="B1380" i="9" l="1"/>
  <c r="K1379" i="9"/>
  <c r="O1379" i="9" s="1"/>
  <c r="L1379" i="9" l="1"/>
  <c r="M1379" i="9" s="1"/>
  <c r="N1379" i="9" s="1"/>
  <c r="C1380" i="9"/>
  <c r="D1380" i="9" l="1"/>
  <c r="G1380" i="9" s="1"/>
  <c r="H1380" i="9" s="1"/>
  <c r="J1380" i="9" s="1"/>
  <c r="I1380" i="9" l="1"/>
  <c r="B1381" i="9" l="1"/>
  <c r="K1380" i="9"/>
  <c r="O1380" i="9" s="1"/>
  <c r="L1380" i="9" l="1"/>
  <c r="M1380" i="9" s="1"/>
  <c r="N1380" i="9" s="1"/>
  <c r="C1381" i="9"/>
  <c r="D1381" i="9" l="1"/>
  <c r="G1381" i="9" s="1"/>
  <c r="H1381" i="9" s="1"/>
  <c r="J1381" i="9" s="1"/>
  <c r="I1381" i="9" l="1"/>
  <c r="B1382" i="9" l="1"/>
  <c r="K1381" i="9"/>
  <c r="O1381" i="9" s="1"/>
  <c r="L1381" i="9" l="1"/>
  <c r="M1381" i="9" s="1"/>
  <c r="N1381" i="9" s="1"/>
  <c r="C1382" i="9"/>
  <c r="D1382" i="9" l="1"/>
  <c r="G1382" i="9" s="1"/>
  <c r="H1382" i="9" s="1"/>
  <c r="J1382" i="9" s="1"/>
  <c r="I1382" i="9" l="1"/>
  <c r="B1383" i="9" l="1"/>
  <c r="K1382" i="9"/>
  <c r="O1382" i="9" s="1"/>
  <c r="L1382" i="9" l="1"/>
  <c r="M1382" i="9" s="1"/>
  <c r="N1382" i="9" s="1"/>
  <c r="C1383" i="9"/>
  <c r="D1383" i="9" l="1"/>
  <c r="G1383" i="9" s="1"/>
  <c r="H1383" i="9" s="1"/>
  <c r="I1383" i="9" s="1"/>
  <c r="B1384" i="9" l="1"/>
  <c r="K1383" i="9"/>
  <c r="O1383" i="9" s="1"/>
  <c r="J1383" i="9"/>
  <c r="L1383" i="9" l="1"/>
  <c r="M1383" i="9" s="1"/>
  <c r="N1383" i="9" s="1"/>
  <c r="C1384" i="9"/>
  <c r="D1384" i="9" l="1"/>
  <c r="G1384" i="9" s="1"/>
  <c r="H1384" i="9" s="1"/>
  <c r="I1384" i="9" s="1"/>
  <c r="B1385" i="9" l="1"/>
  <c r="K1384" i="9"/>
  <c r="O1384" i="9" s="1"/>
  <c r="J1384" i="9"/>
  <c r="L1384" i="9" l="1"/>
  <c r="M1384" i="9" s="1"/>
  <c r="N1384" i="9" s="1"/>
  <c r="C1385" i="9"/>
  <c r="D1385" i="9" l="1"/>
  <c r="G1385" i="9" s="1"/>
  <c r="H1385" i="9" s="1"/>
  <c r="J1385" i="9" s="1"/>
  <c r="I1385" i="9" l="1"/>
  <c r="B1386" i="9" l="1"/>
  <c r="K1385" i="9"/>
  <c r="O1385" i="9" s="1"/>
  <c r="L1385" i="9" l="1"/>
  <c r="M1385" i="9" s="1"/>
  <c r="N1385" i="9" s="1"/>
  <c r="C1386" i="9"/>
  <c r="D1386" i="9" l="1"/>
  <c r="G1386" i="9" s="1"/>
  <c r="H1386" i="9" s="1"/>
  <c r="J1386" i="9" s="1"/>
  <c r="I1386" i="9" l="1"/>
  <c r="B1387" i="9" l="1"/>
  <c r="K1386" i="9"/>
  <c r="O1386" i="9" s="1"/>
  <c r="L1386" i="9" l="1"/>
  <c r="M1386" i="9" s="1"/>
  <c r="N1386" i="9" s="1"/>
  <c r="C1387" i="9"/>
  <c r="D1387" i="9" l="1"/>
  <c r="G1387" i="9" s="1"/>
  <c r="H1387" i="9" s="1"/>
  <c r="I1387" i="9" s="1"/>
  <c r="B1388" i="9" l="1"/>
  <c r="K1387" i="9"/>
  <c r="O1387" i="9" s="1"/>
  <c r="J1387" i="9"/>
  <c r="L1387" i="9" l="1"/>
  <c r="M1387" i="9" s="1"/>
  <c r="N1387" i="9" s="1"/>
  <c r="C1388" i="9"/>
  <c r="D1388" i="9" l="1"/>
  <c r="G1388" i="9" s="1"/>
  <c r="H1388" i="9" s="1"/>
  <c r="I1388" i="9" s="1"/>
  <c r="B1389" i="9" l="1"/>
  <c r="K1388" i="9"/>
  <c r="O1388" i="9" s="1"/>
  <c r="J1388" i="9"/>
  <c r="L1388" i="9" l="1"/>
  <c r="M1388" i="9" s="1"/>
  <c r="N1388" i="9" s="1"/>
  <c r="C1389" i="9"/>
  <c r="D1389" i="9" l="1"/>
  <c r="G1389" i="9" s="1"/>
  <c r="H1389" i="9" s="1"/>
  <c r="J1389" i="9" s="1"/>
  <c r="I1389" i="9" l="1"/>
  <c r="B1390" i="9" l="1"/>
  <c r="K1389" i="9"/>
  <c r="O1389" i="9" s="1"/>
  <c r="L1389" i="9" l="1"/>
  <c r="M1389" i="9" s="1"/>
  <c r="N1389" i="9" s="1"/>
  <c r="C1390" i="9"/>
  <c r="D1390" i="9" l="1"/>
  <c r="G1390" i="9" s="1"/>
  <c r="H1390" i="9" s="1"/>
  <c r="J1390" i="9" s="1"/>
  <c r="I1390" i="9" l="1"/>
  <c r="B1391" i="9" l="1"/>
  <c r="K1390" i="9"/>
  <c r="O1390" i="9" s="1"/>
  <c r="L1390" i="9" l="1"/>
  <c r="M1390" i="9" s="1"/>
  <c r="N1390" i="9" s="1"/>
  <c r="C1391" i="9"/>
  <c r="D1391" i="9" l="1"/>
  <c r="G1391" i="9" s="1"/>
  <c r="H1391" i="9" s="1"/>
  <c r="I1391" i="9" s="1"/>
  <c r="B1392" i="9" l="1"/>
  <c r="K1391" i="9"/>
  <c r="O1391" i="9" s="1"/>
  <c r="J1391" i="9"/>
  <c r="L1391" i="9" l="1"/>
  <c r="M1391" i="9" s="1"/>
  <c r="N1391" i="9" s="1"/>
  <c r="C1392" i="9"/>
  <c r="D1392" i="9" l="1"/>
  <c r="G1392" i="9" s="1"/>
  <c r="H1392" i="9" s="1"/>
  <c r="I1392" i="9" s="1"/>
  <c r="B1393" i="9" l="1"/>
  <c r="K1392" i="9"/>
  <c r="O1392" i="9" s="1"/>
  <c r="J1392" i="9"/>
  <c r="L1392" i="9" l="1"/>
  <c r="M1392" i="9" s="1"/>
  <c r="N1392" i="9" s="1"/>
  <c r="C1393" i="9"/>
  <c r="D1393" i="9" l="1"/>
  <c r="G1393" i="9" s="1"/>
  <c r="H1393" i="9" s="1"/>
  <c r="J1393" i="9" s="1"/>
  <c r="I1393" i="9" l="1"/>
  <c r="B1394" i="9" l="1"/>
  <c r="K1393" i="9"/>
  <c r="O1393" i="9" s="1"/>
  <c r="L1393" i="9" l="1"/>
  <c r="M1393" i="9" s="1"/>
  <c r="N1393" i="9" s="1"/>
  <c r="C1394" i="9"/>
  <c r="D1394" i="9" l="1"/>
  <c r="G1394" i="9" s="1"/>
  <c r="H1394" i="9" s="1"/>
  <c r="J1394" i="9" s="1"/>
  <c r="I1394" i="9" l="1"/>
  <c r="B1395" i="9" l="1"/>
  <c r="K1394" i="9"/>
  <c r="O1394" i="9" s="1"/>
  <c r="L1394" i="9" l="1"/>
  <c r="M1394" i="9" s="1"/>
  <c r="N1394" i="9" s="1"/>
  <c r="C1395" i="9"/>
  <c r="D1395" i="9" l="1"/>
  <c r="G1395" i="9" s="1"/>
  <c r="H1395" i="9" s="1"/>
  <c r="J1395" i="9" s="1"/>
  <c r="I1395" i="9" l="1"/>
  <c r="B1396" i="9" l="1"/>
  <c r="K1395" i="9"/>
  <c r="O1395" i="9" s="1"/>
  <c r="L1395" i="9" l="1"/>
  <c r="M1395" i="9" s="1"/>
  <c r="N1395" i="9" s="1"/>
  <c r="C1396" i="9"/>
  <c r="D1396" i="9" l="1"/>
  <c r="G1396" i="9" s="1"/>
  <c r="H1396" i="9" s="1"/>
  <c r="I1396" i="9" s="1"/>
  <c r="B1397" i="9" l="1"/>
  <c r="K1396" i="9"/>
  <c r="O1396" i="9" s="1"/>
  <c r="J1396" i="9"/>
  <c r="L1396" i="9" l="1"/>
  <c r="M1396" i="9" s="1"/>
  <c r="N1396" i="9" s="1"/>
  <c r="C1397" i="9"/>
  <c r="D1397" i="9" l="1"/>
  <c r="G1397" i="9" s="1"/>
  <c r="H1397" i="9" s="1"/>
  <c r="I1397" i="9" s="1"/>
  <c r="B1398" i="9" l="1"/>
  <c r="K1397" i="9"/>
  <c r="O1397" i="9" s="1"/>
  <c r="J1397" i="9"/>
  <c r="L1397" i="9" l="1"/>
  <c r="M1397" i="9" s="1"/>
  <c r="N1397" i="9" s="1"/>
  <c r="C1398" i="9"/>
  <c r="D1398" i="9" l="1"/>
  <c r="G1398" i="9" s="1"/>
  <c r="H1398" i="9" s="1"/>
  <c r="J1398" i="9" s="1"/>
  <c r="I1398" i="9" l="1"/>
  <c r="B1399" i="9" l="1"/>
  <c r="K1398" i="9"/>
  <c r="O1398" i="9" s="1"/>
  <c r="L1398" i="9" l="1"/>
  <c r="M1398" i="9" s="1"/>
  <c r="N1398" i="9" s="1"/>
  <c r="C1399" i="9"/>
  <c r="D1399" i="9" l="1"/>
  <c r="G1399" i="9" s="1"/>
  <c r="H1399" i="9" s="1"/>
  <c r="J1399" i="9" s="1"/>
  <c r="I1399" i="9" l="1"/>
  <c r="B1400" i="9" l="1"/>
  <c r="K1399" i="9"/>
  <c r="O1399" i="9" s="1"/>
  <c r="L1399" i="9" l="1"/>
  <c r="M1399" i="9" s="1"/>
  <c r="N1399" i="9" s="1"/>
  <c r="C1400" i="9"/>
  <c r="D1400" i="9" l="1"/>
  <c r="G1400" i="9" s="1"/>
  <c r="H1400" i="9" s="1"/>
  <c r="I1400" i="9" s="1"/>
  <c r="B1401" i="9" l="1"/>
  <c r="K1400" i="9"/>
  <c r="O1400" i="9" s="1"/>
  <c r="J1400" i="9"/>
  <c r="L1400" i="9" l="1"/>
  <c r="M1400" i="9" s="1"/>
  <c r="N1400" i="9" s="1"/>
  <c r="C1401" i="9"/>
  <c r="D1401" i="9" l="1"/>
  <c r="G1401" i="9" s="1"/>
  <c r="H1401" i="9" s="1"/>
  <c r="J1401" i="9" s="1"/>
  <c r="I1401" i="9" l="1"/>
  <c r="B1402" i="9" l="1"/>
  <c r="K1401" i="9"/>
  <c r="O1401" i="9" s="1"/>
  <c r="L1401" i="9" l="1"/>
  <c r="M1401" i="9" s="1"/>
  <c r="N1401" i="9" s="1"/>
  <c r="C1402" i="9"/>
  <c r="D1402" i="9" l="1"/>
  <c r="G1402" i="9" s="1"/>
  <c r="H1402" i="9" s="1"/>
  <c r="J1402" i="9" s="1"/>
  <c r="I1402" i="9" l="1"/>
  <c r="B1403" i="9" s="1"/>
  <c r="K1402" i="9" l="1"/>
  <c r="O1402" i="9" s="1"/>
  <c r="C1403" i="9"/>
  <c r="L1402" i="9" l="1"/>
  <c r="M1402" i="9" s="1"/>
  <c r="N1402" i="9" s="1"/>
  <c r="D1403" i="9"/>
  <c r="G1403" i="9" s="1"/>
  <c r="H1403" i="9" s="1"/>
  <c r="J1403" i="9" s="1"/>
  <c r="I1403" i="9" l="1"/>
  <c r="B1404" i="9" l="1"/>
  <c r="K1403" i="9"/>
  <c r="O1403" i="9" s="1"/>
  <c r="L1403" i="9" l="1"/>
  <c r="M1403" i="9" s="1"/>
  <c r="N1403" i="9" s="1"/>
  <c r="C1404" i="9"/>
  <c r="D1404" i="9" l="1"/>
  <c r="G1404" i="9" s="1"/>
  <c r="H1404" i="9" s="1"/>
  <c r="I1404" i="9" s="1"/>
  <c r="B1405" i="9" l="1"/>
  <c r="K1404" i="9"/>
  <c r="O1404" i="9" s="1"/>
  <c r="J1404" i="9"/>
  <c r="L1404" i="9" l="1"/>
  <c r="M1404" i="9" s="1"/>
  <c r="N1404" i="9" s="1"/>
  <c r="C1405" i="9"/>
  <c r="D1405" i="9" l="1"/>
  <c r="G1405" i="9" s="1"/>
  <c r="H1405" i="9" s="1"/>
  <c r="J1405" i="9" s="1"/>
  <c r="I1405" i="9" l="1"/>
  <c r="B1406" i="9" l="1"/>
  <c r="K1405" i="9"/>
  <c r="O1405" i="9" s="1"/>
  <c r="L1405" i="9" l="1"/>
  <c r="M1405" i="9" s="1"/>
  <c r="N1405" i="9" s="1"/>
  <c r="C1406" i="9"/>
  <c r="D1406" i="9" l="1"/>
  <c r="G1406" i="9" s="1"/>
  <c r="H1406" i="9" s="1"/>
  <c r="I1406" i="9" s="1"/>
  <c r="B1407" i="9" l="1"/>
  <c r="K1406" i="9"/>
  <c r="O1406" i="9" s="1"/>
  <c r="J1406" i="9"/>
  <c r="L1406" i="9" l="1"/>
  <c r="M1406" i="9" s="1"/>
  <c r="N1406" i="9" s="1"/>
  <c r="C1407" i="9"/>
  <c r="D1407" i="9" l="1"/>
  <c r="G1407" i="9" s="1"/>
  <c r="H1407" i="9" s="1"/>
  <c r="J1407" i="9" s="1"/>
  <c r="I1407" i="9" l="1"/>
  <c r="B1408" i="9" l="1"/>
  <c r="K1407" i="9"/>
  <c r="O1407" i="9" s="1"/>
  <c r="L1407" i="9" l="1"/>
  <c r="M1407" i="9" s="1"/>
  <c r="N1407" i="9" s="1"/>
  <c r="C1408" i="9"/>
  <c r="D1408" i="9" l="1"/>
  <c r="G1408" i="9" s="1"/>
  <c r="H1408" i="9" s="1"/>
  <c r="I1408" i="9" s="1"/>
  <c r="B1409" i="9" l="1"/>
  <c r="K1408" i="9"/>
  <c r="O1408" i="9" s="1"/>
  <c r="J1408" i="9"/>
  <c r="L1408" i="9" l="1"/>
  <c r="M1408" i="9" s="1"/>
  <c r="N1408" i="9" s="1"/>
  <c r="C1409" i="9"/>
  <c r="D1409" i="9" l="1"/>
  <c r="G1409" i="9" s="1"/>
  <c r="H1409" i="9" s="1"/>
  <c r="J1409" i="9" s="1"/>
  <c r="I1409" i="9" l="1"/>
  <c r="B1410" i="9" l="1"/>
  <c r="K1409" i="9"/>
  <c r="O1409" i="9" s="1"/>
  <c r="L1409" i="9" l="1"/>
  <c r="M1409" i="9" s="1"/>
  <c r="N1409" i="9" s="1"/>
  <c r="C1410" i="9"/>
  <c r="D1410" i="9" l="1"/>
  <c r="G1410" i="9" s="1"/>
  <c r="H1410" i="9" s="1"/>
  <c r="J1410" i="9" s="1"/>
  <c r="I1410" i="9" l="1"/>
  <c r="B1411" i="9" l="1"/>
  <c r="K1410" i="9"/>
  <c r="O1410" i="9" s="1"/>
  <c r="L1410" i="9" l="1"/>
  <c r="M1410" i="9" s="1"/>
  <c r="N1410" i="9" s="1"/>
  <c r="C1411" i="9"/>
  <c r="D1411" i="9" l="1"/>
  <c r="G1411" i="9" s="1"/>
  <c r="H1411" i="9" s="1"/>
  <c r="J1411" i="9" s="1"/>
  <c r="I1411" i="9" l="1"/>
  <c r="B1412" i="9" l="1"/>
  <c r="K1411" i="9"/>
  <c r="O1411" i="9" s="1"/>
  <c r="L1411" i="9" l="1"/>
  <c r="M1411" i="9" s="1"/>
  <c r="N1411" i="9" s="1"/>
  <c r="C1412" i="9"/>
  <c r="D1412" i="9" l="1"/>
  <c r="G1412" i="9" s="1"/>
  <c r="H1412" i="9" s="1"/>
  <c r="J1412" i="9" s="1"/>
  <c r="I1412" i="9" l="1"/>
  <c r="B1413" i="9" l="1"/>
  <c r="K1412" i="9"/>
  <c r="O1412" i="9" s="1"/>
  <c r="L1412" i="9" l="1"/>
  <c r="M1412" i="9" s="1"/>
  <c r="N1412" i="9" s="1"/>
  <c r="C1413" i="9"/>
  <c r="D1413" i="9" l="1"/>
  <c r="G1413" i="9" s="1"/>
  <c r="H1413" i="9" s="1"/>
  <c r="J1413" i="9" s="1"/>
  <c r="I1413" i="9" l="1"/>
  <c r="B1414" i="9" l="1"/>
  <c r="K1413" i="9"/>
  <c r="O1413" i="9" s="1"/>
  <c r="L1413" i="9" l="1"/>
  <c r="M1413" i="9" s="1"/>
  <c r="N1413" i="9" s="1"/>
  <c r="C1414" i="9"/>
  <c r="D1414" i="9" l="1"/>
  <c r="G1414" i="9" s="1"/>
  <c r="H1414" i="9" s="1"/>
  <c r="J1414" i="9" s="1"/>
  <c r="I1414" i="9" l="1"/>
  <c r="B1415" i="9" l="1"/>
  <c r="K1414" i="9"/>
  <c r="O1414" i="9" s="1"/>
  <c r="L1414" i="9" l="1"/>
  <c r="M1414" i="9" s="1"/>
  <c r="N1414" i="9" s="1"/>
  <c r="C1415" i="9"/>
  <c r="D1415" i="9" l="1"/>
  <c r="G1415" i="9" s="1"/>
  <c r="H1415" i="9" s="1"/>
  <c r="J1415" i="9" s="1"/>
  <c r="I1415" i="9" l="1"/>
  <c r="B1416" i="9" l="1"/>
  <c r="K1415" i="9"/>
  <c r="O1415" i="9" s="1"/>
  <c r="L1415" i="9" l="1"/>
  <c r="M1415" i="9" s="1"/>
  <c r="N1415" i="9" s="1"/>
  <c r="C1416" i="9"/>
  <c r="D1416" i="9" l="1"/>
  <c r="G1416" i="9" s="1"/>
  <c r="H1416" i="9" s="1"/>
  <c r="J1416" i="9" s="1"/>
  <c r="I1416" i="9" l="1"/>
  <c r="B1417" i="9" l="1"/>
  <c r="K1416" i="9"/>
  <c r="O1416" i="9" s="1"/>
  <c r="L1416" i="9" l="1"/>
  <c r="M1416" i="9" s="1"/>
  <c r="N1416" i="9" s="1"/>
  <c r="C1417" i="9"/>
  <c r="D1417" i="9" l="1"/>
  <c r="G1417" i="9" s="1"/>
  <c r="H1417" i="9" s="1"/>
  <c r="I1417" i="9" s="1"/>
  <c r="B1418" i="9" l="1"/>
  <c r="K1417" i="9"/>
  <c r="O1417" i="9" s="1"/>
  <c r="J1417" i="9"/>
  <c r="L1417" i="9" l="1"/>
  <c r="M1417" i="9" s="1"/>
  <c r="N1417" i="9" s="1"/>
  <c r="C1418" i="9"/>
  <c r="D1418" i="9" l="1"/>
  <c r="G1418" i="9" s="1"/>
  <c r="H1418" i="9" s="1"/>
  <c r="J1418" i="9" s="1"/>
  <c r="I1418" i="9" l="1"/>
  <c r="B1419" i="9" l="1"/>
  <c r="K1418" i="9"/>
  <c r="O1418" i="9" s="1"/>
  <c r="L1418" i="9" l="1"/>
  <c r="M1418" i="9" s="1"/>
  <c r="N1418" i="9" s="1"/>
  <c r="C1419" i="9"/>
  <c r="D1419" i="9" l="1"/>
  <c r="G1419" i="9" s="1"/>
  <c r="H1419" i="9" s="1"/>
  <c r="J1419" i="9" s="1"/>
  <c r="I1419" i="9" l="1"/>
  <c r="B1420" i="9" l="1"/>
  <c r="K1419" i="9"/>
  <c r="O1419" i="9" s="1"/>
  <c r="L1419" i="9" l="1"/>
  <c r="M1419" i="9" s="1"/>
  <c r="N1419" i="9" s="1"/>
  <c r="C1420" i="9"/>
  <c r="D1420" i="9" l="1"/>
  <c r="G1420" i="9" s="1"/>
  <c r="H1420" i="9" s="1"/>
  <c r="J1420" i="9" s="1"/>
  <c r="I1420" i="9" l="1"/>
  <c r="B1421" i="9" l="1"/>
  <c r="K1420" i="9"/>
  <c r="O1420" i="9" s="1"/>
  <c r="L1420" i="9" l="1"/>
  <c r="M1420" i="9" s="1"/>
  <c r="N1420" i="9" s="1"/>
  <c r="C1421" i="9"/>
  <c r="D1421" i="9" l="1"/>
  <c r="G1421" i="9" s="1"/>
  <c r="H1421" i="9" s="1"/>
  <c r="J1421" i="9" s="1"/>
  <c r="I1421" i="9" l="1"/>
  <c r="B1422" i="9" l="1"/>
  <c r="K1421" i="9"/>
  <c r="O1421" i="9" s="1"/>
  <c r="L1421" i="9" l="1"/>
  <c r="M1421" i="9" s="1"/>
  <c r="N1421" i="9" s="1"/>
  <c r="C1422" i="9"/>
  <c r="D1422" i="9" l="1"/>
  <c r="G1422" i="9" s="1"/>
  <c r="H1422" i="9" s="1"/>
  <c r="J1422" i="9" s="1"/>
  <c r="I1422" i="9" l="1"/>
  <c r="B1423" i="9" l="1"/>
  <c r="K1422" i="9"/>
  <c r="O1422" i="9" s="1"/>
  <c r="L1422" i="9" l="1"/>
  <c r="M1422" i="9" s="1"/>
  <c r="N1422" i="9" s="1"/>
  <c r="C1423" i="9"/>
  <c r="D1423" i="9" l="1"/>
  <c r="G1423" i="9" s="1"/>
  <c r="H1423" i="9" s="1"/>
  <c r="J1423" i="9" s="1"/>
  <c r="I1423" i="9" l="1"/>
  <c r="B1424" i="9" l="1"/>
  <c r="K1423" i="9"/>
  <c r="O1423" i="9" s="1"/>
  <c r="L1423" i="9" l="1"/>
  <c r="M1423" i="9" s="1"/>
  <c r="N1423" i="9" s="1"/>
  <c r="C1424" i="9"/>
  <c r="D1424" i="9" l="1"/>
  <c r="G1424" i="9" s="1"/>
  <c r="H1424" i="9" s="1"/>
  <c r="J1424" i="9" s="1"/>
  <c r="I1424" i="9" l="1"/>
  <c r="B1425" i="9" l="1"/>
  <c r="K1424" i="9"/>
  <c r="O1424" i="9" s="1"/>
  <c r="L1424" i="9" l="1"/>
  <c r="M1424" i="9" s="1"/>
  <c r="N1424" i="9" s="1"/>
  <c r="C1425" i="9"/>
  <c r="D1425" i="9" l="1"/>
  <c r="G1425" i="9" s="1"/>
  <c r="H1425" i="9" s="1"/>
  <c r="J1425" i="9" s="1"/>
  <c r="I1425" i="9" l="1"/>
  <c r="B1426" i="9" l="1"/>
  <c r="K1425" i="9"/>
  <c r="O1425" i="9" s="1"/>
  <c r="L1425" i="9" l="1"/>
  <c r="M1425" i="9" s="1"/>
  <c r="N1425" i="9" s="1"/>
  <c r="C1426" i="9"/>
  <c r="D1426" i="9" l="1"/>
  <c r="G1426" i="9" s="1"/>
  <c r="H1426" i="9" s="1"/>
  <c r="J1426" i="9" s="1"/>
  <c r="I1426" i="9" l="1"/>
  <c r="B1427" i="9" l="1"/>
  <c r="K1426" i="9"/>
  <c r="O1426" i="9" s="1"/>
  <c r="L1426" i="9" l="1"/>
  <c r="M1426" i="9" s="1"/>
  <c r="N1426" i="9" s="1"/>
  <c r="C1427" i="9"/>
  <c r="D1427" i="9" l="1"/>
  <c r="G1427" i="9" s="1"/>
  <c r="H1427" i="9" s="1"/>
  <c r="J1427" i="9" s="1"/>
  <c r="I1427" i="9" l="1"/>
  <c r="B1428" i="9" l="1"/>
  <c r="K1427" i="9"/>
  <c r="O1427" i="9" s="1"/>
  <c r="L1427" i="9" l="1"/>
  <c r="M1427" i="9" s="1"/>
  <c r="N1427" i="9" s="1"/>
  <c r="C1428" i="9"/>
  <c r="D1428" i="9" l="1"/>
  <c r="G1428" i="9" s="1"/>
  <c r="H1428" i="9" s="1"/>
  <c r="I1428" i="9" s="1"/>
  <c r="B1429" i="9" l="1"/>
  <c r="K1428" i="9"/>
  <c r="O1428" i="9" s="1"/>
  <c r="J1428" i="9"/>
  <c r="L1428" i="9" l="1"/>
  <c r="M1428" i="9" s="1"/>
  <c r="N1428" i="9" s="1"/>
  <c r="C1429" i="9"/>
  <c r="D1429" i="9" l="1"/>
  <c r="G1429" i="9" s="1"/>
  <c r="H1429" i="9" s="1"/>
  <c r="J1429" i="9" s="1"/>
  <c r="I1429" i="9" l="1"/>
  <c r="B1430" i="9" l="1"/>
  <c r="K1429" i="9"/>
  <c r="O1429" i="9" s="1"/>
  <c r="L1429" i="9" l="1"/>
  <c r="M1429" i="9" s="1"/>
  <c r="N1429" i="9" s="1"/>
  <c r="C1430" i="9"/>
  <c r="D1430" i="9" l="1"/>
  <c r="G1430" i="9" s="1"/>
  <c r="H1430" i="9" s="1"/>
  <c r="I1430" i="9" s="1"/>
  <c r="B1431" i="9" l="1"/>
  <c r="K1430" i="9"/>
  <c r="O1430" i="9" s="1"/>
  <c r="J1430" i="9"/>
  <c r="L1430" i="9" l="1"/>
  <c r="M1430" i="9" s="1"/>
  <c r="N1430" i="9" s="1"/>
  <c r="C1431" i="9"/>
  <c r="D1431" i="9" l="1"/>
  <c r="G1431" i="9" s="1"/>
  <c r="H1431" i="9" s="1"/>
  <c r="J1431" i="9" s="1"/>
  <c r="I1431" i="9" l="1"/>
  <c r="B1432" i="9" s="1"/>
  <c r="K1431" i="9" l="1"/>
  <c r="O1431" i="9" s="1"/>
  <c r="C1432" i="9"/>
  <c r="L1431" i="9" l="1"/>
  <c r="M1431" i="9" s="1"/>
  <c r="N1431" i="9" s="1"/>
  <c r="D1432" i="9"/>
  <c r="G1432" i="9" s="1"/>
  <c r="H1432" i="9" s="1"/>
  <c r="I1432" i="9" s="1"/>
  <c r="B1433" i="9" l="1"/>
  <c r="K1432" i="9"/>
  <c r="O1432" i="9" s="1"/>
  <c r="J1432" i="9"/>
  <c r="L1432" i="9" l="1"/>
  <c r="M1432" i="9" s="1"/>
  <c r="N1432" i="9" s="1"/>
  <c r="C1433" i="9"/>
  <c r="D1433" i="9" l="1"/>
  <c r="G1433" i="9" s="1"/>
  <c r="H1433" i="9" s="1"/>
  <c r="J1433" i="9" s="1"/>
  <c r="I1433" i="9" l="1"/>
  <c r="B1434" i="9" l="1"/>
  <c r="K1433" i="9"/>
  <c r="O1433" i="9" s="1"/>
  <c r="L1433" i="9" l="1"/>
  <c r="M1433" i="9" s="1"/>
  <c r="N1433" i="9" s="1"/>
  <c r="C1434" i="9"/>
  <c r="D1434" i="9" l="1"/>
  <c r="G1434" i="9" s="1"/>
  <c r="H1434" i="9" s="1"/>
  <c r="J1434" i="9" s="1"/>
  <c r="I1434" i="9" l="1"/>
  <c r="B1435" i="9" l="1"/>
  <c r="K1434" i="9"/>
  <c r="O1434" i="9" s="1"/>
  <c r="L1434" i="9" l="1"/>
  <c r="M1434" i="9" s="1"/>
  <c r="N1434" i="9" s="1"/>
  <c r="C1435" i="9"/>
  <c r="D1435" i="9" l="1"/>
  <c r="G1435" i="9" s="1"/>
  <c r="H1435" i="9" s="1"/>
  <c r="J1435" i="9" s="1"/>
  <c r="I1435" i="9" l="1"/>
  <c r="B1436" i="9" l="1"/>
  <c r="K1435" i="9"/>
  <c r="O1435" i="9" s="1"/>
  <c r="L1435" i="9" l="1"/>
  <c r="M1435" i="9" s="1"/>
  <c r="N1435" i="9" s="1"/>
  <c r="C1436" i="9"/>
  <c r="D1436" i="9" l="1"/>
  <c r="G1436" i="9" s="1"/>
  <c r="H1436" i="9" s="1"/>
  <c r="J1436" i="9" s="1"/>
  <c r="I1436" i="9" l="1"/>
  <c r="B1437" i="9" l="1"/>
  <c r="K1436" i="9"/>
  <c r="O1436" i="9" s="1"/>
  <c r="L1436" i="9" l="1"/>
  <c r="M1436" i="9" s="1"/>
  <c r="N1436" i="9" s="1"/>
  <c r="C1437" i="9"/>
  <c r="D1437" i="9" l="1"/>
  <c r="G1437" i="9" s="1"/>
  <c r="H1437" i="9" s="1"/>
  <c r="J1437" i="9" s="1"/>
  <c r="I1437" i="9" l="1"/>
  <c r="B1438" i="9" l="1"/>
  <c r="K1437" i="9"/>
  <c r="O1437" i="9" s="1"/>
  <c r="L1437" i="9" l="1"/>
  <c r="M1437" i="9" s="1"/>
  <c r="N1437" i="9" s="1"/>
  <c r="C1438" i="9"/>
  <c r="D1438" i="9" l="1"/>
  <c r="G1438" i="9" s="1"/>
  <c r="H1438" i="9" s="1"/>
  <c r="J1438" i="9" s="1"/>
  <c r="I1438" i="9" l="1"/>
  <c r="B1439" i="9" l="1"/>
  <c r="K1438" i="9"/>
  <c r="O1438" i="9" s="1"/>
  <c r="L1438" i="9" l="1"/>
  <c r="M1438" i="9" s="1"/>
  <c r="N1438" i="9" s="1"/>
  <c r="C1439" i="9"/>
  <c r="D1439" i="9" l="1"/>
  <c r="G1439" i="9" s="1"/>
  <c r="H1439" i="9" s="1"/>
  <c r="J1439" i="9" s="1"/>
  <c r="I1439" i="9" l="1"/>
  <c r="B1440" i="9" l="1"/>
  <c r="K1439" i="9"/>
  <c r="O1439" i="9" s="1"/>
  <c r="L1439" i="9" l="1"/>
  <c r="M1439" i="9" s="1"/>
  <c r="N1439" i="9" s="1"/>
  <c r="C1440" i="9"/>
  <c r="D1440" i="9" l="1"/>
  <c r="G1440" i="9" s="1"/>
  <c r="H1440" i="9" s="1"/>
  <c r="J1440" i="9" s="1"/>
  <c r="I1440" i="9" l="1"/>
  <c r="B1441" i="9" l="1"/>
  <c r="K1440" i="9"/>
  <c r="O1440" i="9" s="1"/>
  <c r="L1440" i="9" l="1"/>
  <c r="M1440" i="9" s="1"/>
  <c r="N1440" i="9" s="1"/>
  <c r="C1441" i="9"/>
  <c r="D1441" i="9" l="1"/>
  <c r="G1441" i="9" s="1"/>
  <c r="H1441" i="9" s="1"/>
  <c r="J1441" i="9" s="1"/>
  <c r="I1441" i="9" l="1"/>
  <c r="B1442" i="9" l="1"/>
  <c r="K1441" i="9"/>
  <c r="O1441" i="9" s="1"/>
  <c r="L1441" i="9" l="1"/>
  <c r="M1441" i="9" s="1"/>
  <c r="N1441" i="9" s="1"/>
  <c r="C1442" i="9"/>
  <c r="D1442" i="9" l="1"/>
  <c r="G1442" i="9" s="1"/>
  <c r="H1442" i="9" s="1"/>
  <c r="J1442" i="9" s="1"/>
  <c r="I1442" i="9" l="1"/>
  <c r="B1443" i="9" l="1"/>
  <c r="K1442" i="9"/>
  <c r="O1442" i="9" s="1"/>
  <c r="L1442" i="9" l="1"/>
  <c r="M1442" i="9" s="1"/>
  <c r="N1442" i="9" s="1"/>
  <c r="C1443" i="9"/>
  <c r="D1443" i="9" l="1"/>
  <c r="G1443" i="9" s="1"/>
  <c r="H1443" i="9" s="1"/>
  <c r="I1443" i="9" s="1"/>
  <c r="B1444" i="9" l="1"/>
  <c r="K1443" i="9"/>
  <c r="O1443" i="9" s="1"/>
  <c r="J1443" i="9"/>
  <c r="L1443" i="9" l="1"/>
  <c r="M1443" i="9" s="1"/>
  <c r="N1443" i="9" s="1"/>
  <c r="C1444" i="9"/>
  <c r="D1444" i="9" l="1"/>
  <c r="G1444" i="9" s="1"/>
  <c r="H1444" i="9" s="1"/>
  <c r="J1444" i="9" s="1"/>
  <c r="I1444" i="9" l="1"/>
  <c r="B1445" i="9" l="1"/>
  <c r="K1444" i="9"/>
  <c r="O1444" i="9" s="1"/>
  <c r="L1444" i="9" l="1"/>
  <c r="M1444" i="9" s="1"/>
  <c r="N1444" i="9" s="1"/>
  <c r="C1445" i="9"/>
  <c r="D1445" i="9" l="1"/>
  <c r="G1445" i="9" s="1"/>
  <c r="H1445" i="9" s="1"/>
  <c r="J1445" i="9" s="1"/>
  <c r="I1445" i="9" l="1"/>
  <c r="B1446" i="9" l="1"/>
  <c r="K1445" i="9"/>
  <c r="O1445" i="9" s="1"/>
  <c r="L1445" i="9" l="1"/>
  <c r="M1445" i="9" s="1"/>
  <c r="N1445" i="9" s="1"/>
  <c r="C1446" i="9"/>
  <c r="D1446" i="9" l="1"/>
  <c r="G1446" i="9" s="1"/>
  <c r="H1446" i="9" s="1"/>
  <c r="J1446" i="9" s="1"/>
  <c r="I1446" i="9" l="1"/>
  <c r="B1447" i="9" l="1"/>
  <c r="K1446" i="9"/>
  <c r="O1446" i="9" s="1"/>
  <c r="L1446" i="9" l="1"/>
  <c r="M1446" i="9" s="1"/>
  <c r="N1446" i="9" s="1"/>
  <c r="C1447" i="9"/>
  <c r="D1447" i="9" l="1"/>
  <c r="G1447" i="9" s="1"/>
  <c r="H1447" i="9" s="1"/>
  <c r="J1447" i="9" s="1"/>
  <c r="I1447" i="9" l="1"/>
  <c r="B1448" i="9" s="1"/>
  <c r="K1447" i="9" l="1"/>
  <c r="O1447" i="9" s="1"/>
  <c r="C1448" i="9"/>
  <c r="L1447" i="9" l="1"/>
  <c r="M1447" i="9" s="1"/>
  <c r="N1447" i="9" s="1"/>
  <c r="D1448" i="9"/>
  <c r="G1448" i="9" s="1"/>
  <c r="H1448" i="9" s="1"/>
  <c r="I1448" i="9" s="1"/>
  <c r="B1449" i="9" l="1"/>
  <c r="K1448" i="9"/>
  <c r="O1448" i="9" s="1"/>
  <c r="J1448" i="9"/>
  <c r="L1448" i="9" l="1"/>
  <c r="M1448" i="9" s="1"/>
  <c r="N1448" i="9" s="1"/>
  <c r="C1449" i="9"/>
  <c r="D1449" i="9" l="1"/>
  <c r="G1449" i="9" s="1"/>
  <c r="H1449" i="9" s="1"/>
  <c r="J1449" i="9" s="1"/>
  <c r="I1449" i="9" l="1"/>
  <c r="B1450" i="9" l="1"/>
  <c r="K1449" i="9"/>
  <c r="O1449" i="9" s="1"/>
  <c r="L1449" i="9" l="1"/>
  <c r="M1449" i="9" s="1"/>
  <c r="N1449" i="9" s="1"/>
  <c r="C1450" i="9"/>
  <c r="D1450" i="9" l="1"/>
  <c r="G1450" i="9" s="1"/>
  <c r="H1450" i="9" s="1"/>
  <c r="J1450" i="9" s="1"/>
  <c r="I1450" i="9" l="1"/>
  <c r="B1451" i="9" s="1"/>
  <c r="K1450" i="9" l="1"/>
  <c r="O1450" i="9" s="1"/>
  <c r="C1451" i="9"/>
  <c r="L1450" i="9" l="1"/>
  <c r="M1450" i="9" s="1"/>
  <c r="N1450" i="9" s="1"/>
  <c r="D1451" i="9"/>
  <c r="G1451" i="9" s="1"/>
  <c r="H1451" i="9" s="1"/>
  <c r="J1451" i="9" s="1"/>
  <c r="I1451" i="9" l="1"/>
  <c r="B1452" i="9" s="1"/>
  <c r="K1451" i="9" l="1"/>
  <c r="O1451" i="9" s="1"/>
  <c r="C1452" i="9"/>
  <c r="L1451" i="9" l="1"/>
  <c r="M1451" i="9" s="1"/>
  <c r="N1451" i="9" s="1"/>
  <c r="D1452" i="9"/>
  <c r="G1452" i="9" s="1"/>
  <c r="H1452" i="9" s="1"/>
  <c r="J1452" i="9" s="1"/>
  <c r="I1452" i="9" l="1"/>
  <c r="B1453" i="9" s="1"/>
  <c r="K1452" i="9" l="1"/>
  <c r="O1452" i="9" s="1"/>
  <c r="C1453" i="9"/>
  <c r="L1452" i="9" l="1"/>
  <c r="M1452" i="9" s="1"/>
  <c r="N1452" i="9" s="1"/>
  <c r="D1453" i="9"/>
  <c r="G1453" i="9" s="1"/>
  <c r="H1453" i="9" s="1"/>
  <c r="J1453" i="9" s="1"/>
  <c r="I1453" i="9" l="1"/>
  <c r="B1454" i="9" s="1"/>
  <c r="K1453" i="9" l="1"/>
  <c r="O1453" i="9" s="1"/>
  <c r="C1454" i="9"/>
  <c r="L1453" i="9" l="1"/>
  <c r="M1453" i="9" s="1"/>
  <c r="N1453" i="9" s="1"/>
  <c r="D1454" i="9"/>
  <c r="G1454" i="9" s="1"/>
  <c r="H1454" i="9" s="1"/>
  <c r="J1454" i="9" s="1"/>
  <c r="I1454" i="9" l="1"/>
  <c r="B1455" i="9" s="1"/>
  <c r="K1454" i="9" l="1"/>
  <c r="O1454" i="9" s="1"/>
  <c r="C1455" i="9"/>
  <c r="L1454" i="9" l="1"/>
  <c r="M1454" i="9" s="1"/>
  <c r="N1454" i="9" s="1"/>
  <c r="D1455" i="9"/>
  <c r="G1455" i="9" s="1"/>
  <c r="H1455" i="9" s="1"/>
  <c r="J1455" i="9" s="1"/>
  <c r="I1455" i="9" l="1"/>
  <c r="B1456" i="9" s="1"/>
  <c r="K1455" i="9" l="1"/>
  <c r="O1455" i="9" s="1"/>
  <c r="C1456" i="9"/>
  <c r="L1455" i="9" l="1"/>
  <c r="M1455" i="9" s="1"/>
  <c r="N1455" i="9" s="1"/>
  <c r="D1456" i="9"/>
  <c r="G1456" i="9" s="1"/>
  <c r="H1456" i="9" s="1"/>
  <c r="J1456" i="9" s="1"/>
  <c r="I1456" i="9" l="1"/>
  <c r="B1457" i="9" s="1"/>
  <c r="K1456" i="9" l="1"/>
  <c r="O1456" i="9" s="1"/>
  <c r="C1457" i="9"/>
  <c r="L1456" i="9" l="1"/>
  <c r="M1456" i="9" s="1"/>
  <c r="N1456" i="9" s="1"/>
  <c r="D1457" i="9"/>
  <c r="G1457" i="9" s="1"/>
  <c r="H1457" i="9" s="1"/>
  <c r="J1457" i="9" s="1"/>
  <c r="I1457" i="9" l="1"/>
  <c r="B1458" i="9" s="1"/>
  <c r="K1457" i="9" l="1"/>
  <c r="O1457" i="9" s="1"/>
  <c r="C1458" i="9"/>
  <c r="L1457" i="9" l="1"/>
  <c r="M1457" i="9" s="1"/>
  <c r="N1457" i="9" s="1"/>
  <c r="D1458" i="9"/>
  <c r="G1458" i="9" s="1"/>
  <c r="H1458" i="9" s="1"/>
  <c r="J1458" i="9" s="1"/>
  <c r="I1458" i="9" l="1"/>
  <c r="B1459" i="9" s="1"/>
  <c r="K1458" i="9" l="1"/>
  <c r="O1458" i="9" s="1"/>
  <c r="C1459" i="9"/>
  <c r="L1458" i="9" l="1"/>
  <c r="M1458" i="9" s="1"/>
  <c r="N1458" i="9" s="1"/>
  <c r="D1459" i="9"/>
  <c r="G1459" i="9" s="1"/>
  <c r="H1459" i="9" s="1"/>
  <c r="J1459" i="9" s="1"/>
  <c r="I1459" i="9" l="1"/>
  <c r="K1459" i="9" s="1"/>
  <c r="O1459" i="9" s="1"/>
  <c r="B1460" i="9" l="1"/>
  <c r="C1460" i="9" s="1"/>
  <c r="L1459" i="9"/>
  <c r="M1459" i="9" s="1"/>
  <c r="N1459" i="9" s="1"/>
  <c r="D1460" i="9" l="1"/>
  <c r="G1460" i="9" s="1"/>
  <c r="H1460" i="9" s="1"/>
  <c r="J1460" i="9" s="1"/>
  <c r="I1460" i="9" l="1"/>
  <c r="B1461" i="9" s="1"/>
  <c r="K1460" i="9" l="1"/>
  <c r="O1460" i="9" s="1"/>
  <c r="C1461" i="9"/>
  <c r="L1460" i="9" l="1"/>
  <c r="M1460" i="9" s="1"/>
  <c r="N1460" i="9" s="1"/>
  <c r="D1461" i="9"/>
  <c r="G1461" i="9" s="1"/>
  <c r="H1461" i="9" s="1"/>
  <c r="J1461" i="9" s="1"/>
  <c r="I1461" i="9" l="1"/>
  <c r="B1462" i="9" s="1"/>
  <c r="K1461" i="9" l="1"/>
  <c r="O1461" i="9" s="1"/>
  <c r="C1462" i="9"/>
  <c r="L1461" i="9" l="1"/>
  <c r="M1461" i="9" s="1"/>
  <c r="N1461" i="9" s="1"/>
  <c r="D1462" i="9"/>
  <c r="G1462" i="9" s="1"/>
  <c r="H1462" i="9" s="1"/>
  <c r="J1462" i="9" s="1"/>
  <c r="I1462" i="9" l="1"/>
  <c r="B1463" i="9" s="1"/>
  <c r="K1462" i="9" l="1"/>
  <c r="O1462" i="9" s="1"/>
  <c r="C1463" i="9"/>
  <c r="L1462" i="9" l="1"/>
  <c r="M1462" i="9" s="1"/>
  <c r="N1462" i="9" s="1"/>
  <c r="D1463" i="9"/>
  <c r="G1463" i="9" s="1"/>
  <c r="H1463" i="9" s="1"/>
  <c r="J1463" i="9" s="1"/>
  <c r="I1463" i="9" l="1"/>
  <c r="B1464" i="9" s="1"/>
  <c r="K1463" i="9" l="1"/>
  <c r="O1463" i="9" s="1"/>
  <c r="C1464" i="9"/>
  <c r="L1463" i="9" l="1"/>
  <c r="M1463" i="9" s="1"/>
  <c r="N1463" i="9" s="1"/>
  <c r="D1464" i="9"/>
  <c r="G1464" i="9" s="1"/>
  <c r="H1464" i="9" s="1"/>
  <c r="J1464" i="9" s="1"/>
  <c r="I1464" i="9" l="1"/>
  <c r="B1465" i="9" s="1"/>
  <c r="K1464" i="9" l="1"/>
  <c r="O1464" i="9" s="1"/>
  <c r="C1465" i="9"/>
  <c r="L1464" i="9" l="1"/>
  <c r="M1464" i="9" s="1"/>
  <c r="N1464" i="9" s="1"/>
  <c r="D1465" i="9"/>
  <c r="G1465" i="9" s="1"/>
  <c r="H1465" i="9" s="1"/>
  <c r="J1465" i="9" s="1"/>
  <c r="I1465" i="9" l="1"/>
  <c r="B1466" i="9" s="1"/>
  <c r="K1465" i="9" l="1"/>
  <c r="O1465" i="9" s="1"/>
  <c r="C1466" i="9"/>
  <c r="L1465" i="9" l="1"/>
  <c r="M1465" i="9" s="1"/>
  <c r="N1465" i="9" s="1"/>
  <c r="D1466" i="9"/>
  <c r="G1466" i="9" s="1"/>
  <c r="H1466" i="9" s="1"/>
  <c r="J1466" i="9" s="1"/>
  <c r="I1466" i="9" l="1"/>
  <c r="B1467" i="9" s="1"/>
  <c r="K1466" i="9" l="1"/>
  <c r="O1466" i="9" s="1"/>
  <c r="C1467" i="9"/>
  <c r="L1466" i="9" l="1"/>
  <c r="M1466" i="9" s="1"/>
  <c r="N1466" i="9" s="1"/>
  <c r="D1467" i="9"/>
  <c r="G1467" i="9" s="1"/>
  <c r="H1467" i="9" s="1"/>
  <c r="J1467" i="9" s="1"/>
  <c r="I1467" i="9" l="1"/>
  <c r="B1468" i="9" s="1"/>
  <c r="K1467" i="9" l="1"/>
  <c r="O1467" i="9" s="1"/>
  <c r="C1468" i="9"/>
  <c r="L1467" i="9" l="1"/>
  <c r="M1467" i="9" s="1"/>
  <c r="N1467" i="9" s="1"/>
  <c r="D1468" i="9"/>
  <c r="G1468" i="9" s="1"/>
  <c r="H1468" i="9" s="1"/>
  <c r="J1468" i="9" s="1"/>
  <c r="I1468" i="9" l="1"/>
  <c r="B1469" i="9" s="1"/>
  <c r="K1468" i="9" l="1"/>
  <c r="O1468" i="9" s="1"/>
  <c r="C1469" i="9"/>
  <c r="L1468" i="9" l="1"/>
  <c r="M1468" i="9" s="1"/>
  <c r="N1468" i="9" s="1"/>
  <c r="D1469" i="9"/>
  <c r="G1469" i="9" s="1"/>
  <c r="H1469" i="9" s="1"/>
  <c r="J1469" i="9" s="1"/>
  <c r="I1469" i="9" l="1"/>
  <c r="K1469" i="9" s="1"/>
  <c r="O1469" i="9" s="1"/>
  <c r="B1470" i="9" l="1"/>
  <c r="C1470" i="9" s="1"/>
  <c r="L1469" i="9"/>
  <c r="M1469" i="9" s="1"/>
  <c r="N1469" i="9" s="1"/>
  <c r="D1470" i="9" l="1"/>
  <c r="G1470" i="9" s="1"/>
  <c r="H1470" i="9" s="1"/>
  <c r="J1470" i="9" s="1"/>
  <c r="I1470" i="9" l="1"/>
  <c r="B1471" i="9" s="1"/>
  <c r="K1470" i="9" l="1"/>
  <c r="O1470" i="9" s="1"/>
  <c r="C1471" i="9"/>
  <c r="L1470" i="9" l="1"/>
  <c r="M1470" i="9" s="1"/>
  <c r="N1470" i="9" s="1"/>
  <c r="D1471" i="9"/>
  <c r="G1471" i="9" s="1"/>
  <c r="H1471" i="9" s="1"/>
  <c r="J1471" i="9" s="1"/>
  <c r="I1471" i="9" l="1"/>
  <c r="B1472" i="9" s="1"/>
  <c r="K1471" i="9" l="1"/>
  <c r="O1471" i="9" s="1"/>
  <c r="C1472" i="9"/>
  <c r="L1471" i="9" l="1"/>
  <c r="M1471" i="9" s="1"/>
  <c r="N1471" i="9" s="1"/>
  <c r="D1472" i="9"/>
  <c r="G1472" i="9" s="1"/>
  <c r="H1472" i="9" s="1"/>
  <c r="J1472" i="9" s="1"/>
  <c r="I1472" i="9" l="1"/>
  <c r="B1473" i="9" s="1"/>
  <c r="K1472" i="9" l="1"/>
  <c r="O1472" i="9" s="1"/>
  <c r="C1473" i="9"/>
  <c r="L1472" i="9" l="1"/>
  <c r="M1472" i="9" s="1"/>
  <c r="N1472" i="9" s="1"/>
  <c r="D1473" i="9"/>
  <c r="G1473" i="9" s="1"/>
  <c r="H1473" i="9" s="1"/>
  <c r="J1473" i="9" s="1"/>
  <c r="I1473" i="9" l="1"/>
  <c r="B1474" i="9" s="1"/>
  <c r="K1473" i="9" l="1"/>
  <c r="O1473" i="9" s="1"/>
  <c r="C1474" i="9"/>
  <c r="L1473" i="9" l="1"/>
  <c r="M1473" i="9" s="1"/>
  <c r="N1473" i="9" s="1"/>
  <c r="D1474" i="9"/>
  <c r="G1474" i="9" s="1"/>
  <c r="H1474" i="9" s="1"/>
  <c r="J1474" i="9" s="1"/>
  <c r="I1474" i="9" l="1"/>
  <c r="B1475" i="9" s="1"/>
  <c r="K1474" i="9" l="1"/>
  <c r="O1474" i="9" s="1"/>
  <c r="C1475" i="9"/>
  <c r="L1474" i="9" l="1"/>
  <c r="M1474" i="9" s="1"/>
  <c r="N1474" i="9" s="1"/>
  <c r="D1475" i="9"/>
  <c r="G1475" i="9" s="1"/>
  <c r="H1475" i="9" s="1"/>
  <c r="J1475" i="9" s="1"/>
  <c r="I1475" i="9" l="1"/>
  <c r="B1476" i="9" s="1"/>
  <c r="K1475" i="9" l="1"/>
  <c r="O1475" i="9" s="1"/>
  <c r="C1476" i="9"/>
  <c r="L1475" i="9" l="1"/>
  <c r="M1475" i="9" s="1"/>
  <c r="N1475" i="9" s="1"/>
  <c r="D1476" i="9"/>
  <c r="G1476" i="9" s="1"/>
  <c r="H1476" i="9" s="1"/>
  <c r="J1476" i="9" s="1"/>
  <c r="I1476" i="9" l="1"/>
  <c r="B1477" i="9" s="1"/>
  <c r="K1476" i="9" l="1"/>
  <c r="O1476" i="9" s="1"/>
  <c r="C1477" i="9"/>
  <c r="L1476" i="9" l="1"/>
  <c r="M1476" i="9" s="1"/>
  <c r="N1476" i="9" s="1"/>
  <c r="D1477" i="9"/>
  <c r="G1477" i="9" s="1"/>
  <c r="H1477" i="9" s="1"/>
  <c r="J1477" i="9" s="1"/>
  <c r="I1477" i="9" l="1"/>
  <c r="K1477" i="9" s="1"/>
  <c r="O1477" i="9" s="1"/>
  <c r="B1478" i="9" l="1"/>
  <c r="C1478" i="9" s="1"/>
  <c r="L1477" i="9"/>
  <c r="M1477" i="9" s="1"/>
  <c r="N1477" i="9" s="1"/>
  <c r="D1478" i="9" l="1"/>
  <c r="G1478" i="9" s="1"/>
  <c r="H1478" i="9" s="1"/>
  <c r="J1478" i="9" s="1"/>
  <c r="I1478" i="9" l="1"/>
  <c r="B1479" i="9" s="1"/>
  <c r="K1478" i="9" l="1"/>
  <c r="O1478" i="9" s="1"/>
  <c r="C1479" i="9"/>
  <c r="L1478" i="9" l="1"/>
  <c r="M1478" i="9" s="1"/>
  <c r="N1478" i="9" s="1"/>
  <c r="D1479" i="9"/>
  <c r="G1479" i="9" s="1"/>
  <c r="H1479" i="9" s="1"/>
  <c r="J1479" i="9" s="1"/>
  <c r="I1479" i="9" l="1"/>
  <c r="K1479" i="9" s="1"/>
  <c r="O1479" i="9" s="1"/>
  <c r="B1480" i="9" l="1"/>
  <c r="C1480" i="9" s="1"/>
  <c r="L1479" i="9"/>
  <c r="M1479" i="9" s="1"/>
  <c r="N1479" i="9" s="1"/>
  <c r="D1480" i="9" l="1"/>
  <c r="G1480" i="9" s="1"/>
  <c r="H1480" i="9" s="1"/>
  <c r="J1480" i="9" s="1"/>
  <c r="I1480" i="9" l="1"/>
  <c r="B1481" i="9" s="1"/>
  <c r="K1480" i="9" l="1"/>
  <c r="O1480" i="9" s="1"/>
  <c r="C1481" i="9"/>
  <c r="L1480" i="9" l="1"/>
  <c r="M1480" i="9" s="1"/>
  <c r="N1480" i="9" s="1"/>
  <c r="D1481" i="9"/>
  <c r="G1481" i="9" s="1"/>
  <c r="H1481" i="9" s="1"/>
  <c r="J1481" i="9" s="1"/>
  <c r="I1481" i="9" l="1"/>
  <c r="K1481" i="9" s="1"/>
  <c r="O1481" i="9" s="1"/>
  <c r="B1482" i="9" l="1"/>
  <c r="C1482" i="9" s="1"/>
  <c r="L1481" i="9"/>
  <c r="M1481" i="9" s="1"/>
  <c r="N1481" i="9" s="1"/>
  <c r="D1482" i="9" l="1"/>
  <c r="G1482" i="9" s="1"/>
  <c r="H1482" i="9" s="1"/>
  <c r="J1482" i="9" s="1"/>
  <c r="I1482" i="9" l="1"/>
  <c r="B1483" i="9" s="1"/>
  <c r="K1482" i="9" l="1"/>
  <c r="O1482" i="9" s="1"/>
  <c r="C1483" i="9"/>
  <c r="L1482" i="9" l="1"/>
  <c r="M1482" i="9" s="1"/>
  <c r="N1482" i="9" s="1"/>
  <c r="D1483" i="9"/>
  <c r="G1483" i="9" s="1"/>
  <c r="H1483" i="9" s="1"/>
  <c r="J1483" i="9" s="1"/>
  <c r="I1483" i="9" l="1"/>
  <c r="B1484" i="9" s="1"/>
  <c r="K1483" i="9" l="1"/>
  <c r="O1483" i="9" s="1"/>
  <c r="C1484" i="9"/>
  <c r="L1483" i="9" l="1"/>
  <c r="M1483" i="9" s="1"/>
  <c r="N1483" i="9" s="1"/>
  <c r="D1484" i="9"/>
  <c r="G1484" i="9" s="1"/>
  <c r="H1484" i="9" s="1"/>
  <c r="J1484" i="9" s="1"/>
  <c r="I1484" i="9" l="1"/>
  <c r="B1485" i="9" s="1"/>
  <c r="K1484" i="9" l="1"/>
  <c r="O1484" i="9" s="1"/>
  <c r="C1485" i="9"/>
  <c r="L1484" i="9" l="1"/>
  <c r="M1484" i="9" s="1"/>
  <c r="N1484" i="9" s="1"/>
  <c r="D1485" i="9"/>
  <c r="G1485" i="9" s="1"/>
  <c r="H1485" i="9" s="1"/>
  <c r="J1485" i="9" s="1"/>
  <c r="I1485" i="9" l="1"/>
  <c r="B1486" i="9" s="1"/>
  <c r="K1485" i="9" l="1"/>
  <c r="O1485" i="9" s="1"/>
  <c r="C1486" i="9"/>
  <c r="L1485" i="9" l="1"/>
  <c r="M1485" i="9" s="1"/>
  <c r="N1485" i="9" s="1"/>
  <c r="D1486" i="9"/>
  <c r="G1486" i="9" s="1"/>
  <c r="H1486" i="9" s="1"/>
  <c r="J1486" i="9" s="1"/>
  <c r="I1486" i="9" l="1"/>
  <c r="B1487" i="9" s="1"/>
  <c r="K1486" i="9" l="1"/>
  <c r="O1486" i="9" s="1"/>
  <c r="C1487" i="9"/>
  <c r="L1486" i="9" l="1"/>
  <c r="M1486" i="9" s="1"/>
  <c r="N1486" i="9" s="1"/>
  <c r="D1487" i="9"/>
  <c r="G1487" i="9" s="1"/>
  <c r="H1487" i="9" s="1"/>
  <c r="I1487" i="9" s="1"/>
  <c r="B1488" i="9" l="1"/>
  <c r="K1487" i="9"/>
  <c r="O1487" i="9" s="1"/>
  <c r="J1487" i="9"/>
  <c r="L1487" i="9" l="1"/>
  <c r="M1487" i="9" s="1"/>
  <c r="N1487" i="9" s="1"/>
  <c r="C1488" i="9"/>
  <c r="D1488" i="9" l="1"/>
  <c r="G1488" i="9" s="1"/>
  <c r="H1488" i="9" s="1"/>
  <c r="J1488" i="9" s="1"/>
  <c r="I1488" i="9" l="1"/>
  <c r="K1488" i="9" s="1"/>
  <c r="O1488" i="9" s="1"/>
  <c r="B1489" i="9" l="1"/>
  <c r="C1489" i="9" s="1"/>
  <c r="L1488" i="9"/>
  <c r="M1488" i="9" s="1"/>
  <c r="N1488" i="9" s="1"/>
  <c r="D1489" i="9" l="1"/>
  <c r="G1489" i="9" s="1"/>
  <c r="H1489" i="9" s="1"/>
  <c r="J1489" i="9" s="1"/>
  <c r="I1489" i="9" l="1"/>
  <c r="B1490" i="9" s="1"/>
  <c r="K1489" i="9" l="1"/>
  <c r="O1489" i="9" s="1"/>
  <c r="C1490" i="9"/>
  <c r="L1489" i="9" l="1"/>
  <c r="M1489" i="9" s="1"/>
  <c r="N1489" i="9" s="1"/>
  <c r="D1490" i="9"/>
  <c r="G1490" i="9" s="1"/>
  <c r="H1490" i="9" s="1"/>
  <c r="J1490" i="9" s="1"/>
  <c r="I1490" i="9" l="1"/>
  <c r="B1491" i="9" s="1"/>
  <c r="K1490" i="9" l="1"/>
  <c r="O1490" i="9" s="1"/>
  <c r="C1491" i="9"/>
  <c r="L1490" i="9" l="1"/>
  <c r="M1490" i="9" s="1"/>
  <c r="N1490" i="9" s="1"/>
  <c r="D1491" i="9"/>
  <c r="G1491" i="9" s="1"/>
  <c r="H1491" i="9" s="1"/>
  <c r="J1491" i="9" s="1"/>
  <c r="I1491" i="9" l="1"/>
  <c r="B1492" i="9" s="1"/>
  <c r="K1491" i="9" l="1"/>
  <c r="O1491" i="9" s="1"/>
  <c r="C1492" i="9"/>
  <c r="L1491" i="9" l="1"/>
  <c r="M1491" i="9" s="1"/>
  <c r="N1491" i="9" s="1"/>
  <c r="D1492" i="9"/>
  <c r="G1492" i="9" s="1"/>
  <c r="H1492" i="9" s="1"/>
  <c r="J1492" i="9" s="1"/>
  <c r="I1492" i="9" l="1"/>
  <c r="B1493" i="9" s="1"/>
  <c r="K1492" i="9" l="1"/>
  <c r="O1492" i="9" s="1"/>
  <c r="C1493" i="9"/>
  <c r="L1492" i="9" l="1"/>
  <c r="M1492" i="9" s="1"/>
  <c r="N1492" i="9" s="1"/>
  <c r="D1493" i="9"/>
  <c r="G1493" i="9" s="1"/>
  <c r="H1493" i="9" s="1"/>
  <c r="J1493" i="9" s="1"/>
  <c r="I1493" i="9" l="1"/>
  <c r="B1494" i="9" s="1"/>
  <c r="K1493" i="9" l="1"/>
  <c r="O1493" i="9" s="1"/>
  <c r="C1494" i="9"/>
  <c r="L1493" i="9" l="1"/>
  <c r="M1493" i="9" s="1"/>
  <c r="N1493" i="9" s="1"/>
  <c r="D1494" i="9"/>
  <c r="G1494" i="9" s="1"/>
  <c r="H1494" i="9" s="1"/>
  <c r="J1494" i="9" s="1"/>
  <c r="I1494" i="9" l="1"/>
  <c r="B1495" i="9" s="1"/>
  <c r="K1494" i="9" l="1"/>
  <c r="O1494" i="9" s="1"/>
  <c r="C1495" i="9"/>
  <c r="L1494" i="9" l="1"/>
  <c r="M1494" i="9" s="1"/>
  <c r="N1494" i="9" s="1"/>
  <c r="D1495" i="9"/>
  <c r="G1495" i="9" s="1"/>
  <c r="H1495" i="9" s="1"/>
  <c r="J1495" i="9" s="1"/>
  <c r="I1495" i="9" l="1"/>
  <c r="K1495" i="9" s="1"/>
  <c r="O1495" i="9" s="1"/>
  <c r="B1496" i="9" l="1"/>
  <c r="C1496" i="9" s="1"/>
  <c r="L1495" i="9"/>
  <c r="M1495" i="9" s="1"/>
  <c r="N1495" i="9" s="1"/>
  <c r="D1496" i="9" l="1"/>
  <c r="G1496" i="9" s="1"/>
  <c r="H1496" i="9" s="1"/>
  <c r="I1496" i="9" s="1"/>
  <c r="B1497" i="9" l="1"/>
  <c r="K1496" i="9"/>
  <c r="O1496" i="9" s="1"/>
  <c r="J1496" i="9"/>
  <c r="L1496" i="9" l="1"/>
  <c r="M1496" i="9" s="1"/>
  <c r="N1496" i="9" s="1"/>
  <c r="C1497" i="9"/>
  <c r="D1497" i="9" l="1"/>
  <c r="G1497" i="9" s="1"/>
  <c r="H1497" i="9" s="1"/>
  <c r="J1497" i="9" s="1"/>
  <c r="I1497" i="9" l="1"/>
  <c r="B1498" i="9" s="1"/>
  <c r="K1497" i="9" l="1"/>
  <c r="O1497" i="9" s="1"/>
  <c r="C1498" i="9"/>
  <c r="L1497" i="9" l="1"/>
  <c r="M1497" i="9" s="1"/>
  <c r="N1497" i="9" s="1"/>
  <c r="D1498" i="9"/>
  <c r="G1498" i="9" s="1"/>
  <c r="H1498" i="9" s="1"/>
  <c r="J1498" i="9" s="1"/>
  <c r="I1498" i="9" l="1"/>
  <c r="B1499" i="9" s="1"/>
  <c r="K1498" i="9" l="1"/>
  <c r="O1498" i="9" s="1"/>
  <c r="C1499" i="9"/>
  <c r="L1498" i="9" l="1"/>
  <c r="M1498" i="9" s="1"/>
  <c r="N1498" i="9" s="1"/>
  <c r="D1499" i="9"/>
  <c r="G1499" i="9" s="1"/>
  <c r="H1499" i="9" s="1"/>
  <c r="I1499" i="9" s="1"/>
  <c r="B1500" i="9" l="1"/>
  <c r="K1499" i="9"/>
  <c r="O1499" i="9" s="1"/>
  <c r="J1499" i="9"/>
  <c r="L1499" i="9" l="1"/>
  <c r="M1499" i="9" s="1"/>
  <c r="N1499" i="9" s="1"/>
  <c r="C1500" i="9"/>
  <c r="D1500" i="9" l="1"/>
  <c r="G1500" i="9" s="1"/>
  <c r="H1500" i="9" s="1"/>
  <c r="J1500" i="9" s="1"/>
  <c r="I1500" i="9" l="1"/>
  <c r="B1501" i="9" s="1"/>
  <c r="K1500" i="9" l="1"/>
  <c r="O1500" i="9" s="1"/>
  <c r="C1501" i="9"/>
  <c r="L1500" i="9" l="1"/>
  <c r="M1500" i="9" s="1"/>
  <c r="N1500" i="9" s="1"/>
  <c r="D1501" i="9"/>
  <c r="G1501" i="9" s="1"/>
  <c r="H1501" i="9" s="1"/>
  <c r="J1501" i="9" s="1"/>
  <c r="I1501" i="9" l="1"/>
  <c r="B1502" i="9" s="1"/>
  <c r="K1501" i="9" l="1"/>
  <c r="O1501" i="9" s="1"/>
  <c r="C1502" i="9"/>
  <c r="L1501" i="9" l="1"/>
  <c r="M1501" i="9" s="1"/>
  <c r="N1501" i="9" s="1"/>
  <c r="D1502" i="9"/>
  <c r="G1502" i="9" s="1"/>
  <c r="H1502" i="9" s="1"/>
  <c r="J1502" i="9" s="1"/>
  <c r="I1502" i="9" l="1"/>
  <c r="K1502" i="9" s="1"/>
  <c r="O1502" i="9" s="1"/>
  <c r="B1503" i="9" l="1"/>
  <c r="C1503" i="9" s="1"/>
  <c r="L1502" i="9"/>
  <c r="M1502" i="9" s="1"/>
  <c r="N1502" i="9" s="1"/>
  <c r="D1503" i="9" l="1"/>
  <c r="G1503" i="9" s="1"/>
  <c r="H1503" i="9" s="1"/>
  <c r="J1503" i="9" s="1"/>
  <c r="I1503" i="9" l="1"/>
  <c r="B1504" i="9" s="1"/>
  <c r="K1503" i="9" l="1"/>
  <c r="O1503" i="9" s="1"/>
  <c r="C1504" i="9"/>
  <c r="L1503" i="9" l="1"/>
  <c r="M1503" i="9" s="1"/>
  <c r="N1503" i="9" s="1"/>
  <c r="D1504" i="9"/>
  <c r="G1504" i="9" s="1"/>
  <c r="H1504" i="9" s="1"/>
  <c r="J1504" i="9" s="1"/>
  <c r="I1504" i="9" l="1"/>
  <c r="K1504" i="9" s="1"/>
  <c r="O1504" i="9" s="1"/>
  <c r="B1505" i="9" l="1"/>
  <c r="C1505" i="9" s="1"/>
  <c r="L1504" i="9"/>
  <c r="M1504" i="9" s="1"/>
  <c r="N1504" i="9" s="1"/>
  <c r="D1505" i="9" l="1"/>
  <c r="G1505" i="9" s="1"/>
  <c r="H1505" i="9" s="1"/>
  <c r="J1505" i="9" s="1"/>
  <c r="I1505" i="9" l="1"/>
  <c r="B1506" i="9" s="1"/>
  <c r="K1505" i="9" l="1"/>
  <c r="O1505" i="9" s="1"/>
  <c r="C1506" i="9"/>
  <c r="L1505" i="9" l="1"/>
  <c r="M1505" i="9" s="1"/>
  <c r="N1505" i="9" s="1"/>
  <c r="D1506" i="9"/>
  <c r="G1506" i="9" s="1"/>
  <c r="H1506" i="9" s="1"/>
  <c r="J1506" i="9" s="1"/>
  <c r="I1506" i="9" l="1"/>
  <c r="B1507" i="9" s="1"/>
  <c r="K1506" i="9" l="1"/>
  <c r="O1506" i="9" s="1"/>
  <c r="C1507" i="9"/>
  <c r="L1506" i="9" l="1"/>
  <c r="M1506" i="9" s="1"/>
  <c r="N1506" i="9" s="1"/>
  <c r="D1507" i="9"/>
  <c r="G1507" i="9" s="1"/>
  <c r="H1507" i="9" s="1"/>
  <c r="J1507" i="9" s="1"/>
  <c r="I1507" i="9" l="1"/>
  <c r="B1508" i="9" s="1"/>
  <c r="K1507" i="9" l="1"/>
  <c r="O1507" i="9" s="1"/>
  <c r="C1508" i="9"/>
  <c r="L1507" i="9" l="1"/>
  <c r="M1507" i="9" s="1"/>
  <c r="N1507" i="9" s="1"/>
  <c r="D1508" i="9"/>
  <c r="G1508" i="9" s="1"/>
  <c r="H1508" i="9" s="1"/>
  <c r="J1508" i="9" s="1"/>
  <c r="I1508" i="9" l="1"/>
  <c r="B1509" i="9" s="1"/>
  <c r="K1508" i="9" l="1"/>
  <c r="O1508" i="9" s="1"/>
  <c r="C1509" i="9"/>
  <c r="L1508" i="9" l="1"/>
  <c r="M1508" i="9" s="1"/>
  <c r="N1508" i="9" s="1"/>
  <c r="D1509" i="9"/>
  <c r="G1509" i="9" s="1"/>
  <c r="H1509" i="9" s="1"/>
  <c r="J1509" i="9" s="1"/>
  <c r="I1509" i="9" l="1"/>
  <c r="K1509" i="9" s="1"/>
  <c r="O1509" i="9" s="1"/>
  <c r="B1510" i="9" l="1"/>
  <c r="C1510" i="9" s="1"/>
  <c r="L1509" i="9"/>
  <c r="M1509" i="9" s="1"/>
  <c r="N1509" i="9" s="1"/>
  <c r="D1510" i="9" l="1"/>
  <c r="G1510" i="9" s="1"/>
  <c r="H1510" i="9" s="1"/>
  <c r="J1510" i="9" s="1"/>
  <c r="I1510" i="9" l="1"/>
  <c r="B1511" i="9" s="1"/>
  <c r="K1510" i="9" l="1"/>
  <c r="O1510" i="9" s="1"/>
  <c r="C1511" i="9"/>
  <c r="L1510" i="9" l="1"/>
  <c r="M1510" i="9" s="1"/>
  <c r="N1510" i="9" s="1"/>
  <c r="D1511" i="9"/>
  <c r="G1511" i="9" s="1"/>
  <c r="H1511" i="9" s="1"/>
  <c r="J1511" i="9" s="1"/>
  <c r="I1511" i="9" l="1"/>
  <c r="B1512" i="9" s="1"/>
  <c r="K1511" i="9" l="1"/>
  <c r="O1511" i="9" s="1"/>
  <c r="C1512" i="9"/>
  <c r="L1511" i="9" l="1"/>
  <c r="M1511" i="9" s="1"/>
  <c r="N1511" i="9" s="1"/>
  <c r="D1512" i="9"/>
  <c r="G1512" i="9" s="1"/>
  <c r="H1512" i="9" s="1"/>
  <c r="J1512" i="9" s="1"/>
  <c r="I1512" i="9" l="1"/>
  <c r="K1512" i="9" s="1"/>
  <c r="O1512" i="9" s="1"/>
  <c r="B1513" i="9" l="1"/>
  <c r="C1513" i="9" s="1"/>
  <c r="L1512" i="9"/>
  <c r="M1512" i="9" s="1"/>
  <c r="N1512" i="9" s="1"/>
  <c r="D1513" i="9" l="1"/>
  <c r="G1513" i="9" s="1"/>
  <c r="H1513" i="9" s="1"/>
  <c r="J1513" i="9" s="1"/>
  <c r="I1513" i="9" l="1"/>
  <c r="K1513" i="9" s="1"/>
  <c r="O1513" i="9" s="1"/>
  <c r="B1514" i="9" l="1"/>
  <c r="C1514" i="9" s="1"/>
  <c r="L1513" i="9"/>
  <c r="M1513" i="9" s="1"/>
  <c r="N1513" i="9" s="1"/>
  <c r="D1514" i="9" l="1"/>
  <c r="G1514" i="9" s="1"/>
  <c r="H1514" i="9" s="1"/>
  <c r="J1514" i="9" s="1"/>
  <c r="I1514" i="9" l="1"/>
  <c r="K1514" i="9" s="1"/>
  <c r="O1514" i="9" s="1"/>
  <c r="B1515" i="9" l="1"/>
  <c r="C1515" i="9" s="1"/>
  <c r="L1514" i="9"/>
  <c r="M1514" i="9" s="1"/>
  <c r="N1514" i="9" s="1"/>
  <c r="D1515" i="9" l="1"/>
  <c r="G1515" i="9" s="1"/>
  <c r="H1515" i="9" s="1"/>
  <c r="I1515" i="9" s="1"/>
  <c r="B1516" i="9" l="1"/>
  <c r="K1515" i="9"/>
  <c r="O1515" i="9" s="1"/>
  <c r="J1515" i="9"/>
  <c r="L1515" i="9" l="1"/>
  <c r="M1515" i="9" s="1"/>
  <c r="N1515" i="9" s="1"/>
  <c r="C1516" i="9"/>
  <c r="D1516" i="9" l="1"/>
  <c r="G1516" i="9" s="1"/>
  <c r="H1516" i="9" s="1"/>
  <c r="J1516" i="9" s="1"/>
  <c r="I1516" i="9" l="1"/>
  <c r="B1517" i="9" s="1"/>
  <c r="K1516" i="9" l="1"/>
  <c r="O1516" i="9" s="1"/>
  <c r="C1517" i="9"/>
  <c r="L1516" i="9" l="1"/>
  <c r="M1516" i="9" s="1"/>
  <c r="N1516" i="9" s="1"/>
  <c r="D1517" i="9"/>
  <c r="G1517" i="9" s="1"/>
  <c r="H1517" i="9" s="1"/>
  <c r="I1517" i="9" s="1"/>
  <c r="B1518" i="9" l="1"/>
  <c r="K1517" i="9"/>
  <c r="O1517" i="9" s="1"/>
  <c r="J1517" i="9"/>
  <c r="L1517" i="9" l="1"/>
  <c r="M1517" i="9" s="1"/>
  <c r="N1517" i="9" s="1"/>
  <c r="C1518" i="9"/>
  <c r="D1518" i="9" l="1"/>
  <c r="G1518" i="9" s="1"/>
  <c r="H1518" i="9" s="1"/>
  <c r="J1518" i="9" s="1"/>
  <c r="I1518" i="9" l="1"/>
  <c r="B1519" i="9" s="1"/>
  <c r="K1518" i="9" l="1"/>
  <c r="O1518" i="9" s="1"/>
  <c r="C1519" i="9"/>
  <c r="L1518" i="9" l="1"/>
  <c r="M1518" i="9" s="1"/>
  <c r="N1518" i="9" s="1"/>
  <c r="D1519" i="9"/>
  <c r="G1519" i="9" s="1"/>
  <c r="H1519" i="9" s="1"/>
  <c r="J1519" i="9" s="1"/>
  <c r="I1519" i="9" l="1"/>
  <c r="K1519" i="9" s="1"/>
  <c r="O1519" i="9" s="1"/>
  <c r="B1520" i="9" l="1"/>
  <c r="C1520" i="9" s="1"/>
  <c r="L1519" i="9"/>
  <c r="M1519" i="9" s="1"/>
  <c r="N1519" i="9" s="1"/>
  <c r="D1520" i="9" l="1"/>
  <c r="G1520" i="9" s="1"/>
  <c r="H1520" i="9" s="1"/>
  <c r="J1520" i="9" s="1"/>
  <c r="I1520" i="9" l="1"/>
  <c r="B1521" i="9" s="1"/>
  <c r="K1520" i="9" l="1"/>
  <c r="O1520" i="9" s="1"/>
  <c r="C1521" i="9"/>
  <c r="L1520" i="9" l="1"/>
  <c r="M1520" i="9" s="1"/>
  <c r="N1520" i="9" s="1"/>
  <c r="D1521" i="9"/>
  <c r="G1521" i="9" s="1"/>
  <c r="H1521" i="9" s="1"/>
  <c r="J1521" i="9" s="1"/>
  <c r="I1521" i="9" l="1"/>
  <c r="K1521" i="9" s="1"/>
  <c r="O1521" i="9" s="1"/>
  <c r="B1522" i="9" l="1"/>
  <c r="C1522" i="9" s="1"/>
  <c r="L1521" i="9"/>
  <c r="M1521" i="9" s="1"/>
  <c r="N1521" i="9" s="1"/>
  <c r="D1522" i="9" l="1"/>
  <c r="G1522" i="9" s="1"/>
  <c r="H1522" i="9" s="1"/>
  <c r="J1522" i="9" s="1"/>
  <c r="I1522" i="9" l="1"/>
  <c r="B1523" i="9" s="1"/>
  <c r="K1522" i="9" l="1"/>
  <c r="O1522" i="9" s="1"/>
  <c r="C1523" i="9"/>
  <c r="L1522" i="9" l="1"/>
  <c r="M1522" i="9" s="1"/>
  <c r="N1522" i="9" s="1"/>
  <c r="D1523" i="9"/>
  <c r="G1523" i="9" s="1"/>
  <c r="H1523" i="9" s="1"/>
  <c r="J1523" i="9" s="1"/>
  <c r="I1523" i="9" l="1"/>
  <c r="B1524" i="9" s="1"/>
  <c r="K1523" i="9" l="1"/>
  <c r="O1523" i="9" s="1"/>
  <c r="C1524" i="9"/>
  <c r="L1523" i="9" l="1"/>
  <c r="M1523" i="9" s="1"/>
  <c r="N1523" i="9" s="1"/>
  <c r="D1524" i="9"/>
  <c r="G1524" i="9" s="1"/>
  <c r="H1524" i="9" s="1"/>
  <c r="I1524" i="9" s="1"/>
  <c r="B1525" i="9" l="1"/>
  <c r="K1524" i="9"/>
  <c r="O1524" i="9" s="1"/>
  <c r="J1524" i="9"/>
  <c r="L1524" i="9" l="1"/>
  <c r="M1524" i="9" s="1"/>
  <c r="N1524" i="9" s="1"/>
  <c r="C1525" i="9"/>
  <c r="D1525" i="9" l="1"/>
  <c r="G1525" i="9" s="1"/>
  <c r="H1525" i="9" s="1"/>
  <c r="J1525" i="9" s="1"/>
  <c r="I1525" i="9" l="1"/>
  <c r="B1526" i="9" s="1"/>
  <c r="K1525" i="9" l="1"/>
  <c r="O1525" i="9" s="1"/>
  <c r="C1526" i="9"/>
  <c r="L1525" i="9" l="1"/>
  <c r="M1525" i="9" s="1"/>
  <c r="N1525" i="9" s="1"/>
  <c r="D1526" i="9"/>
  <c r="G1526" i="9" s="1"/>
  <c r="H1526" i="9" s="1"/>
  <c r="I1526" i="9" s="1"/>
  <c r="B1527" i="9" l="1"/>
  <c r="K1526" i="9"/>
  <c r="O1526" i="9" s="1"/>
  <c r="J1526" i="9"/>
  <c r="L1526" i="9" l="1"/>
  <c r="M1526" i="9" s="1"/>
  <c r="N1526" i="9" s="1"/>
  <c r="C1527" i="9"/>
  <c r="D1527" i="9" l="1"/>
  <c r="G1527" i="9" s="1"/>
  <c r="H1527" i="9" s="1"/>
  <c r="J1527" i="9" s="1"/>
  <c r="I1527" i="9" l="1"/>
  <c r="K1527" i="9" s="1"/>
  <c r="O1527" i="9" s="1"/>
  <c r="B1528" i="9" l="1"/>
  <c r="C1528" i="9" s="1"/>
  <c r="L1527" i="9"/>
  <c r="M1527" i="9" s="1"/>
  <c r="N1527" i="9" s="1"/>
  <c r="D1528" i="9" l="1"/>
  <c r="G1528" i="9" s="1"/>
  <c r="H1528" i="9" s="1"/>
  <c r="J1528" i="9" s="1"/>
  <c r="I1528" i="9" l="1"/>
  <c r="B1529" i="9" s="1"/>
  <c r="K1528" i="9" l="1"/>
  <c r="O1528" i="9" s="1"/>
  <c r="C1529" i="9"/>
  <c r="L1528" i="9" l="1"/>
  <c r="M1528" i="9" s="1"/>
  <c r="N1528" i="9" s="1"/>
  <c r="D1529" i="9"/>
  <c r="G1529" i="9" s="1"/>
  <c r="H1529" i="9" s="1"/>
  <c r="J1529" i="9" s="1"/>
  <c r="I1529" i="9" l="1"/>
  <c r="K1529" i="9" s="1"/>
  <c r="O1529" i="9" s="1"/>
  <c r="B1530" i="9" l="1"/>
  <c r="C1530" i="9" s="1"/>
  <c r="L1529" i="9"/>
  <c r="M1529" i="9" s="1"/>
  <c r="N1529" i="9" s="1"/>
  <c r="D1530" i="9" l="1"/>
  <c r="G1530" i="9" s="1"/>
  <c r="H1530" i="9" s="1"/>
  <c r="J1530" i="9" s="1"/>
  <c r="I1530" i="9" l="1"/>
  <c r="B1531" i="9" s="1"/>
  <c r="K1530" i="9" l="1"/>
  <c r="O1530" i="9" s="1"/>
  <c r="C1531" i="9"/>
  <c r="L1530" i="9" l="1"/>
  <c r="M1530" i="9" s="1"/>
  <c r="N1530" i="9" s="1"/>
  <c r="D1531" i="9"/>
  <c r="G1531" i="9" s="1"/>
  <c r="H1531" i="9" s="1"/>
  <c r="I1531" i="9" s="1"/>
  <c r="B1532" i="9" l="1"/>
  <c r="K1531" i="9"/>
  <c r="O1531" i="9" s="1"/>
  <c r="J1531" i="9"/>
  <c r="L1531" i="9" l="1"/>
  <c r="M1531" i="9" s="1"/>
  <c r="N1531" i="9" s="1"/>
  <c r="C1532" i="9"/>
  <c r="D1532" i="9" l="1"/>
  <c r="G1532" i="9" s="1"/>
  <c r="H1532" i="9" s="1"/>
  <c r="J1532" i="9" s="1"/>
  <c r="I1532" i="9" l="1"/>
  <c r="B1533" i="9" s="1"/>
  <c r="K1532" i="9" l="1"/>
  <c r="O1532" i="9" s="1"/>
  <c r="C1533" i="9"/>
  <c r="L1532" i="9" l="1"/>
  <c r="M1532" i="9" s="1"/>
  <c r="N1532" i="9" s="1"/>
  <c r="D1533" i="9"/>
  <c r="G1533" i="9" s="1"/>
  <c r="H1533" i="9" s="1"/>
  <c r="J1533" i="9" s="1"/>
  <c r="I1533" i="9" l="1"/>
  <c r="B1534" i="9" s="1"/>
  <c r="K1533" i="9" l="1"/>
  <c r="O1533" i="9" s="1"/>
  <c r="C1534" i="9"/>
  <c r="L1533" i="9" l="1"/>
  <c r="M1533" i="9" s="1"/>
  <c r="N1533" i="9" s="1"/>
  <c r="D1534" i="9"/>
  <c r="G1534" i="9" s="1"/>
  <c r="H1534" i="9" s="1"/>
  <c r="J1534" i="9" s="1"/>
  <c r="I1534" i="9" l="1"/>
  <c r="B1535" i="9" s="1"/>
  <c r="K1534" i="9" l="1"/>
  <c r="O1534" i="9" s="1"/>
  <c r="C1535" i="9"/>
  <c r="L1534" i="9" l="1"/>
  <c r="M1534" i="9" s="1"/>
  <c r="N1534" i="9" s="1"/>
  <c r="D1535" i="9"/>
  <c r="G1535" i="9" s="1"/>
  <c r="H1535" i="9" s="1"/>
  <c r="I1535" i="9" s="1"/>
  <c r="B1536" i="9" l="1"/>
  <c r="K1535" i="9"/>
  <c r="O1535" i="9" s="1"/>
  <c r="J1535" i="9"/>
  <c r="L1535" i="9" l="1"/>
  <c r="M1535" i="9" s="1"/>
  <c r="N1535" i="9" s="1"/>
  <c r="C1536" i="9"/>
  <c r="D1536" i="9" l="1"/>
  <c r="G1536" i="9" s="1"/>
  <c r="H1536" i="9" s="1"/>
  <c r="J1536" i="9" s="1"/>
  <c r="I1536" i="9" l="1"/>
  <c r="K1536" i="9" s="1"/>
  <c r="O1536" i="9" s="1"/>
  <c r="B1537" i="9" l="1"/>
  <c r="C1537" i="9" s="1"/>
  <c r="L1536" i="9"/>
  <c r="M1536" i="9" s="1"/>
  <c r="N1536" i="9" s="1"/>
  <c r="D1537" i="9" l="1"/>
  <c r="G1537" i="9" s="1"/>
  <c r="H1537" i="9" s="1"/>
  <c r="I1537" i="9" s="1"/>
  <c r="B1538" i="9" l="1"/>
  <c r="K1537" i="9"/>
  <c r="O1537" i="9" s="1"/>
  <c r="J1537" i="9"/>
  <c r="L1537" i="9" l="1"/>
  <c r="M1537" i="9" s="1"/>
  <c r="N1537" i="9" s="1"/>
  <c r="C1538" i="9"/>
  <c r="D1538" i="9" l="1"/>
  <c r="G1538" i="9" s="1"/>
  <c r="H1538" i="9" s="1"/>
  <c r="J1538" i="9" s="1"/>
  <c r="I1538" i="9" l="1"/>
  <c r="K1538" i="9" s="1"/>
  <c r="O1538" i="9" s="1"/>
  <c r="B1539" i="9" l="1"/>
  <c r="C1539" i="9" s="1"/>
  <c r="L1538" i="9"/>
  <c r="M1538" i="9" s="1"/>
  <c r="N1538" i="9" s="1"/>
  <c r="D1539" i="9" l="1"/>
  <c r="G1539" i="9" s="1"/>
  <c r="H1539" i="9" s="1"/>
  <c r="J1539" i="9" s="1"/>
  <c r="I1539" i="9" l="1"/>
  <c r="K1539" i="9" s="1"/>
  <c r="O1539" i="9" s="1"/>
  <c r="B1540" i="9" l="1"/>
  <c r="C1540" i="9" s="1"/>
  <c r="L1539" i="9"/>
  <c r="M1539" i="9" s="1"/>
  <c r="N1539" i="9" s="1"/>
  <c r="D1540" i="9" l="1"/>
  <c r="G1540" i="9" s="1"/>
  <c r="H1540" i="9" s="1"/>
  <c r="J1540" i="9" s="1"/>
  <c r="I1540" i="9" l="1"/>
  <c r="B1541" i="9" s="1"/>
  <c r="K1540" i="9" l="1"/>
  <c r="O1540" i="9" s="1"/>
  <c r="C1541" i="9"/>
  <c r="L1540" i="9" l="1"/>
  <c r="M1540" i="9" s="1"/>
  <c r="N1540" i="9" s="1"/>
  <c r="D1541" i="9"/>
  <c r="G1541" i="9" s="1"/>
  <c r="H1541" i="9" s="1"/>
  <c r="J1541" i="9" s="1"/>
  <c r="I1541" i="9" l="1"/>
  <c r="K1541" i="9" s="1"/>
  <c r="O1541" i="9" s="1"/>
  <c r="B1542" i="9" l="1"/>
  <c r="C1542" i="9" s="1"/>
  <c r="L1541" i="9"/>
  <c r="M1541" i="9" s="1"/>
  <c r="N1541" i="9" s="1"/>
  <c r="D1542" i="9" l="1"/>
  <c r="G1542" i="9" s="1"/>
  <c r="H1542" i="9" s="1"/>
  <c r="J1542" i="9" s="1"/>
  <c r="I1542" i="9" l="1"/>
  <c r="K1542" i="9" s="1"/>
  <c r="O1542" i="9" s="1"/>
  <c r="B1543" i="9" l="1"/>
  <c r="C1543" i="9" s="1"/>
  <c r="L1542" i="9"/>
  <c r="M1542" i="9" s="1"/>
  <c r="N1542" i="9" s="1"/>
  <c r="D1543" i="9" l="1"/>
  <c r="G1543" i="9" s="1"/>
  <c r="H1543" i="9" s="1"/>
  <c r="J1543" i="9" s="1"/>
  <c r="I1543" i="9" l="1"/>
  <c r="B1544" i="9" s="1"/>
  <c r="K1543" i="9" l="1"/>
  <c r="O1543" i="9" s="1"/>
  <c r="C1544" i="9"/>
  <c r="L1543" i="9" l="1"/>
  <c r="M1543" i="9" s="1"/>
  <c r="N1543" i="9" s="1"/>
  <c r="D1544" i="9"/>
  <c r="G1544" i="9" s="1"/>
  <c r="H1544" i="9" s="1"/>
  <c r="J1544" i="9" s="1"/>
  <c r="I1544" i="9" l="1"/>
  <c r="K1544" i="9" s="1"/>
  <c r="O1544" i="9" s="1"/>
  <c r="B1545" i="9" l="1"/>
  <c r="C1545" i="9" s="1"/>
  <c r="L1544" i="9"/>
  <c r="M1544" i="9" s="1"/>
  <c r="N1544" i="9" s="1"/>
  <c r="D1545" i="9" l="1"/>
  <c r="G1545" i="9" s="1"/>
  <c r="H1545" i="9" s="1"/>
  <c r="I1545" i="9" s="1"/>
  <c r="B1546" i="9" l="1"/>
  <c r="K1545" i="9"/>
  <c r="O1545" i="9" s="1"/>
  <c r="J1545" i="9"/>
  <c r="L1545" i="9" l="1"/>
  <c r="M1545" i="9" s="1"/>
  <c r="N1545" i="9" s="1"/>
  <c r="C1546" i="9"/>
  <c r="D1546" i="9" l="1"/>
  <c r="G1546" i="9" s="1"/>
  <c r="H1546" i="9" s="1"/>
  <c r="J1546" i="9" s="1"/>
  <c r="I1546" i="9" l="1"/>
  <c r="K1546" i="9" s="1"/>
  <c r="O1546" i="9" s="1"/>
  <c r="B1547" i="9" l="1"/>
  <c r="C1547" i="9" s="1"/>
  <c r="L1546" i="9"/>
  <c r="M1546" i="9" s="1"/>
  <c r="N1546" i="9" s="1"/>
  <c r="D1547" i="9" l="1"/>
  <c r="G1547" i="9" s="1"/>
  <c r="H1547" i="9" s="1"/>
  <c r="J1547" i="9" s="1"/>
  <c r="I1547" i="9" l="1"/>
  <c r="K1547" i="9" s="1"/>
  <c r="O1547" i="9" s="1"/>
  <c r="B1548" i="9" l="1"/>
  <c r="C1548" i="9" s="1"/>
  <c r="L1547" i="9"/>
  <c r="M1547" i="9" s="1"/>
  <c r="N1547" i="9" s="1"/>
  <c r="D1548" i="9" l="1"/>
  <c r="G1548" i="9" s="1"/>
  <c r="H1548" i="9" s="1"/>
  <c r="J1548" i="9" s="1"/>
  <c r="I1548" i="9" l="1"/>
  <c r="B1549" i="9" s="1"/>
  <c r="K1548" i="9" l="1"/>
  <c r="O1548" i="9" s="1"/>
  <c r="C1549" i="9"/>
  <c r="L1548" i="9" l="1"/>
  <c r="M1548" i="9" s="1"/>
  <c r="N1548" i="9" s="1"/>
  <c r="D1549" i="9"/>
  <c r="G1549" i="9" s="1"/>
  <c r="H1549" i="9" s="1"/>
  <c r="J1549" i="9" s="1"/>
  <c r="I1549" i="9" l="1"/>
  <c r="B1550" i="9" s="1"/>
  <c r="K1549" i="9" l="1"/>
  <c r="O1549" i="9" s="1"/>
  <c r="C1550" i="9"/>
  <c r="L1549" i="9" l="1"/>
  <c r="M1549" i="9" s="1"/>
  <c r="N1549" i="9" s="1"/>
  <c r="D1550" i="9"/>
  <c r="G1550" i="9" s="1"/>
  <c r="H1550" i="9" s="1"/>
  <c r="I1550" i="9" s="1"/>
  <c r="B1551" i="9" l="1"/>
  <c r="K1550" i="9"/>
  <c r="O1550" i="9" s="1"/>
  <c r="J1550" i="9"/>
  <c r="L1550" i="9" l="1"/>
  <c r="M1550" i="9" s="1"/>
  <c r="N1550" i="9" s="1"/>
  <c r="C1551" i="9"/>
  <c r="D1551" i="9" l="1"/>
  <c r="G1551" i="9" s="1"/>
  <c r="H1551" i="9" s="1"/>
  <c r="J1551" i="9" s="1"/>
  <c r="I1551" i="9" l="1"/>
  <c r="B1552" i="9" s="1"/>
  <c r="K1551" i="9" l="1"/>
  <c r="O1551" i="9" s="1"/>
  <c r="C1552" i="9"/>
  <c r="L1551" i="9" l="1"/>
  <c r="M1551" i="9" s="1"/>
  <c r="N1551" i="9" s="1"/>
  <c r="D1552" i="9"/>
  <c r="G1552" i="9" s="1"/>
  <c r="H1552" i="9" s="1"/>
  <c r="J1552" i="9" s="1"/>
  <c r="I1552" i="9" l="1"/>
  <c r="B1553" i="9" s="1"/>
  <c r="K1552" i="9" l="1"/>
  <c r="O1552" i="9" s="1"/>
  <c r="C1553" i="9"/>
  <c r="L1552" i="9" l="1"/>
  <c r="M1552" i="9" s="1"/>
  <c r="N1552" i="9" s="1"/>
  <c r="D1553" i="9"/>
  <c r="G1553" i="9" s="1"/>
  <c r="H1553" i="9" s="1"/>
  <c r="J1553" i="9" s="1"/>
  <c r="I1553" i="9" l="1"/>
  <c r="K1553" i="9" s="1"/>
  <c r="O1553" i="9" s="1"/>
  <c r="B1554" i="9" l="1"/>
  <c r="C1554" i="9" s="1"/>
  <c r="L1553" i="9"/>
  <c r="M1553" i="9" s="1"/>
  <c r="N1553" i="9" s="1"/>
  <c r="D1554" i="9" l="1"/>
  <c r="G1554" i="9" s="1"/>
  <c r="H1554" i="9" s="1"/>
  <c r="J1554" i="9" s="1"/>
  <c r="I1554" i="9" l="1"/>
  <c r="B1555" i="9" s="1"/>
  <c r="K1554" i="9" l="1"/>
  <c r="O1554" i="9" s="1"/>
  <c r="C1555" i="9"/>
  <c r="L1554" i="9" l="1"/>
  <c r="M1554" i="9" s="1"/>
  <c r="N1554" i="9" s="1"/>
  <c r="D1555" i="9"/>
  <c r="G1555" i="9" s="1"/>
  <c r="H1555" i="9" s="1"/>
  <c r="J1555" i="9" s="1"/>
  <c r="I1555" i="9" l="1"/>
  <c r="K1555" i="9" s="1"/>
  <c r="O1555" i="9" s="1"/>
  <c r="B1556" i="9" l="1"/>
  <c r="C1556" i="9" s="1"/>
  <c r="L1555" i="9"/>
  <c r="M1555" i="9" s="1"/>
  <c r="N1555" i="9" s="1"/>
  <c r="D1556" i="9" l="1"/>
  <c r="G1556" i="9" s="1"/>
  <c r="H1556" i="9" s="1"/>
  <c r="J1556" i="9" s="1"/>
  <c r="I1556" i="9" l="1"/>
  <c r="B1557" i="9" s="1"/>
  <c r="K1556" i="9" l="1"/>
  <c r="O1556" i="9" s="1"/>
  <c r="C1557" i="9"/>
  <c r="L1556" i="9" l="1"/>
  <c r="M1556" i="9" s="1"/>
  <c r="N1556" i="9" s="1"/>
  <c r="D1557" i="9"/>
  <c r="G1557" i="9" s="1"/>
  <c r="H1557" i="9" s="1"/>
  <c r="J1557" i="9" s="1"/>
  <c r="I1557" i="9" l="1"/>
  <c r="K1557" i="9" s="1"/>
  <c r="O1557" i="9" s="1"/>
  <c r="B1558" i="9" l="1"/>
  <c r="C1558" i="9" s="1"/>
  <c r="L1557" i="9"/>
  <c r="M1557" i="9" s="1"/>
  <c r="N1557" i="9" s="1"/>
  <c r="D1558" i="9" l="1"/>
  <c r="G1558" i="9" s="1"/>
  <c r="H1558" i="9" s="1"/>
  <c r="J1558" i="9" s="1"/>
  <c r="I1558" i="9" l="1"/>
  <c r="K1558" i="9" s="1"/>
  <c r="O1558" i="9" s="1"/>
  <c r="B1559" i="9" l="1"/>
  <c r="C1559" i="9" s="1"/>
  <c r="L1558" i="9"/>
  <c r="M1558" i="9" s="1"/>
  <c r="N1558" i="9" s="1"/>
  <c r="D1559" i="9" l="1"/>
  <c r="G1559" i="9" s="1"/>
  <c r="H1559" i="9" s="1"/>
  <c r="J1559" i="9" s="1"/>
  <c r="I1559" i="9" l="1"/>
  <c r="B1560" i="9" s="1"/>
  <c r="K1559" i="9" l="1"/>
  <c r="O1559" i="9" s="1"/>
  <c r="C1560" i="9"/>
  <c r="L1559" i="9" l="1"/>
  <c r="M1559" i="9" s="1"/>
  <c r="N1559" i="9" s="1"/>
  <c r="D1560" i="9"/>
  <c r="G1560" i="9" s="1"/>
  <c r="H1560" i="9" s="1"/>
  <c r="J1560" i="9" s="1"/>
  <c r="I1560" i="9" l="1"/>
  <c r="B1561" i="9" s="1"/>
  <c r="K1560" i="9" l="1"/>
  <c r="O1560" i="9" s="1"/>
  <c r="C1561" i="9"/>
  <c r="L1560" i="9" l="1"/>
  <c r="M1560" i="9" s="1"/>
  <c r="N1560" i="9" s="1"/>
  <c r="D1561" i="9"/>
  <c r="G1561" i="9" s="1"/>
  <c r="H1561" i="9" s="1"/>
  <c r="J1561" i="9" s="1"/>
  <c r="I1561" i="9" l="1"/>
  <c r="B1562" i="9" s="1"/>
  <c r="K1561" i="9" l="1"/>
  <c r="O1561" i="9" s="1"/>
  <c r="C1562" i="9"/>
  <c r="L1561" i="9" l="1"/>
  <c r="M1561" i="9" s="1"/>
  <c r="N1561" i="9" s="1"/>
  <c r="D1562" i="9"/>
  <c r="G1562" i="9" s="1"/>
  <c r="H1562" i="9" s="1"/>
  <c r="J1562" i="9" s="1"/>
  <c r="I1562" i="9" l="1"/>
  <c r="K1562" i="9" s="1"/>
  <c r="O1562" i="9" s="1"/>
  <c r="B1563" i="9" l="1"/>
  <c r="C1563" i="9" s="1"/>
  <c r="L1562" i="9"/>
  <c r="M1562" i="9" s="1"/>
  <c r="N1562" i="9" s="1"/>
  <c r="D1563" i="9" l="1"/>
  <c r="G1563" i="9" s="1"/>
  <c r="H1563" i="9" s="1"/>
  <c r="J1563" i="9" s="1"/>
  <c r="I1563" i="9" l="1"/>
  <c r="B1564" i="9" s="1"/>
  <c r="K1563" i="9" l="1"/>
  <c r="O1563" i="9" s="1"/>
  <c r="C1564" i="9"/>
  <c r="L1563" i="9" l="1"/>
  <c r="M1563" i="9" s="1"/>
  <c r="N1563" i="9" s="1"/>
  <c r="D1564" i="9"/>
  <c r="G1564" i="9" s="1"/>
  <c r="H1564" i="9" s="1"/>
  <c r="J1564" i="9" s="1"/>
  <c r="I1564" i="9" l="1"/>
  <c r="K1564" i="9" s="1"/>
  <c r="O1564" i="9" s="1"/>
  <c r="B1565" i="9" l="1"/>
  <c r="C1565" i="9" s="1"/>
  <c r="L1564" i="9"/>
  <c r="M1564" i="9" s="1"/>
  <c r="N1564" i="9" s="1"/>
  <c r="D1565" i="9" l="1"/>
  <c r="G1565" i="9" s="1"/>
  <c r="H1565" i="9" s="1"/>
  <c r="J1565" i="9" s="1"/>
  <c r="I1565" i="9" l="1"/>
  <c r="K1565" i="9" s="1"/>
  <c r="O1565" i="9" s="1"/>
  <c r="B1566" i="9" l="1"/>
  <c r="C1566" i="9" s="1"/>
  <c r="L1565" i="9"/>
  <c r="M1565" i="9" s="1"/>
  <c r="N1565" i="9" s="1"/>
  <c r="D1566" i="9" l="1"/>
  <c r="G1566" i="9" s="1"/>
  <c r="H1566" i="9" s="1"/>
  <c r="J1566" i="9" s="1"/>
  <c r="I1566" i="9" l="1"/>
  <c r="B1567" i="9" s="1"/>
  <c r="K1566" i="9" l="1"/>
  <c r="O1566" i="9" s="1"/>
  <c r="C1567" i="9"/>
  <c r="L1566" i="9" l="1"/>
  <c r="M1566" i="9" s="1"/>
  <c r="N1566" i="9" s="1"/>
  <c r="D1567" i="9"/>
  <c r="G1567" i="9" s="1"/>
  <c r="H1567" i="9" s="1"/>
  <c r="I1567" i="9" s="1"/>
  <c r="B1568" i="9" l="1"/>
  <c r="K1567" i="9"/>
  <c r="O1567" i="9" s="1"/>
  <c r="J1567" i="9"/>
  <c r="L1567" i="9" l="1"/>
  <c r="M1567" i="9" s="1"/>
  <c r="N1567" i="9" s="1"/>
  <c r="C1568" i="9"/>
  <c r="D1568" i="9" l="1"/>
  <c r="G1568" i="9" s="1"/>
  <c r="H1568" i="9" s="1"/>
  <c r="J1568" i="9" s="1"/>
  <c r="I1568" i="9" l="1"/>
  <c r="K1568" i="9" s="1"/>
  <c r="O1568" i="9" s="1"/>
  <c r="B1569" i="9" l="1"/>
  <c r="C1569" i="9" s="1"/>
  <c r="L1568" i="9"/>
  <c r="M1568" i="9" s="1"/>
  <c r="N1568" i="9" s="1"/>
  <c r="D1569" i="9" l="1"/>
  <c r="G1569" i="9" s="1"/>
  <c r="H1569" i="9" s="1"/>
  <c r="J1569" i="9" s="1"/>
  <c r="I1569" i="9" l="1"/>
  <c r="B1570" i="9" s="1"/>
  <c r="K1569" i="9" l="1"/>
  <c r="O1569" i="9" s="1"/>
  <c r="C1570" i="9"/>
  <c r="L1569" i="9" l="1"/>
  <c r="M1569" i="9" s="1"/>
  <c r="N1569" i="9" s="1"/>
  <c r="D1570" i="9"/>
  <c r="G1570" i="9" s="1"/>
  <c r="H1570" i="9" s="1"/>
  <c r="I1570" i="9" s="1"/>
  <c r="B1571" i="9" l="1"/>
  <c r="K1570" i="9"/>
  <c r="O1570" i="9" s="1"/>
  <c r="J1570" i="9"/>
  <c r="L1570" i="9" l="1"/>
  <c r="M1570" i="9" s="1"/>
  <c r="N1570" i="9" s="1"/>
  <c r="C1571" i="9"/>
  <c r="D1571" i="9" l="1"/>
  <c r="G1571" i="9" s="1"/>
  <c r="H1571" i="9" s="1"/>
  <c r="J1571" i="9" s="1"/>
  <c r="I1571" i="9" l="1"/>
  <c r="B1572" i="9" s="1"/>
  <c r="K1571" i="9" l="1"/>
  <c r="O1571" i="9" s="1"/>
  <c r="C1572" i="9"/>
  <c r="L1571" i="9" l="1"/>
  <c r="M1571" i="9" s="1"/>
  <c r="N1571" i="9" s="1"/>
  <c r="D1572" i="9"/>
  <c r="G1572" i="9" s="1"/>
  <c r="H1572" i="9" s="1"/>
  <c r="J1572" i="9" s="1"/>
  <c r="I1572" i="9" l="1"/>
  <c r="B1573" i="9" s="1"/>
  <c r="K1572" i="9" l="1"/>
  <c r="O1572" i="9" s="1"/>
  <c r="C1573" i="9"/>
  <c r="L1572" i="9" l="1"/>
  <c r="M1572" i="9" s="1"/>
  <c r="N1572" i="9" s="1"/>
  <c r="D1573" i="9"/>
  <c r="G1573" i="9" s="1"/>
  <c r="H1573" i="9" s="1"/>
  <c r="J1573" i="9" s="1"/>
  <c r="I1573" i="9" l="1"/>
  <c r="B1574" i="9" s="1"/>
  <c r="K1573" i="9" l="1"/>
  <c r="O1573" i="9" s="1"/>
  <c r="C1574" i="9"/>
  <c r="L1573" i="9" l="1"/>
  <c r="M1573" i="9" s="1"/>
  <c r="N1573" i="9" s="1"/>
  <c r="D1574" i="9"/>
  <c r="G1574" i="9" s="1"/>
  <c r="H1574" i="9" s="1"/>
  <c r="I1574" i="9" s="1"/>
  <c r="B1575" i="9" l="1"/>
  <c r="K1574" i="9"/>
  <c r="O1574" i="9" s="1"/>
  <c r="J1574" i="9"/>
  <c r="L1574" i="9" l="1"/>
  <c r="M1574" i="9" s="1"/>
  <c r="N1574" i="9" s="1"/>
  <c r="C1575" i="9"/>
  <c r="D1575" i="9" l="1"/>
  <c r="G1575" i="9" s="1"/>
  <c r="H1575" i="9" s="1"/>
  <c r="I1575" i="9" s="1"/>
  <c r="B1576" i="9" l="1"/>
  <c r="K1575" i="9"/>
  <c r="O1575" i="9" s="1"/>
  <c r="J1575" i="9"/>
  <c r="L1575" i="9" l="1"/>
  <c r="M1575" i="9" s="1"/>
  <c r="N1575" i="9" s="1"/>
  <c r="C1576" i="9"/>
  <c r="D1576" i="9" l="1"/>
  <c r="G1576" i="9" s="1"/>
  <c r="H1576" i="9" s="1"/>
  <c r="J1576" i="9" s="1"/>
  <c r="I1576" i="9" l="1"/>
  <c r="B1577" i="9" s="1"/>
  <c r="K1576" i="9" l="1"/>
  <c r="O1576" i="9" s="1"/>
  <c r="C1577" i="9"/>
  <c r="L1576" i="9" l="1"/>
  <c r="M1576" i="9" s="1"/>
  <c r="N1576" i="9" s="1"/>
  <c r="D1577" i="9"/>
  <c r="G1577" i="9" s="1"/>
  <c r="H1577" i="9" s="1"/>
  <c r="J1577" i="9" s="1"/>
  <c r="I1577" i="9" l="1"/>
  <c r="B1578" i="9" s="1"/>
  <c r="K1577" i="9" l="1"/>
  <c r="O1577" i="9" s="1"/>
  <c r="C1578" i="9"/>
  <c r="L1577" i="9" l="1"/>
  <c r="M1577" i="9" s="1"/>
  <c r="N1577" i="9" s="1"/>
  <c r="D1578" i="9"/>
  <c r="G1578" i="9" s="1"/>
  <c r="H1578" i="9" s="1"/>
  <c r="J1578" i="9" s="1"/>
  <c r="I1578" i="9" l="1"/>
  <c r="K1578" i="9" s="1"/>
  <c r="O1578" i="9" s="1"/>
  <c r="B1579" i="9" l="1"/>
  <c r="C1579" i="9" s="1"/>
  <c r="L1578" i="9"/>
  <c r="M1578" i="9" s="1"/>
  <c r="N1578" i="9" s="1"/>
  <c r="D1579" i="9" l="1"/>
  <c r="G1579" i="9" s="1"/>
  <c r="H1579" i="9" s="1"/>
  <c r="J1579" i="9" s="1"/>
  <c r="I1579" i="9" l="1"/>
  <c r="K1579" i="9" s="1"/>
  <c r="O1579" i="9" s="1"/>
  <c r="B1580" i="9" l="1"/>
  <c r="C1580" i="9" s="1"/>
  <c r="L1579" i="9"/>
  <c r="M1579" i="9" s="1"/>
  <c r="N1579" i="9" s="1"/>
  <c r="D1580" i="9" l="1"/>
  <c r="G1580" i="9" s="1"/>
  <c r="H1580" i="9" s="1"/>
  <c r="J1580" i="9" s="1"/>
  <c r="I1580" i="9" l="1"/>
  <c r="B1581" i="9" s="1"/>
  <c r="K1580" i="9" l="1"/>
  <c r="O1580" i="9" s="1"/>
  <c r="C1581" i="9"/>
  <c r="L1580" i="9" l="1"/>
  <c r="M1580" i="9" s="1"/>
  <c r="N1580" i="9" s="1"/>
  <c r="D1581" i="9"/>
  <c r="G1581" i="9" s="1"/>
  <c r="H1581" i="9" s="1"/>
  <c r="I1581" i="9" s="1"/>
  <c r="B1582" i="9" l="1"/>
  <c r="K1581" i="9"/>
  <c r="O1581" i="9" s="1"/>
  <c r="J1581" i="9"/>
  <c r="L1581" i="9" l="1"/>
  <c r="M1581" i="9" s="1"/>
  <c r="N1581" i="9" s="1"/>
  <c r="C1582" i="9"/>
  <c r="D1582" i="9" l="1"/>
  <c r="G1582" i="9" s="1"/>
  <c r="H1582" i="9" s="1"/>
  <c r="J1582" i="9" s="1"/>
  <c r="I1582" i="9" l="1"/>
  <c r="K1582" i="9" s="1"/>
  <c r="O1582" i="9" s="1"/>
  <c r="B1583" i="9" l="1"/>
  <c r="C1583" i="9" s="1"/>
  <c r="L1582" i="9"/>
  <c r="M1582" i="9" s="1"/>
  <c r="N1582" i="9" s="1"/>
  <c r="D1583" i="9" l="1"/>
  <c r="G1583" i="9" s="1"/>
  <c r="H1583" i="9" s="1"/>
  <c r="I1583" i="9" s="1"/>
  <c r="B1584" i="9" l="1"/>
  <c r="K1583" i="9"/>
  <c r="O1583" i="9" s="1"/>
  <c r="J1583" i="9"/>
  <c r="L1583" i="9" l="1"/>
  <c r="M1583" i="9" s="1"/>
  <c r="N1583" i="9" s="1"/>
  <c r="C1584" i="9"/>
  <c r="D1584" i="9" l="1"/>
  <c r="G1584" i="9" s="1"/>
  <c r="H1584" i="9" s="1"/>
  <c r="I1584" i="9" s="1"/>
  <c r="B1585" i="9" l="1"/>
  <c r="K1584" i="9"/>
  <c r="O1584" i="9" s="1"/>
  <c r="J1584" i="9"/>
  <c r="L1584" i="9" l="1"/>
  <c r="M1584" i="9" s="1"/>
  <c r="N1584" i="9" s="1"/>
  <c r="C1585" i="9"/>
  <c r="D1585" i="9" l="1"/>
  <c r="G1585" i="9" s="1"/>
  <c r="H1585" i="9" s="1"/>
  <c r="J1585" i="9" s="1"/>
  <c r="I1585" i="9" l="1"/>
  <c r="B1586" i="9" s="1"/>
  <c r="K1585" i="9" l="1"/>
  <c r="O1585" i="9" s="1"/>
  <c r="C1586" i="9"/>
  <c r="L1585" i="9" l="1"/>
  <c r="M1585" i="9" s="1"/>
  <c r="N1585" i="9" s="1"/>
  <c r="D1586" i="9"/>
  <c r="G1586" i="9" s="1"/>
  <c r="H1586" i="9" s="1"/>
  <c r="I1586" i="9" s="1"/>
  <c r="B1587" i="9" l="1"/>
  <c r="K1586" i="9"/>
  <c r="O1586" i="9" s="1"/>
  <c r="J1586" i="9"/>
  <c r="L1586" i="9" l="1"/>
  <c r="M1586" i="9" s="1"/>
  <c r="N1586" i="9" s="1"/>
  <c r="C1587" i="9"/>
  <c r="D1587" i="9" l="1"/>
  <c r="G1587" i="9" s="1"/>
  <c r="H1587" i="9" s="1"/>
  <c r="J1587" i="9" s="1"/>
  <c r="I1587" i="9" l="1"/>
  <c r="K1587" i="9" s="1"/>
  <c r="O1587" i="9" s="1"/>
  <c r="B1588" i="9" l="1"/>
  <c r="C1588" i="9" s="1"/>
  <c r="L1587" i="9"/>
  <c r="M1587" i="9" s="1"/>
  <c r="N1587" i="9" s="1"/>
  <c r="D1588" i="9" l="1"/>
  <c r="G1588" i="9" s="1"/>
  <c r="H1588" i="9" s="1"/>
  <c r="J1588" i="9" s="1"/>
  <c r="I1588" i="9" l="1"/>
  <c r="B1589" i="9" s="1"/>
  <c r="K1588" i="9" l="1"/>
  <c r="O1588" i="9" s="1"/>
  <c r="C1589" i="9"/>
  <c r="L1588" i="9" l="1"/>
  <c r="M1588" i="9" s="1"/>
  <c r="N1588" i="9" s="1"/>
  <c r="D1589" i="9"/>
  <c r="G1589" i="9" s="1"/>
  <c r="H1589" i="9" s="1"/>
  <c r="J1589" i="9" s="1"/>
  <c r="I1589" i="9" l="1"/>
  <c r="K1589" i="9" s="1"/>
  <c r="O1589" i="9" s="1"/>
  <c r="B1590" i="9" l="1"/>
  <c r="C1590" i="9" s="1"/>
  <c r="L1589" i="9"/>
  <c r="M1589" i="9" s="1"/>
  <c r="N1589" i="9" s="1"/>
  <c r="D1590" i="9" l="1"/>
  <c r="G1590" i="9" s="1"/>
  <c r="H1590" i="9" s="1"/>
  <c r="J1590" i="9" s="1"/>
  <c r="I1590" i="9" l="1"/>
  <c r="K1590" i="9" s="1"/>
  <c r="O1590" i="9" s="1"/>
  <c r="B1591" i="9" l="1"/>
  <c r="C1591" i="9" s="1"/>
  <c r="L1590" i="9"/>
  <c r="M1590" i="9" s="1"/>
  <c r="N1590" i="9" s="1"/>
  <c r="D1591" i="9" l="1"/>
  <c r="G1591" i="9" s="1"/>
  <c r="H1591" i="9" s="1"/>
  <c r="I1591" i="9" s="1"/>
  <c r="B1592" i="9" l="1"/>
  <c r="K1591" i="9"/>
  <c r="O1591" i="9" s="1"/>
  <c r="J1591" i="9"/>
  <c r="L1591" i="9" l="1"/>
  <c r="M1591" i="9" s="1"/>
  <c r="N1591" i="9" s="1"/>
  <c r="C1592" i="9"/>
  <c r="D1592" i="9" l="1"/>
  <c r="G1592" i="9" s="1"/>
  <c r="H1592" i="9" s="1"/>
  <c r="J1592" i="9" s="1"/>
  <c r="I1592" i="9" l="1"/>
  <c r="K1592" i="9" s="1"/>
  <c r="O1592" i="9" s="1"/>
  <c r="B1593" i="9" l="1"/>
  <c r="C1593" i="9" s="1"/>
  <c r="L1592" i="9"/>
  <c r="M1592" i="9" s="1"/>
  <c r="N1592" i="9" s="1"/>
  <c r="D1593" i="9" l="1"/>
  <c r="G1593" i="9" s="1"/>
  <c r="H1593" i="9" s="1"/>
  <c r="J1593" i="9" s="1"/>
  <c r="I1593" i="9" l="1"/>
  <c r="K1593" i="9" s="1"/>
  <c r="O1593" i="9" s="1"/>
  <c r="B1594" i="9" l="1"/>
  <c r="C1594" i="9" s="1"/>
  <c r="L1593" i="9"/>
  <c r="M1593" i="9" s="1"/>
  <c r="N1593" i="9" s="1"/>
  <c r="D1594" i="9" l="1"/>
  <c r="G1594" i="9" s="1"/>
  <c r="H1594" i="9" s="1"/>
  <c r="J1594" i="9" s="1"/>
  <c r="I1594" i="9" l="1"/>
  <c r="B1595" i="9" s="1"/>
  <c r="K1594" i="9" l="1"/>
  <c r="O1594" i="9" s="1"/>
  <c r="C1595" i="9"/>
  <c r="L1594" i="9" l="1"/>
  <c r="M1594" i="9" s="1"/>
  <c r="N1594" i="9" s="1"/>
  <c r="D1595" i="9"/>
  <c r="G1595" i="9" s="1"/>
  <c r="H1595" i="9" s="1"/>
  <c r="I1595" i="9" s="1"/>
  <c r="B1596" i="9" l="1"/>
  <c r="K1595" i="9"/>
  <c r="O1595" i="9" s="1"/>
  <c r="J1595" i="9"/>
  <c r="L1595" i="9" l="1"/>
  <c r="M1595" i="9" s="1"/>
  <c r="N1595" i="9" s="1"/>
  <c r="C1596" i="9"/>
  <c r="D1596" i="9" l="1"/>
  <c r="G1596" i="9" s="1"/>
  <c r="H1596" i="9" s="1"/>
  <c r="J1596" i="9" s="1"/>
  <c r="I1596" i="9" l="1"/>
  <c r="K1596" i="9" s="1"/>
  <c r="O1596" i="9" s="1"/>
  <c r="B1597" i="9" l="1"/>
  <c r="C1597" i="9" s="1"/>
  <c r="L1596" i="9"/>
  <c r="M1596" i="9" s="1"/>
  <c r="N1596" i="9" s="1"/>
  <c r="D1597" i="9" l="1"/>
  <c r="G1597" i="9" s="1"/>
  <c r="H1597" i="9" s="1"/>
  <c r="I1597" i="9" s="1"/>
  <c r="B1598" i="9" l="1"/>
  <c r="K1597" i="9"/>
  <c r="O1597" i="9" s="1"/>
  <c r="J1597" i="9"/>
  <c r="L1597" i="9" l="1"/>
  <c r="M1597" i="9" s="1"/>
  <c r="N1597" i="9" s="1"/>
  <c r="C1598" i="9"/>
  <c r="D1598" i="9" l="1"/>
  <c r="G1598" i="9" s="1"/>
  <c r="H1598" i="9" s="1"/>
  <c r="J1598" i="9" s="1"/>
  <c r="I1598" i="9" l="1"/>
  <c r="B1599" i="9" s="1"/>
  <c r="K1598" i="9" l="1"/>
  <c r="O1598" i="9" s="1"/>
  <c r="C1599" i="9"/>
  <c r="L1598" i="9" l="1"/>
  <c r="M1598" i="9" s="1"/>
  <c r="N1598" i="9" s="1"/>
  <c r="D1599" i="9"/>
  <c r="G1599" i="9" s="1"/>
  <c r="H1599" i="9" s="1"/>
  <c r="I1599" i="9" s="1"/>
  <c r="B1600" i="9" l="1"/>
  <c r="K1599" i="9"/>
  <c r="O1599" i="9" s="1"/>
  <c r="J1599" i="9"/>
  <c r="L1599" i="9" l="1"/>
  <c r="M1599" i="9" s="1"/>
  <c r="N1599" i="9" s="1"/>
  <c r="C1600" i="9"/>
  <c r="D1600" i="9" l="1"/>
  <c r="G1600" i="9" s="1"/>
  <c r="H1600" i="9" s="1"/>
  <c r="J1600" i="9" s="1"/>
  <c r="I1600" i="9" l="1"/>
  <c r="B1601" i="9" s="1"/>
  <c r="K1600" i="9" l="1"/>
  <c r="O1600" i="9" s="1"/>
  <c r="C1601" i="9"/>
  <c r="L1600" i="9" l="1"/>
  <c r="M1600" i="9" s="1"/>
  <c r="N1600" i="9" s="1"/>
  <c r="D1601" i="9"/>
  <c r="G1601" i="9" s="1"/>
  <c r="H1601" i="9" s="1"/>
  <c r="J1601" i="9" s="1"/>
  <c r="I1601" i="9" l="1"/>
  <c r="B1602" i="9" s="1"/>
  <c r="K1601" i="9" l="1"/>
  <c r="O1601" i="9" s="1"/>
  <c r="C1602" i="9"/>
  <c r="L1601" i="9" l="1"/>
  <c r="M1601" i="9" s="1"/>
  <c r="N1601" i="9" s="1"/>
  <c r="D1602" i="9"/>
  <c r="G1602" i="9" s="1"/>
  <c r="H1602" i="9" s="1"/>
  <c r="J1602" i="9" s="1"/>
  <c r="I1602" i="9" l="1"/>
  <c r="K1602" i="9" s="1"/>
  <c r="O1602" i="9" s="1"/>
  <c r="B1603" i="9" l="1"/>
  <c r="C1603" i="9" s="1"/>
  <c r="L1602" i="9"/>
  <c r="M1602" i="9" s="1"/>
  <c r="N1602" i="9" s="1"/>
  <c r="D1603" i="9" l="1"/>
  <c r="G1603" i="9" s="1"/>
  <c r="H1603" i="9" s="1"/>
  <c r="J1603" i="9" s="1"/>
  <c r="I1603" i="9" l="1"/>
  <c r="B1604" i="9" s="1"/>
  <c r="K1603" i="9" l="1"/>
  <c r="O1603" i="9" s="1"/>
  <c r="C1604" i="9"/>
  <c r="L1603" i="9" l="1"/>
  <c r="M1603" i="9" s="1"/>
  <c r="N1603" i="9" s="1"/>
  <c r="D1604" i="9"/>
  <c r="G1604" i="9" s="1"/>
  <c r="H1604" i="9" s="1"/>
  <c r="J1604" i="9" s="1"/>
  <c r="I1604" i="9" l="1"/>
  <c r="K1604" i="9" s="1"/>
  <c r="O1604" i="9" s="1"/>
  <c r="B1605" i="9" l="1"/>
  <c r="C1605" i="9" s="1"/>
  <c r="L1604" i="9"/>
  <c r="M1604" i="9" s="1"/>
  <c r="N1604" i="9" s="1"/>
  <c r="D1605" i="9" l="1"/>
  <c r="G1605" i="9" s="1"/>
  <c r="H1605" i="9" s="1"/>
  <c r="J1605" i="9" s="1"/>
  <c r="I1605" i="9" l="1"/>
  <c r="K1605" i="9" s="1"/>
  <c r="O1605" i="9" s="1"/>
  <c r="B1606" i="9" l="1"/>
  <c r="C1606" i="9" s="1"/>
  <c r="L1605" i="9"/>
  <c r="M1605" i="9" s="1"/>
  <c r="N1605" i="9" s="1"/>
  <c r="D1606" i="9" l="1"/>
  <c r="G1606" i="9" s="1"/>
  <c r="H1606" i="9" s="1"/>
  <c r="J1606" i="9" s="1"/>
  <c r="I1606" i="9" l="1"/>
  <c r="B1607" i="9" s="1"/>
  <c r="K1606" i="9" l="1"/>
  <c r="O1606" i="9" s="1"/>
  <c r="C1607" i="9"/>
  <c r="L1606" i="9" l="1"/>
  <c r="M1606" i="9" s="1"/>
  <c r="N1606" i="9" s="1"/>
  <c r="D1607" i="9"/>
  <c r="G1607" i="9" s="1"/>
  <c r="H1607" i="9" s="1"/>
  <c r="I1607" i="9" s="1"/>
  <c r="B1608" i="9" l="1"/>
  <c r="K1607" i="9"/>
  <c r="O1607" i="9" s="1"/>
  <c r="J1607" i="9"/>
  <c r="L1607" i="9" l="1"/>
  <c r="M1607" i="9" s="1"/>
  <c r="N1607" i="9" s="1"/>
  <c r="C1608" i="9"/>
  <c r="D1608" i="9" l="1"/>
  <c r="G1608" i="9" s="1"/>
  <c r="H1608" i="9" s="1"/>
  <c r="J1608" i="9" s="1"/>
  <c r="I1608" i="9" l="1"/>
  <c r="K1608" i="9" s="1"/>
  <c r="O1608" i="9" s="1"/>
  <c r="B1609" i="9" l="1"/>
  <c r="C1609" i="9" s="1"/>
  <c r="L1608" i="9"/>
  <c r="M1608" i="9" s="1"/>
  <c r="N1608" i="9" s="1"/>
  <c r="D1609" i="9" l="1"/>
  <c r="G1609" i="9" s="1"/>
  <c r="H1609" i="9" s="1"/>
  <c r="I1609" i="9" s="1"/>
  <c r="B1610" i="9" l="1"/>
  <c r="K1609" i="9"/>
  <c r="O1609" i="9" s="1"/>
  <c r="J1609" i="9"/>
  <c r="L1609" i="9" l="1"/>
  <c r="M1609" i="9" s="1"/>
  <c r="N1609" i="9" s="1"/>
  <c r="C1610" i="9"/>
  <c r="D1610" i="9" l="1"/>
  <c r="G1610" i="9" s="1"/>
  <c r="H1610" i="9" s="1"/>
  <c r="I1610" i="9" s="1"/>
  <c r="B1611" i="9" l="1"/>
  <c r="K1610" i="9"/>
  <c r="O1610" i="9" s="1"/>
  <c r="J1610" i="9"/>
  <c r="L1610" i="9" l="1"/>
  <c r="M1610" i="9" s="1"/>
  <c r="N1610" i="9" s="1"/>
  <c r="C1611" i="9"/>
  <c r="D1611" i="9" l="1"/>
  <c r="G1611" i="9" s="1"/>
  <c r="H1611" i="9" s="1"/>
  <c r="J1611" i="9" s="1"/>
  <c r="I1611" i="9" l="1"/>
  <c r="B1612" i="9" s="1"/>
  <c r="K1611" i="9" l="1"/>
  <c r="O1611" i="9" s="1"/>
  <c r="C1612" i="9"/>
  <c r="L1611" i="9" l="1"/>
  <c r="M1611" i="9" s="1"/>
  <c r="N1611" i="9" s="1"/>
  <c r="D1612" i="9"/>
  <c r="G1612" i="9" s="1"/>
  <c r="H1612" i="9" s="1"/>
  <c r="I1612" i="9" s="1"/>
  <c r="B1613" i="9" l="1"/>
  <c r="K1612" i="9"/>
  <c r="O1612" i="9" s="1"/>
  <c r="J1612" i="9"/>
  <c r="L1612" i="9" l="1"/>
  <c r="M1612" i="9" s="1"/>
  <c r="N1612" i="9" s="1"/>
  <c r="C1613" i="9"/>
  <c r="D1613" i="9" l="1"/>
  <c r="G1613" i="9" s="1"/>
  <c r="H1613" i="9" s="1"/>
  <c r="J1613" i="9" s="1"/>
  <c r="I1613" i="9" l="1"/>
  <c r="K1613" i="9" s="1"/>
  <c r="O1613" i="9" s="1"/>
  <c r="B1614" i="9" l="1"/>
  <c r="C1614" i="9" s="1"/>
  <c r="L1613" i="9"/>
  <c r="M1613" i="9" s="1"/>
  <c r="N1613" i="9" s="1"/>
  <c r="D1614" i="9" l="1"/>
  <c r="G1614" i="9" s="1"/>
  <c r="H1614" i="9" s="1"/>
  <c r="J1614" i="9" s="1"/>
  <c r="I1614" i="9" l="1"/>
  <c r="B1615" i="9" s="1"/>
  <c r="K1614" i="9" l="1"/>
  <c r="O1614" i="9" s="1"/>
  <c r="C1615" i="9"/>
  <c r="L1614" i="9" l="1"/>
  <c r="M1614" i="9" s="1"/>
  <c r="N1614" i="9" s="1"/>
  <c r="D1615" i="9"/>
  <c r="G1615" i="9" s="1"/>
  <c r="H1615" i="9" s="1"/>
  <c r="I1615" i="9" s="1"/>
  <c r="B1616" i="9" l="1"/>
  <c r="K1615" i="9"/>
  <c r="O1615" i="9" s="1"/>
  <c r="J1615" i="9"/>
  <c r="L1615" i="9" l="1"/>
  <c r="M1615" i="9" s="1"/>
  <c r="N1615" i="9" s="1"/>
  <c r="C1616" i="9"/>
  <c r="D1616" i="9" l="1"/>
  <c r="G1616" i="9" s="1"/>
  <c r="H1616" i="9" s="1"/>
  <c r="J1616" i="9" s="1"/>
  <c r="I1616" i="9" l="1"/>
  <c r="B1617" i="9" s="1"/>
  <c r="K1616" i="9" l="1"/>
  <c r="O1616" i="9" s="1"/>
  <c r="C1617" i="9"/>
  <c r="L1616" i="9" l="1"/>
  <c r="M1616" i="9" s="1"/>
  <c r="N1616" i="9" s="1"/>
  <c r="D1617" i="9"/>
  <c r="G1617" i="9" s="1"/>
  <c r="H1617" i="9" s="1"/>
  <c r="I1617" i="9" s="1"/>
  <c r="B1618" i="9" l="1"/>
  <c r="K1617" i="9"/>
  <c r="O1617" i="9" s="1"/>
  <c r="J1617" i="9"/>
  <c r="L1617" i="9" l="1"/>
  <c r="M1617" i="9" s="1"/>
  <c r="N1617" i="9" s="1"/>
  <c r="C1618" i="9"/>
  <c r="D1618" i="9" l="1"/>
  <c r="G1618" i="9" s="1"/>
  <c r="H1618" i="9" s="1"/>
  <c r="J1618" i="9" s="1"/>
  <c r="I1618" i="9" l="1"/>
  <c r="B1619" i="9" s="1"/>
  <c r="K1618" i="9" l="1"/>
  <c r="O1618" i="9" s="1"/>
  <c r="C1619" i="9"/>
  <c r="L1618" i="9" l="1"/>
  <c r="M1618" i="9" s="1"/>
  <c r="N1618" i="9" s="1"/>
  <c r="D1619" i="9"/>
  <c r="G1619" i="9" s="1"/>
  <c r="H1619" i="9" s="1"/>
  <c r="J1619" i="9" s="1"/>
  <c r="I1619" i="9" l="1"/>
  <c r="K1619" i="9" s="1"/>
  <c r="O1619" i="9" s="1"/>
  <c r="B1620" i="9" l="1"/>
  <c r="C1620" i="9" s="1"/>
  <c r="L1619" i="9"/>
  <c r="M1619" i="9" s="1"/>
  <c r="N1619" i="9" s="1"/>
  <c r="D1620" i="9" l="1"/>
  <c r="G1620" i="9" s="1"/>
  <c r="H1620" i="9" s="1"/>
  <c r="J1620" i="9" s="1"/>
  <c r="I1620" i="9" l="1"/>
  <c r="B1621" i="9" s="1"/>
  <c r="K1620" i="9" l="1"/>
  <c r="O1620" i="9" s="1"/>
  <c r="C1621" i="9"/>
  <c r="L1620" i="9" l="1"/>
  <c r="M1620" i="9" s="1"/>
  <c r="N1620" i="9" s="1"/>
  <c r="D1621" i="9"/>
  <c r="G1621" i="9" s="1"/>
  <c r="H1621" i="9" s="1"/>
  <c r="J1621" i="9" s="1"/>
  <c r="I1621" i="9" l="1"/>
  <c r="B1622" i="9" s="1"/>
  <c r="K1621" i="9" l="1"/>
  <c r="O1621" i="9" s="1"/>
  <c r="C1622" i="9"/>
  <c r="L1621" i="9" l="1"/>
  <c r="M1621" i="9" s="1"/>
  <c r="N1621" i="9" s="1"/>
  <c r="D1622" i="9"/>
  <c r="G1622" i="9" s="1"/>
  <c r="H1622" i="9" s="1"/>
  <c r="J1622" i="9" s="1"/>
  <c r="I1622" i="9" l="1"/>
  <c r="B1623" i="9" s="1"/>
  <c r="K1622" i="9" l="1"/>
  <c r="O1622" i="9" s="1"/>
  <c r="C1623" i="9"/>
  <c r="L1622" i="9" l="1"/>
  <c r="M1622" i="9" s="1"/>
  <c r="N1622" i="9" s="1"/>
  <c r="D1623" i="9"/>
  <c r="G1623" i="9" s="1"/>
  <c r="H1623" i="9" s="1"/>
  <c r="I1623" i="9" s="1"/>
  <c r="B1624" i="9" l="1"/>
  <c r="K1623" i="9"/>
  <c r="O1623" i="9" s="1"/>
  <c r="J1623" i="9"/>
  <c r="L1623" i="9" l="1"/>
  <c r="M1623" i="9" s="1"/>
  <c r="N1623" i="9" s="1"/>
  <c r="C1624" i="9"/>
  <c r="D1624" i="9" l="1"/>
  <c r="G1624" i="9" s="1"/>
  <c r="H1624" i="9" s="1"/>
  <c r="J1624" i="9" s="1"/>
  <c r="I1624" i="9" l="1"/>
  <c r="B1625" i="9" s="1"/>
  <c r="K1624" i="9" l="1"/>
  <c r="O1624" i="9" s="1"/>
  <c r="C1625" i="9"/>
  <c r="L1624" i="9" l="1"/>
  <c r="M1624" i="9" s="1"/>
  <c r="N1624" i="9" s="1"/>
  <c r="D1625" i="9"/>
  <c r="G1625" i="9" s="1"/>
  <c r="H1625" i="9" s="1"/>
  <c r="J1625" i="9" s="1"/>
  <c r="I1625" i="9" l="1"/>
  <c r="K1625" i="9"/>
  <c r="O1625" i="9" s="1"/>
  <c r="B1626" i="9" l="1"/>
  <c r="C1626" i="9" s="1"/>
  <c r="L1625" i="9"/>
  <c r="M1625" i="9" s="1"/>
  <c r="N1625" i="9" s="1"/>
  <c r="D1626" i="9" l="1"/>
  <c r="G1626" i="9" s="1"/>
  <c r="H1626" i="9" s="1"/>
  <c r="J1626" i="9" s="1"/>
  <c r="I1626" i="9" l="1"/>
  <c r="B1627" i="9" s="1"/>
  <c r="K1626" i="9" l="1"/>
  <c r="O1626" i="9" s="1"/>
  <c r="C1627" i="9"/>
  <c r="L1626" i="9" l="1"/>
  <c r="M1626" i="9" s="1"/>
  <c r="N1626" i="9" s="1"/>
  <c r="D1627" i="9"/>
  <c r="G1627" i="9" s="1"/>
  <c r="H1627" i="9" s="1"/>
  <c r="J1627" i="9" s="1"/>
  <c r="I1627" i="9" l="1"/>
  <c r="B1628" i="9" s="1"/>
  <c r="K1627" i="9" l="1"/>
  <c r="O1627" i="9" s="1"/>
  <c r="C1628" i="9"/>
  <c r="L1627" i="9" l="1"/>
  <c r="M1627" i="9" s="1"/>
  <c r="N1627" i="9" s="1"/>
  <c r="D1628" i="9"/>
  <c r="G1628" i="9" s="1"/>
  <c r="H1628" i="9" s="1"/>
  <c r="J1628" i="9" s="1"/>
  <c r="I1628" i="9" l="1"/>
  <c r="B1629" i="9" s="1"/>
  <c r="K1628" i="9" l="1"/>
  <c r="O1628" i="9" s="1"/>
  <c r="C1629" i="9"/>
  <c r="L1628" i="9" l="1"/>
  <c r="M1628" i="9" s="1"/>
  <c r="N1628" i="9" s="1"/>
  <c r="D1629" i="9"/>
  <c r="G1629" i="9" s="1"/>
  <c r="H1629" i="9" s="1"/>
  <c r="J1629" i="9" s="1"/>
  <c r="I1629" i="9" l="1"/>
  <c r="K1629" i="9" s="1"/>
  <c r="O1629" i="9" s="1"/>
  <c r="B1630" i="9" l="1"/>
  <c r="C1630" i="9" s="1"/>
  <c r="L1629" i="9"/>
  <c r="M1629" i="9" s="1"/>
  <c r="N1629" i="9" s="1"/>
  <c r="D1630" i="9" l="1"/>
  <c r="G1630" i="9" s="1"/>
  <c r="H1630" i="9" s="1"/>
  <c r="J1630" i="9" s="1"/>
  <c r="I1630" i="9" l="1"/>
  <c r="B1631" i="9" s="1"/>
  <c r="K1630" i="9" l="1"/>
  <c r="O1630" i="9" s="1"/>
  <c r="C1631" i="9"/>
  <c r="L1630" i="9" l="1"/>
  <c r="M1630" i="9" s="1"/>
  <c r="N1630" i="9" s="1"/>
  <c r="D1631" i="9"/>
  <c r="G1631" i="9" s="1"/>
  <c r="H1631" i="9" s="1"/>
  <c r="I1631" i="9" s="1"/>
  <c r="B1632" i="9" l="1"/>
  <c r="K1631" i="9"/>
  <c r="O1631" i="9" s="1"/>
  <c r="J1631" i="9"/>
  <c r="L1631" i="9" l="1"/>
  <c r="M1631" i="9" s="1"/>
  <c r="N1631" i="9" s="1"/>
  <c r="C1632" i="9"/>
  <c r="D1632" i="9" l="1"/>
  <c r="G1632" i="9" s="1"/>
  <c r="H1632" i="9" s="1"/>
  <c r="J1632" i="9" s="1"/>
  <c r="I1632" i="9" l="1"/>
  <c r="K1632" i="9" s="1"/>
  <c r="O1632" i="9" s="1"/>
  <c r="B1633" i="9" l="1"/>
  <c r="C1633" i="9" s="1"/>
  <c r="L1632" i="9"/>
  <c r="M1632" i="9" s="1"/>
  <c r="N1632" i="9" s="1"/>
  <c r="D1633" i="9" l="1"/>
  <c r="G1633" i="9" s="1"/>
  <c r="H1633" i="9" s="1"/>
  <c r="I1633" i="9" s="1"/>
  <c r="B1634" i="9" l="1"/>
  <c r="K1633" i="9"/>
  <c r="O1633" i="9" s="1"/>
  <c r="J1633" i="9"/>
  <c r="L1633" i="9" l="1"/>
  <c r="M1633" i="9" s="1"/>
  <c r="N1633" i="9" s="1"/>
  <c r="C1634" i="9"/>
  <c r="D1634" i="9" l="1"/>
  <c r="G1634" i="9" s="1"/>
  <c r="H1634" i="9" s="1"/>
  <c r="I1634" i="9" s="1"/>
  <c r="B1635" i="9" l="1"/>
  <c r="K1634" i="9"/>
  <c r="O1634" i="9" s="1"/>
  <c r="J1634" i="9"/>
  <c r="L1634" i="9" l="1"/>
  <c r="M1634" i="9" s="1"/>
  <c r="N1634" i="9" s="1"/>
  <c r="C1635" i="9"/>
  <c r="D1635" i="9" l="1"/>
  <c r="G1635" i="9" s="1"/>
  <c r="H1635" i="9" s="1"/>
  <c r="J1635" i="9" s="1"/>
  <c r="I1635" i="9" l="1"/>
  <c r="B1636" i="9" s="1"/>
  <c r="K1635" i="9" l="1"/>
  <c r="O1635" i="9" s="1"/>
  <c r="C1636" i="9"/>
  <c r="L1635" i="9" l="1"/>
  <c r="M1635" i="9" s="1"/>
  <c r="N1635" i="9" s="1"/>
  <c r="D1636" i="9"/>
  <c r="G1636" i="9" s="1"/>
  <c r="H1636" i="9" s="1"/>
  <c r="J1636" i="9" s="1"/>
  <c r="I1636" i="9" l="1"/>
  <c r="B1637" i="9" s="1"/>
  <c r="K1636" i="9" l="1"/>
  <c r="O1636" i="9" s="1"/>
  <c r="C1637" i="9"/>
  <c r="L1636" i="9" l="1"/>
  <c r="M1636" i="9" s="1"/>
  <c r="N1636" i="9" s="1"/>
  <c r="D1637" i="9"/>
  <c r="G1637" i="9" s="1"/>
  <c r="H1637" i="9" s="1"/>
  <c r="I1637" i="9" s="1"/>
  <c r="B1638" i="9" l="1"/>
  <c r="K1637" i="9"/>
  <c r="O1637" i="9" s="1"/>
  <c r="J1637" i="9"/>
  <c r="L1637" i="9" l="1"/>
  <c r="M1637" i="9" s="1"/>
  <c r="N1637" i="9" s="1"/>
  <c r="C1638" i="9"/>
  <c r="D1638" i="9" l="1"/>
  <c r="G1638" i="9" s="1"/>
  <c r="H1638" i="9" s="1"/>
  <c r="J1638" i="9" s="1"/>
  <c r="I1638" i="9" l="1"/>
  <c r="K1638" i="9" s="1"/>
  <c r="O1638" i="9" s="1"/>
  <c r="B1639" i="9" l="1"/>
  <c r="C1639" i="9" s="1"/>
  <c r="L1638" i="9"/>
  <c r="M1638" i="9" s="1"/>
  <c r="N1638" i="9" s="1"/>
  <c r="D1639" i="9" l="1"/>
  <c r="G1639" i="9" s="1"/>
  <c r="H1639" i="9" s="1"/>
  <c r="J1639" i="9" s="1"/>
  <c r="I1639" i="9" l="1"/>
  <c r="B1640" i="9" s="1"/>
  <c r="K1639" i="9" l="1"/>
  <c r="O1639" i="9" s="1"/>
  <c r="C1640" i="9"/>
  <c r="L1639" i="9" l="1"/>
  <c r="M1639" i="9" s="1"/>
  <c r="N1639" i="9" s="1"/>
  <c r="D1640" i="9"/>
  <c r="G1640" i="9" s="1"/>
  <c r="H1640" i="9" s="1"/>
  <c r="J1640" i="9" s="1"/>
  <c r="I1640" i="9" l="1"/>
  <c r="B1641" i="9" s="1"/>
  <c r="K1640" i="9" l="1"/>
  <c r="O1640" i="9" s="1"/>
  <c r="C1641" i="9"/>
  <c r="L1640" i="9" l="1"/>
  <c r="M1640" i="9" s="1"/>
  <c r="N1640" i="9" s="1"/>
  <c r="D1641" i="9"/>
  <c r="G1641" i="9" s="1"/>
  <c r="H1641" i="9" s="1"/>
  <c r="J1641" i="9" s="1"/>
  <c r="I1641" i="9" l="1"/>
  <c r="B1642" i="9" s="1"/>
  <c r="K1641" i="9" l="1"/>
  <c r="O1641" i="9" s="1"/>
  <c r="C1642" i="9"/>
  <c r="L1641" i="9" l="1"/>
  <c r="M1641" i="9" s="1"/>
  <c r="N1641" i="9" s="1"/>
  <c r="D1642" i="9"/>
  <c r="G1642" i="9" s="1"/>
  <c r="H1642" i="9" s="1"/>
  <c r="J1642" i="9" s="1"/>
  <c r="I1642" i="9" l="1"/>
  <c r="B1643" i="9" s="1"/>
  <c r="K1642" i="9" l="1"/>
  <c r="O1642" i="9" s="1"/>
  <c r="C1643" i="9"/>
  <c r="L1642" i="9" l="1"/>
  <c r="M1642" i="9" s="1"/>
  <c r="N1642" i="9" s="1"/>
  <c r="D1643" i="9"/>
  <c r="G1643" i="9" s="1"/>
  <c r="H1643" i="9" s="1"/>
  <c r="I1643" i="9" s="1"/>
  <c r="B1644" i="9" l="1"/>
  <c r="K1643" i="9"/>
  <c r="O1643" i="9" s="1"/>
  <c r="J1643" i="9"/>
  <c r="L1643" i="9" l="1"/>
  <c r="M1643" i="9" s="1"/>
  <c r="N1643" i="9" s="1"/>
  <c r="C1644" i="9"/>
  <c r="D1644" i="9" l="1"/>
  <c r="G1644" i="9" s="1"/>
  <c r="H1644" i="9" s="1"/>
  <c r="J1644" i="9" s="1"/>
  <c r="I1644" i="9" l="1"/>
  <c r="K1644" i="9" s="1"/>
  <c r="O1644" i="9" s="1"/>
  <c r="B1645" i="9" l="1"/>
  <c r="C1645" i="9" s="1"/>
  <c r="L1644" i="9"/>
  <c r="M1644" i="9" s="1"/>
  <c r="N1644" i="9" s="1"/>
  <c r="D1645" i="9" l="1"/>
  <c r="G1645" i="9" s="1"/>
  <c r="H1645" i="9" s="1"/>
  <c r="I1645" i="9" s="1"/>
  <c r="B1646" i="9" l="1"/>
  <c r="K1645" i="9"/>
  <c r="O1645" i="9" s="1"/>
  <c r="J1645" i="9"/>
  <c r="L1645" i="9" l="1"/>
  <c r="M1645" i="9" s="1"/>
  <c r="N1645" i="9" s="1"/>
  <c r="C1646" i="9"/>
  <c r="D1646" i="9" l="1"/>
  <c r="G1646" i="9" s="1"/>
  <c r="H1646" i="9" s="1"/>
  <c r="J1646" i="9" s="1"/>
  <c r="I1646" i="9" l="1"/>
  <c r="B1647" i="9" s="1"/>
  <c r="K1646" i="9" l="1"/>
  <c r="O1646" i="9" s="1"/>
  <c r="C1647" i="9"/>
  <c r="L1646" i="9" l="1"/>
  <c r="M1646" i="9" s="1"/>
  <c r="N1646" i="9" s="1"/>
  <c r="D1647" i="9"/>
  <c r="G1647" i="9" s="1"/>
  <c r="H1647" i="9" s="1"/>
  <c r="J1647" i="9" s="1"/>
  <c r="I1647" i="9" l="1"/>
  <c r="K1647" i="9" s="1"/>
  <c r="O1647" i="9" s="1"/>
  <c r="B1648" i="9" l="1"/>
  <c r="C1648" i="9" s="1"/>
  <c r="L1647" i="9"/>
  <c r="M1647" i="9" s="1"/>
  <c r="N1647" i="9" s="1"/>
  <c r="D1648" i="9" l="1"/>
  <c r="G1648" i="9" s="1"/>
  <c r="H1648" i="9" s="1"/>
  <c r="J1648" i="9" s="1"/>
  <c r="I1648" i="9" l="1"/>
  <c r="K1648" i="9" s="1"/>
  <c r="O1648" i="9" s="1"/>
  <c r="B1649" i="9" l="1"/>
  <c r="C1649" i="9" s="1"/>
  <c r="L1648" i="9"/>
  <c r="M1648" i="9" s="1"/>
  <c r="N1648" i="9" s="1"/>
  <c r="D1649" i="9" l="1"/>
  <c r="G1649" i="9" s="1"/>
  <c r="H1649" i="9" s="1"/>
  <c r="J1649" i="9" s="1"/>
  <c r="I1649" i="9" l="1"/>
  <c r="K1649" i="9" s="1"/>
  <c r="O1649" i="9" s="1"/>
  <c r="B1650" i="9" l="1"/>
  <c r="C1650" i="9" s="1"/>
  <c r="L1649" i="9"/>
  <c r="M1649" i="9" s="1"/>
  <c r="N1649" i="9" s="1"/>
  <c r="D1650" i="9" l="1"/>
  <c r="G1650" i="9" s="1"/>
  <c r="H1650" i="9" s="1"/>
  <c r="I1650" i="9" s="1"/>
  <c r="B1651" i="9" l="1"/>
  <c r="K1650" i="9"/>
  <c r="O1650" i="9" s="1"/>
  <c r="J1650" i="9"/>
  <c r="L1650" i="9" l="1"/>
  <c r="M1650" i="9" s="1"/>
  <c r="N1650" i="9" s="1"/>
  <c r="C1651" i="9"/>
  <c r="D1651" i="9" l="1"/>
  <c r="G1651" i="9" s="1"/>
  <c r="H1651" i="9" s="1"/>
  <c r="J1651" i="9" s="1"/>
  <c r="I1651" i="9" l="1"/>
  <c r="K1651" i="9" s="1"/>
  <c r="O1651" i="9" s="1"/>
  <c r="B1652" i="9" l="1"/>
  <c r="C1652" i="9" s="1"/>
  <c r="L1651" i="9"/>
  <c r="M1651" i="9" s="1"/>
  <c r="N1651" i="9" s="1"/>
  <c r="D1652" i="9" l="1"/>
  <c r="G1652" i="9" s="1"/>
  <c r="H1652" i="9" s="1"/>
  <c r="I1652" i="9" s="1"/>
  <c r="B1653" i="9" l="1"/>
  <c r="K1652" i="9"/>
  <c r="O1652" i="9" s="1"/>
  <c r="J1652" i="9"/>
  <c r="L1652" i="9" l="1"/>
  <c r="M1652" i="9" s="1"/>
  <c r="N1652" i="9" s="1"/>
  <c r="C1653" i="9"/>
  <c r="D1653" i="9" l="1"/>
  <c r="G1653" i="9" s="1"/>
  <c r="H1653" i="9" s="1"/>
  <c r="I1653" i="9" s="1"/>
  <c r="B1654" i="9" l="1"/>
  <c r="K1653" i="9"/>
  <c r="O1653" i="9" s="1"/>
  <c r="J1653" i="9"/>
  <c r="L1653" i="9" l="1"/>
  <c r="M1653" i="9" s="1"/>
  <c r="N1653" i="9" s="1"/>
  <c r="C1654" i="9"/>
  <c r="D1654" i="9" l="1"/>
  <c r="G1654" i="9" s="1"/>
  <c r="H1654" i="9" s="1"/>
  <c r="J1654" i="9" s="1"/>
  <c r="I1654" i="9" l="1"/>
  <c r="B1655" i="9" s="1"/>
  <c r="K1654" i="9" l="1"/>
  <c r="O1654" i="9" s="1"/>
  <c r="C1655" i="9"/>
  <c r="L1654" i="9" l="1"/>
  <c r="M1654" i="9" s="1"/>
  <c r="N1654" i="9" s="1"/>
  <c r="D1655" i="9"/>
  <c r="G1655" i="9" s="1"/>
  <c r="H1655" i="9" s="1"/>
  <c r="J1655" i="9" s="1"/>
  <c r="I1655" i="9" l="1"/>
  <c r="K1655" i="9" s="1"/>
  <c r="O1655" i="9" s="1"/>
  <c r="B1656" i="9" l="1"/>
  <c r="C1656" i="9" s="1"/>
  <c r="L1655" i="9"/>
  <c r="M1655" i="9" s="1"/>
  <c r="N1655" i="9" s="1"/>
  <c r="D1656" i="9" l="1"/>
  <c r="G1656" i="9" s="1"/>
  <c r="H1656" i="9" s="1"/>
  <c r="I1656" i="9" s="1"/>
  <c r="B1657" i="9" l="1"/>
  <c r="K1656" i="9"/>
  <c r="O1656" i="9" s="1"/>
  <c r="J1656" i="9"/>
  <c r="L1656" i="9" l="1"/>
  <c r="M1656" i="9" s="1"/>
  <c r="N1656" i="9" s="1"/>
  <c r="C1657" i="9"/>
  <c r="D1657" i="9" l="1"/>
  <c r="G1657" i="9" s="1"/>
  <c r="H1657" i="9" s="1"/>
  <c r="J1657" i="9" s="1"/>
  <c r="I1657" i="9" l="1"/>
  <c r="B1658" i="9" s="1"/>
  <c r="K1657" i="9" l="1"/>
  <c r="O1657" i="9" s="1"/>
  <c r="C1658" i="9"/>
  <c r="L1657" i="9" l="1"/>
  <c r="M1657" i="9" s="1"/>
  <c r="N1657" i="9" s="1"/>
  <c r="D1658" i="9"/>
  <c r="G1658" i="9" s="1"/>
  <c r="H1658" i="9" s="1"/>
  <c r="J1658" i="9" s="1"/>
  <c r="I1658" i="9" l="1"/>
  <c r="B1659" i="9" s="1"/>
  <c r="K1658" i="9" l="1"/>
  <c r="O1658" i="9" s="1"/>
  <c r="C1659" i="9"/>
  <c r="L1658" i="9" l="1"/>
  <c r="M1658" i="9" s="1"/>
  <c r="N1658" i="9" s="1"/>
  <c r="D1659" i="9"/>
  <c r="G1659" i="9" s="1"/>
  <c r="H1659" i="9" s="1"/>
  <c r="J1659" i="9" s="1"/>
  <c r="I1659" i="9" l="1"/>
  <c r="K1659" i="9" s="1"/>
  <c r="O1659" i="9" s="1"/>
  <c r="B1660" i="9" l="1"/>
  <c r="C1660" i="9" s="1"/>
  <c r="L1659" i="9"/>
  <c r="M1659" i="9" s="1"/>
  <c r="N1659" i="9" s="1"/>
  <c r="D1660" i="9" l="1"/>
  <c r="G1660" i="9" s="1"/>
  <c r="H1660" i="9" s="1"/>
  <c r="J1660" i="9" s="1"/>
  <c r="I1660" i="9" l="1"/>
  <c r="K1660" i="9" s="1"/>
  <c r="O1660" i="9" s="1"/>
  <c r="B1661" i="9" l="1"/>
  <c r="C1661" i="9" s="1"/>
  <c r="L1660" i="9"/>
  <c r="M1660" i="9" s="1"/>
  <c r="N1660" i="9" s="1"/>
  <c r="D1661" i="9" l="1"/>
  <c r="G1661" i="9" s="1"/>
  <c r="H1661" i="9" s="1"/>
  <c r="I1661" i="9" s="1"/>
  <c r="B1662" i="9" l="1"/>
  <c r="K1661" i="9"/>
  <c r="O1661" i="9" s="1"/>
  <c r="J1661" i="9"/>
  <c r="L1661" i="9" l="1"/>
  <c r="M1661" i="9" s="1"/>
  <c r="N1661" i="9" s="1"/>
  <c r="C1662" i="9"/>
  <c r="D1662" i="9" l="1"/>
  <c r="G1662" i="9" s="1"/>
  <c r="H1662" i="9" s="1"/>
  <c r="J1662" i="9" s="1"/>
  <c r="I1662" i="9" l="1"/>
  <c r="B1663" i="9" s="1"/>
  <c r="K1662" i="9" l="1"/>
  <c r="O1662" i="9" s="1"/>
  <c r="C1663" i="9"/>
  <c r="L1662" i="9" l="1"/>
  <c r="M1662" i="9" s="1"/>
  <c r="N1662" i="9" s="1"/>
  <c r="D1663" i="9"/>
  <c r="G1663" i="9" s="1"/>
  <c r="H1663" i="9" s="1"/>
  <c r="J1663" i="9" s="1"/>
  <c r="I1663" i="9" l="1"/>
  <c r="K1663" i="9" s="1"/>
  <c r="O1663" i="9" s="1"/>
  <c r="B1664" i="9" l="1"/>
  <c r="C1664" i="9" s="1"/>
  <c r="L1663" i="9"/>
  <c r="M1663" i="9" s="1"/>
  <c r="N1663" i="9" s="1"/>
  <c r="D1664" i="9" l="1"/>
  <c r="G1664" i="9" s="1"/>
  <c r="H1664" i="9" s="1"/>
  <c r="I1664" i="9" s="1"/>
  <c r="B1665" i="9" l="1"/>
  <c r="K1664" i="9"/>
  <c r="O1664" i="9" s="1"/>
  <c r="J1664" i="9"/>
  <c r="L1664" i="9" l="1"/>
  <c r="M1664" i="9" s="1"/>
  <c r="N1664" i="9" s="1"/>
  <c r="C1665" i="9"/>
  <c r="D1665" i="9" l="1"/>
  <c r="G1665" i="9" s="1"/>
  <c r="H1665" i="9" s="1"/>
  <c r="J1665" i="9" s="1"/>
  <c r="I1665" i="9" l="1"/>
  <c r="K1665" i="9" s="1"/>
  <c r="O1665" i="9" s="1"/>
  <c r="B1666" i="9" l="1"/>
  <c r="C1666" i="9" s="1"/>
  <c r="L1665" i="9"/>
  <c r="M1665" i="9" s="1"/>
  <c r="N1665" i="9" s="1"/>
  <c r="D1666" i="9" l="1"/>
  <c r="G1666" i="9" s="1"/>
  <c r="H1666" i="9" s="1"/>
  <c r="J1666" i="9" s="1"/>
  <c r="I1666" i="9" l="1"/>
  <c r="K1666" i="9" s="1"/>
  <c r="O1666" i="9" s="1"/>
  <c r="B1667" i="9" l="1"/>
  <c r="C1667" i="9" s="1"/>
  <c r="L1666" i="9"/>
  <c r="M1666" i="9" s="1"/>
  <c r="N1666" i="9" s="1"/>
  <c r="D1667" i="9" l="1"/>
  <c r="G1667" i="9" s="1"/>
  <c r="H1667" i="9" s="1"/>
  <c r="J1667" i="9" s="1"/>
  <c r="I1667" i="9" l="1"/>
  <c r="B1668" i="9" s="1"/>
  <c r="K1667" i="9" l="1"/>
  <c r="O1667" i="9" s="1"/>
  <c r="C1668" i="9"/>
  <c r="L1667" i="9" l="1"/>
  <c r="M1667" i="9" s="1"/>
  <c r="N1667" i="9" s="1"/>
  <c r="D1668" i="9"/>
  <c r="G1668" i="9" s="1"/>
  <c r="H1668" i="9" s="1"/>
  <c r="J1668" i="9" s="1"/>
  <c r="I1668" i="9" l="1"/>
  <c r="B1669" i="9" s="1"/>
  <c r="K1668" i="9" l="1"/>
  <c r="O1668" i="9" s="1"/>
  <c r="C1669" i="9"/>
  <c r="L1668" i="9" l="1"/>
  <c r="M1668" i="9" s="1"/>
  <c r="N1668" i="9" s="1"/>
  <c r="D1669" i="9"/>
  <c r="G1669" i="9" s="1"/>
  <c r="H1669" i="9" s="1"/>
  <c r="I1669" i="9" s="1"/>
  <c r="B1670" i="9" l="1"/>
  <c r="K1669" i="9"/>
  <c r="O1669" i="9" s="1"/>
  <c r="J1669" i="9"/>
  <c r="L1669" i="9" l="1"/>
  <c r="M1669" i="9" s="1"/>
  <c r="N1669" i="9" s="1"/>
  <c r="C1670" i="9"/>
  <c r="D1670" i="9" l="1"/>
  <c r="G1670" i="9" s="1"/>
  <c r="H1670" i="9" s="1"/>
  <c r="J1670" i="9" s="1"/>
  <c r="I1670" i="9" l="1"/>
  <c r="K1670" i="9" s="1"/>
  <c r="O1670" i="9" s="1"/>
  <c r="B1671" i="9" l="1"/>
  <c r="C1671" i="9" s="1"/>
  <c r="L1670" i="9"/>
  <c r="M1670" i="9" s="1"/>
  <c r="N1670" i="9" s="1"/>
  <c r="D1671" i="9" l="1"/>
  <c r="G1671" i="9" s="1"/>
  <c r="H1671" i="9" s="1"/>
  <c r="J1671" i="9" s="1"/>
  <c r="I1671" i="9" l="1"/>
  <c r="K1671" i="9" s="1"/>
  <c r="O1671" i="9" s="1"/>
  <c r="B1672" i="9" l="1"/>
  <c r="C1672" i="9" s="1"/>
  <c r="L1671" i="9"/>
  <c r="M1671" i="9" s="1"/>
  <c r="N1671" i="9" s="1"/>
  <c r="D1672" i="9" l="1"/>
  <c r="G1672" i="9" s="1"/>
  <c r="H1672" i="9" s="1"/>
  <c r="I1672" i="9" s="1"/>
  <c r="B1673" i="9" l="1"/>
  <c r="K1672" i="9"/>
  <c r="O1672" i="9" s="1"/>
  <c r="J1672" i="9"/>
  <c r="L1672" i="9" l="1"/>
  <c r="M1672" i="9" s="1"/>
  <c r="N1672" i="9" s="1"/>
  <c r="C1673" i="9"/>
  <c r="D1673" i="9" l="1"/>
  <c r="G1673" i="9" s="1"/>
  <c r="H1673" i="9" s="1"/>
  <c r="J1673" i="9" s="1"/>
  <c r="I1673" i="9" l="1"/>
  <c r="K1673" i="9" s="1"/>
  <c r="O1673" i="9" s="1"/>
  <c r="B1674" i="9" l="1"/>
  <c r="C1674" i="9" s="1"/>
  <c r="L1673" i="9"/>
  <c r="M1673" i="9" s="1"/>
  <c r="N1673" i="9" s="1"/>
  <c r="D1674" i="9" l="1"/>
  <c r="G1674" i="9" s="1"/>
  <c r="H1674" i="9" s="1"/>
  <c r="J1674" i="9" s="1"/>
  <c r="I1674" i="9" l="1"/>
  <c r="K1674" i="9" s="1"/>
  <c r="O1674" i="9" s="1"/>
  <c r="B1675" i="9" l="1"/>
  <c r="C1675" i="9" s="1"/>
  <c r="L1674" i="9"/>
  <c r="M1674" i="9" s="1"/>
  <c r="N1674" i="9" s="1"/>
  <c r="D1675" i="9" l="1"/>
  <c r="G1675" i="9" s="1"/>
  <c r="H1675" i="9" s="1"/>
  <c r="J1675" i="9" s="1"/>
  <c r="I1675" i="9" l="1"/>
  <c r="K1675" i="9" s="1"/>
  <c r="O1675" i="9" s="1"/>
  <c r="B1676" i="9" l="1"/>
  <c r="C1676" i="9" s="1"/>
  <c r="L1675" i="9"/>
  <c r="M1675" i="9" s="1"/>
  <c r="N1675" i="9" s="1"/>
  <c r="D1676" i="9" l="1"/>
  <c r="G1676" i="9" s="1"/>
  <c r="H1676" i="9" s="1"/>
  <c r="I1676" i="9" s="1"/>
  <c r="B1677" i="9" l="1"/>
  <c r="K1676" i="9"/>
  <c r="O1676" i="9" s="1"/>
  <c r="J1676" i="9"/>
  <c r="L1676" i="9" l="1"/>
  <c r="M1676" i="9" s="1"/>
  <c r="N1676" i="9" s="1"/>
  <c r="C1677" i="9"/>
  <c r="D1677" i="9" l="1"/>
  <c r="G1677" i="9" s="1"/>
  <c r="H1677" i="9" s="1"/>
  <c r="I1677" i="9" s="1"/>
  <c r="B1678" i="9" l="1"/>
  <c r="K1677" i="9"/>
  <c r="O1677" i="9" s="1"/>
  <c r="J1677" i="9"/>
  <c r="L1677" i="9" l="1"/>
  <c r="M1677" i="9" s="1"/>
  <c r="N1677" i="9" s="1"/>
  <c r="C1678" i="9"/>
  <c r="D1678" i="9" l="1"/>
  <c r="G1678" i="9" s="1"/>
  <c r="H1678" i="9" s="1"/>
  <c r="J1678" i="9" s="1"/>
  <c r="I1678" i="9" l="1"/>
  <c r="K1678" i="9" s="1"/>
  <c r="O1678" i="9" s="1"/>
  <c r="B1679" i="9" l="1"/>
  <c r="C1679" i="9" s="1"/>
  <c r="L1678" i="9"/>
  <c r="M1678" i="9" s="1"/>
  <c r="N1678" i="9" s="1"/>
  <c r="D1679" i="9" l="1"/>
  <c r="G1679" i="9" s="1"/>
  <c r="H1679" i="9" s="1"/>
  <c r="J1679" i="9" s="1"/>
  <c r="I1679" i="9" l="1"/>
  <c r="B1680" i="9" s="1"/>
  <c r="K1679" i="9" l="1"/>
  <c r="O1679" i="9" s="1"/>
  <c r="C1680" i="9"/>
  <c r="L1679" i="9" l="1"/>
  <c r="M1679" i="9" s="1"/>
  <c r="N1679" i="9" s="1"/>
  <c r="D1680" i="9"/>
  <c r="G1680" i="9" s="1"/>
  <c r="H1680" i="9" s="1"/>
  <c r="I1680" i="9" s="1"/>
  <c r="B1681" i="9" l="1"/>
  <c r="K1680" i="9"/>
  <c r="O1680" i="9" s="1"/>
  <c r="J1680" i="9"/>
  <c r="L1680" i="9" l="1"/>
  <c r="M1680" i="9" s="1"/>
  <c r="N1680" i="9" s="1"/>
  <c r="C1681" i="9"/>
  <c r="D1681" i="9" l="1"/>
  <c r="G1681" i="9" s="1"/>
  <c r="H1681" i="9" s="1"/>
  <c r="J1681" i="9" s="1"/>
  <c r="I1681" i="9" l="1"/>
  <c r="B1682" i="9" s="1"/>
  <c r="K1681" i="9" l="1"/>
  <c r="O1681" i="9" s="1"/>
  <c r="C1682" i="9"/>
  <c r="L1681" i="9" l="1"/>
  <c r="M1681" i="9" s="1"/>
  <c r="N1681" i="9" s="1"/>
  <c r="D1682" i="9"/>
  <c r="G1682" i="9" s="1"/>
  <c r="H1682" i="9" s="1"/>
  <c r="J1682" i="9" s="1"/>
  <c r="I1682" i="9" l="1"/>
  <c r="B1683" i="9" s="1"/>
  <c r="K1682" i="9" l="1"/>
  <c r="O1682" i="9" s="1"/>
  <c r="C1683" i="9"/>
  <c r="L1682" i="9" l="1"/>
  <c r="M1682" i="9" s="1"/>
  <c r="N1682" i="9" s="1"/>
  <c r="D1683" i="9"/>
  <c r="G1683" i="9" s="1"/>
  <c r="H1683" i="9" s="1"/>
  <c r="J1683" i="9" s="1"/>
  <c r="I1683" i="9" l="1"/>
  <c r="K1683" i="9" s="1"/>
  <c r="O1683" i="9" s="1"/>
  <c r="B1684" i="9" l="1"/>
  <c r="C1684" i="9" s="1"/>
  <c r="L1683" i="9"/>
  <c r="M1683" i="9" s="1"/>
  <c r="N1683" i="9" s="1"/>
  <c r="D1684" i="9" l="1"/>
  <c r="G1684" i="9" s="1"/>
  <c r="H1684" i="9" s="1"/>
  <c r="J1684" i="9" s="1"/>
  <c r="I1684" i="9" l="1"/>
  <c r="K1684" i="9" s="1"/>
  <c r="O1684" i="9" s="1"/>
  <c r="B1685" i="9" l="1"/>
  <c r="C1685" i="9" s="1"/>
  <c r="L1684" i="9"/>
  <c r="M1684" i="9" s="1"/>
  <c r="N1684" i="9" s="1"/>
  <c r="D1685" i="9" l="1"/>
  <c r="G1685" i="9" s="1"/>
  <c r="H1685" i="9" s="1"/>
  <c r="I1685" i="9" s="1"/>
  <c r="B1686" i="9" l="1"/>
  <c r="K1685" i="9"/>
  <c r="O1685" i="9" s="1"/>
  <c r="J1685" i="9"/>
  <c r="L1685" i="9" l="1"/>
  <c r="M1685" i="9" s="1"/>
  <c r="N1685" i="9" s="1"/>
  <c r="C1686" i="9"/>
  <c r="D1686" i="9" l="1"/>
  <c r="G1686" i="9" s="1"/>
  <c r="H1686" i="9" s="1"/>
  <c r="J1686" i="9" s="1"/>
  <c r="I1686" i="9" l="1"/>
  <c r="B1687" i="9" s="1"/>
  <c r="K1686" i="9" l="1"/>
  <c r="O1686" i="9" s="1"/>
  <c r="C1687" i="9"/>
  <c r="L1686" i="9" l="1"/>
  <c r="M1686" i="9" s="1"/>
  <c r="N1686" i="9" s="1"/>
  <c r="D1687" i="9"/>
  <c r="G1687" i="9" s="1"/>
  <c r="H1687" i="9" s="1"/>
  <c r="J1687" i="9" s="1"/>
  <c r="I1687" i="9" l="1"/>
  <c r="K1687" i="9" s="1"/>
  <c r="O1687" i="9" s="1"/>
  <c r="B1688" i="9" l="1"/>
  <c r="C1688" i="9" s="1"/>
  <c r="L1687" i="9"/>
  <c r="M1687" i="9" s="1"/>
  <c r="N1687" i="9" s="1"/>
  <c r="D1688" i="9" l="1"/>
  <c r="G1688" i="9" s="1"/>
  <c r="H1688" i="9" s="1"/>
  <c r="I1688" i="9" s="1"/>
  <c r="B1689" i="9" l="1"/>
  <c r="K1688" i="9"/>
  <c r="O1688" i="9" s="1"/>
  <c r="J1688" i="9"/>
  <c r="L1688" i="9" l="1"/>
  <c r="M1688" i="9" s="1"/>
  <c r="N1688" i="9" s="1"/>
  <c r="C1689" i="9"/>
  <c r="D1689" i="9" l="1"/>
  <c r="G1689" i="9" s="1"/>
  <c r="H1689" i="9" s="1"/>
  <c r="J1689" i="9" s="1"/>
  <c r="I1689" i="9" l="1"/>
  <c r="B1690" i="9" s="1"/>
  <c r="K1689" i="9" l="1"/>
  <c r="O1689" i="9" s="1"/>
  <c r="C1690" i="9"/>
  <c r="L1689" i="9" l="1"/>
  <c r="M1689" i="9" s="1"/>
  <c r="N1689" i="9" s="1"/>
  <c r="D1690" i="9"/>
  <c r="G1690" i="9" s="1"/>
  <c r="H1690" i="9" s="1"/>
  <c r="J1690" i="9" s="1"/>
  <c r="I1690" i="9" l="1"/>
  <c r="K1690" i="9" s="1"/>
  <c r="O1690" i="9" s="1"/>
  <c r="B1691" i="9" l="1"/>
  <c r="C1691" i="9" s="1"/>
  <c r="L1690" i="9"/>
  <c r="M1690" i="9" s="1"/>
  <c r="N1690" i="9" s="1"/>
  <c r="D1691" i="9" l="1"/>
  <c r="G1691" i="9" s="1"/>
  <c r="H1691" i="9" s="1"/>
  <c r="J1691" i="9" s="1"/>
  <c r="I1691" i="9" l="1"/>
  <c r="K1691" i="9" s="1"/>
  <c r="O1691" i="9" s="1"/>
  <c r="B1692" i="9" l="1"/>
  <c r="C1692" i="9" s="1"/>
  <c r="L1691" i="9"/>
  <c r="M1691" i="9" s="1"/>
  <c r="N1691" i="9" s="1"/>
  <c r="D1692" i="9" l="1"/>
  <c r="G1692" i="9" s="1"/>
  <c r="H1692" i="9" s="1"/>
  <c r="J1692" i="9" s="1"/>
  <c r="I1692" i="9" l="1"/>
  <c r="B1693" i="9" s="1"/>
  <c r="K1692" i="9" l="1"/>
  <c r="O1692" i="9" s="1"/>
  <c r="C1693" i="9"/>
  <c r="L1692" i="9" l="1"/>
  <c r="M1692" i="9" s="1"/>
  <c r="N1692" i="9" s="1"/>
  <c r="D1693" i="9"/>
  <c r="G1693" i="9" s="1"/>
  <c r="H1693" i="9" s="1"/>
  <c r="I1693" i="9" s="1"/>
  <c r="B1694" i="9" l="1"/>
  <c r="K1693" i="9"/>
  <c r="O1693" i="9" s="1"/>
  <c r="J1693" i="9"/>
  <c r="L1693" i="9" l="1"/>
  <c r="M1693" i="9" s="1"/>
  <c r="N1693" i="9" s="1"/>
  <c r="C1694" i="9"/>
  <c r="D1694" i="9" l="1"/>
  <c r="G1694" i="9" s="1"/>
  <c r="H1694" i="9" s="1"/>
  <c r="J1694" i="9" s="1"/>
  <c r="I1694" i="9" l="1"/>
  <c r="K1694" i="9" s="1"/>
  <c r="O1694" i="9" s="1"/>
  <c r="B1695" i="9" l="1"/>
  <c r="C1695" i="9" s="1"/>
  <c r="L1694" i="9"/>
  <c r="M1694" i="9" s="1"/>
  <c r="N1694" i="9" s="1"/>
  <c r="D1695" i="9" l="1"/>
  <c r="G1695" i="9" s="1"/>
  <c r="H1695" i="9" s="1"/>
  <c r="J1695" i="9" s="1"/>
  <c r="I1695" i="9" l="1"/>
  <c r="B1696" i="9" s="1"/>
  <c r="K1695" i="9" l="1"/>
  <c r="O1695" i="9" s="1"/>
  <c r="C1696" i="9"/>
  <c r="L1695" i="9" l="1"/>
  <c r="M1695" i="9" s="1"/>
  <c r="N1695" i="9" s="1"/>
  <c r="D1696" i="9"/>
  <c r="G1696" i="9" s="1"/>
  <c r="H1696" i="9" s="1"/>
  <c r="I1696" i="9" s="1"/>
  <c r="B1697" i="9" l="1"/>
  <c r="K1696" i="9"/>
  <c r="O1696" i="9" s="1"/>
  <c r="J1696" i="9"/>
  <c r="L1696" i="9" l="1"/>
  <c r="M1696" i="9" s="1"/>
  <c r="N1696" i="9" s="1"/>
  <c r="C1697" i="9"/>
  <c r="D1697" i="9" l="1"/>
  <c r="G1697" i="9" s="1"/>
  <c r="H1697" i="9" s="1"/>
  <c r="J1697" i="9" s="1"/>
  <c r="I1697" i="9" l="1"/>
  <c r="B1698" i="9" s="1"/>
  <c r="K1697" i="9" l="1"/>
  <c r="O1697" i="9" s="1"/>
  <c r="C1698" i="9"/>
  <c r="L1697" i="9" l="1"/>
  <c r="M1697" i="9" s="1"/>
  <c r="N1697" i="9" s="1"/>
  <c r="D1698" i="9"/>
  <c r="G1698" i="9" s="1"/>
  <c r="H1698" i="9" s="1"/>
  <c r="J1698" i="9" s="1"/>
  <c r="I1698" i="9" l="1"/>
  <c r="B1699" i="9" s="1"/>
  <c r="K1698" i="9" l="1"/>
  <c r="O1698" i="9" s="1"/>
  <c r="C1699" i="9"/>
  <c r="L1698" i="9" l="1"/>
  <c r="M1698" i="9" s="1"/>
  <c r="N1698" i="9" s="1"/>
  <c r="D1699" i="9"/>
  <c r="G1699" i="9" s="1"/>
  <c r="H1699" i="9" s="1"/>
  <c r="J1699" i="9" s="1"/>
  <c r="I1699" i="9" l="1"/>
  <c r="K1699" i="9" s="1"/>
  <c r="O1699" i="9" s="1"/>
  <c r="B1700" i="9" l="1"/>
  <c r="C1700" i="9" s="1"/>
  <c r="L1699" i="9"/>
  <c r="M1699" i="9" s="1"/>
  <c r="N1699" i="9" s="1"/>
  <c r="D1700" i="9" l="1"/>
  <c r="G1700" i="9" s="1"/>
  <c r="H1700" i="9" s="1"/>
  <c r="J1700" i="9" s="1"/>
  <c r="I1700" i="9" l="1"/>
  <c r="B1701" i="9" s="1"/>
  <c r="K1700" i="9" l="1"/>
  <c r="O1700" i="9" s="1"/>
  <c r="C1701" i="9"/>
  <c r="L1700" i="9" l="1"/>
  <c r="M1700" i="9" s="1"/>
  <c r="N1700" i="9" s="1"/>
  <c r="D1701" i="9"/>
  <c r="G1701" i="9" s="1"/>
  <c r="H1701" i="9" s="1"/>
  <c r="I1701" i="9" s="1"/>
  <c r="B1702" i="9" l="1"/>
  <c r="K1701" i="9"/>
  <c r="O1701" i="9" s="1"/>
  <c r="J1701" i="9"/>
  <c r="L1701" i="9" l="1"/>
  <c r="M1701" i="9" s="1"/>
  <c r="N1701" i="9" s="1"/>
  <c r="C1702" i="9"/>
  <c r="D1702" i="9" l="1"/>
  <c r="G1702" i="9" s="1"/>
  <c r="H1702" i="9" s="1"/>
  <c r="J1702" i="9" s="1"/>
  <c r="I1702" i="9" l="1"/>
  <c r="K1702" i="9" s="1"/>
  <c r="O1702" i="9" s="1"/>
  <c r="B1703" i="9" l="1"/>
  <c r="C1703" i="9" s="1"/>
  <c r="L1702" i="9"/>
  <c r="M1702" i="9" s="1"/>
  <c r="N1702" i="9" s="1"/>
  <c r="D1703" i="9" l="1"/>
  <c r="G1703" i="9" s="1"/>
  <c r="H1703" i="9" s="1"/>
  <c r="J1703" i="9" s="1"/>
  <c r="I1703" i="9" l="1"/>
  <c r="B1704" i="9" s="1"/>
  <c r="K1703" i="9" l="1"/>
  <c r="O1703" i="9" s="1"/>
  <c r="C1704" i="9"/>
  <c r="L1703" i="9" l="1"/>
  <c r="M1703" i="9" s="1"/>
  <c r="N1703" i="9" s="1"/>
  <c r="D1704" i="9"/>
  <c r="G1704" i="9" s="1"/>
  <c r="H1704" i="9" s="1"/>
  <c r="I1704" i="9" s="1"/>
  <c r="B1705" i="9" l="1"/>
  <c r="K1704" i="9"/>
  <c r="O1704" i="9" s="1"/>
  <c r="J1704" i="9"/>
  <c r="C1705" i="9" l="1"/>
  <c r="L1704" i="9"/>
  <c r="M1704" i="9" s="1"/>
  <c r="N1704" i="9" s="1"/>
  <c r="D1705" i="9" l="1"/>
  <c r="G1705" i="9" s="1"/>
  <c r="H1705" i="9" s="1"/>
  <c r="J1705" i="9" s="1"/>
  <c r="I1705" i="9" l="1"/>
  <c r="B1706" i="9" s="1"/>
  <c r="K1705" i="9" l="1"/>
  <c r="O1705" i="9" s="1"/>
  <c r="C1706" i="9"/>
  <c r="L1705" i="9" l="1"/>
  <c r="M1705" i="9" s="1"/>
  <c r="N1705" i="9" s="1"/>
  <c r="D1706" i="9"/>
  <c r="G1706" i="9" s="1"/>
  <c r="H1706" i="9" s="1"/>
  <c r="J1706" i="9" s="1"/>
  <c r="I1706" i="9" l="1"/>
  <c r="B1707" i="9" s="1"/>
  <c r="K1706" i="9" l="1"/>
  <c r="O1706" i="9" s="1"/>
  <c r="C1707" i="9"/>
  <c r="L1706" i="9" l="1"/>
  <c r="M1706" i="9" s="1"/>
  <c r="N1706" i="9" s="1"/>
  <c r="D1707" i="9"/>
  <c r="G1707" i="9" s="1"/>
  <c r="H1707" i="9" s="1"/>
  <c r="J1707" i="9" s="1"/>
  <c r="I1707" i="9" l="1"/>
  <c r="B1708" i="9" s="1"/>
  <c r="K1707" i="9" l="1"/>
  <c r="O1707" i="9" s="1"/>
  <c r="C1708" i="9"/>
  <c r="L1707" i="9" l="1"/>
  <c r="M1707" i="9" s="1"/>
  <c r="N1707" i="9" s="1"/>
  <c r="D1708" i="9"/>
  <c r="G1708" i="9" s="1"/>
  <c r="H1708" i="9" s="1"/>
  <c r="J1708" i="9" s="1"/>
  <c r="I1708" i="9" l="1"/>
  <c r="B1709" i="9" s="1"/>
  <c r="K1708" i="9" l="1"/>
  <c r="O1708" i="9" s="1"/>
  <c r="C1709" i="9"/>
  <c r="L1708" i="9" l="1"/>
  <c r="M1708" i="9" s="1"/>
  <c r="N1708" i="9" s="1"/>
  <c r="D1709" i="9"/>
  <c r="G1709" i="9" s="1"/>
  <c r="H1709" i="9" s="1"/>
  <c r="I1709" i="9" s="1"/>
  <c r="B1710" i="9" l="1"/>
  <c r="K1709" i="9"/>
  <c r="O1709" i="9" s="1"/>
  <c r="J1709" i="9"/>
  <c r="L1709" i="9" l="1"/>
  <c r="M1709" i="9" s="1"/>
  <c r="N1709" i="9" s="1"/>
  <c r="C1710" i="9"/>
  <c r="D1710" i="9" l="1"/>
  <c r="G1710" i="9" s="1"/>
  <c r="H1710" i="9" s="1"/>
  <c r="J1710" i="9" s="1"/>
  <c r="I1710" i="9" l="1"/>
  <c r="K1710" i="9" s="1"/>
  <c r="O1710" i="9" s="1"/>
  <c r="B1711" i="9" l="1"/>
  <c r="C1711" i="9" s="1"/>
  <c r="L1710" i="9"/>
  <c r="M1710" i="9" s="1"/>
  <c r="N1710" i="9" s="1"/>
  <c r="D1711" i="9" l="1"/>
  <c r="G1711" i="9" s="1"/>
  <c r="H1711" i="9" s="1"/>
  <c r="J1711" i="9" s="1"/>
  <c r="I1711" i="9" l="1"/>
  <c r="B1712" i="9" s="1"/>
  <c r="K1711" i="9" l="1"/>
  <c r="O1711" i="9" s="1"/>
  <c r="C1712" i="9"/>
  <c r="L1711" i="9" l="1"/>
  <c r="M1711" i="9" s="1"/>
  <c r="N1711" i="9" s="1"/>
  <c r="D1712" i="9"/>
  <c r="G1712" i="9" s="1"/>
  <c r="H1712" i="9" s="1"/>
  <c r="I1712" i="9" s="1"/>
  <c r="B1713" i="9" l="1"/>
  <c r="K1712" i="9"/>
  <c r="O1712" i="9" s="1"/>
  <c r="J1712" i="9"/>
  <c r="L1712" i="9" l="1"/>
  <c r="M1712" i="9" s="1"/>
  <c r="N1712" i="9" s="1"/>
  <c r="C1713" i="9"/>
  <c r="D1713" i="9" l="1"/>
  <c r="G1713" i="9" s="1"/>
  <c r="H1713" i="9" s="1"/>
  <c r="I1713" i="9" s="1"/>
  <c r="B1714" i="9" l="1"/>
  <c r="K1713" i="9"/>
  <c r="O1713" i="9" s="1"/>
  <c r="J1713" i="9"/>
  <c r="L1713" i="9" l="1"/>
  <c r="M1713" i="9" s="1"/>
  <c r="N1713" i="9" s="1"/>
  <c r="C1714" i="9"/>
  <c r="D1714" i="9" l="1"/>
  <c r="G1714" i="9" s="1"/>
  <c r="H1714" i="9" s="1"/>
  <c r="I1714" i="9" s="1"/>
  <c r="B1715" i="9" l="1"/>
  <c r="K1714" i="9"/>
  <c r="O1714" i="9" s="1"/>
  <c r="J1714" i="9"/>
  <c r="L1714" i="9" l="1"/>
  <c r="M1714" i="9" s="1"/>
  <c r="N1714" i="9" s="1"/>
  <c r="C1715" i="9"/>
  <c r="D1715" i="9" l="1"/>
  <c r="G1715" i="9" s="1"/>
  <c r="H1715" i="9" s="1"/>
  <c r="J1715" i="9" s="1"/>
  <c r="I1715" i="9" l="1"/>
  <c r="K1715" i="9" s="1"/>
  <c r="O1715" i="9" s="1"/>
  <c r="B1716" i="9" l="1"/>
  <c r="C1716" i="9" s="1"/>
  <c r="L1715" i="9"/>
  <c r="M1715" i="9" s="1"/>
  <c r="N1715" i="9" s="1"/>
  <c r="D1716" i="9" l="1"/>
  <c r="G1716" i="9" s="1"/>
  <c r="H1716" i="9" s="1"/>
  <c r="J1716" i="9" s="1"/>
  <c r="I1716" i="9" l="1"/>
  <c r="B1717" i="9" s="1"/>
  <c r="K1716" i="9" l="1"/>
  <c r="O1716" i="9" s="1"/>
  <c r="C1717" i="9"/>
  <c r="L1716" i="9" l="1"/>
  <c r="M1716" i="9" s="1"/>
  <c r="N1716" i="9" s="1"/>
  <c r="D1717" i="9"/>
  <c r="G1717" i="9" s="1"/>
  <c r="H1717" i="9" s="1"/>
  <c r="J1717" i="9" s="1"/>
  <c r="I1717" i="9" l="1"/>
  <c r="K1717" i="9" s="1"/>
  <c r="O1717" i="9" s="1"/>
  <c r="B1718" i="9" l="1"/>
  <c r="C1718" i="9" s="1"/>
  <c r="L1717" i="9"/>
  <c r="M1717" i="9" s="1"/>
  <c r="N1717" i="9" s="1"/>
  <c r="D1718" i="9" l="1"/>
  <c r="G1718" i="9" s="1"/>
  <c r="H1718" i="9" s="1"/>
  <c r="J1718" i="9" s="1"/>
  <c r="I1718" i="9" l="1"/>
  <c r="K1718" i="9" s="1"/>
  <c r="O1718" i="9" s="1"/>
  <c r="B1719" i="9" l="1"/>
  <c r="C1719" i="9" s="1"/>
  <c r="L1718" i="9"/>
  <c r="M1718" i="9" s="1"/>
  <c r="N1718" i="9" s="1"/>
  <c r="D1719" i="9" l="1"/>
  <c r="G1719" i="9" s="1"/>
  <c r="H1719" i="9" s="1"/>
  <c r="J1719" i="9" s="1"/>
  <c r="I1719" i="9" l="1"/>
  <c r="K1719" i="9" s="1"/>
  <c r="O1719" i="9" s="1"/>
  <c r="B1720" i="9" l="1"/>
  <c r="C1720" i="9" s="1"/>
  <c r="L1719" i="9"/>
  <c r="M1719" i="9" s="1"/>
  <c r="N1719" i="9" s="1"/>
  <c r="D1720" i="9" l="1"/>
  <c r="G1720" i="9" s="1"/>
  <c r="H1720" i="9" s="1"/>
  <c r="I1720" i="9" s="1"/>
  <c r="B1721" i="9" l="1"/>
  <c r="K1720" i="9"/>
  <c r="O1720" i="9" s="1"/>
  <c r="J1720" i="9"/>
  <c r="L1720" i="9" l="1"/>
  <c r="M1720" i="9" s="1"/>
  <c r="N1720" i="9" s="1"/>
  <c r="C1721" i="9"/>
  <c r="D1721" i="9" l="1"/>
  <c r="G1721" i="9" s="1"/>
  <c r="H1721" i="9" s="1"/>
  <c r="I1721" i="9" s="1"/>
  <c r="B1722" i="9" l="1"/>
  <c r="K1721" i="9"/>
  <c r="O1721" i="9" s="1"/>
  <c r="J1721" i="9"/>
  <c r="L1721" i="9" l="1"/>
  <c r="M1721" i="9" s="1"/>
  <c r="N1721" i="9" s="1"/>
  <c r="C1722" i="9"/>
  <c r="D1722" i="9" l="1"/>
  <c r="G1722" i="9" s="1"/>
  <c r="H1722" i="9" s="1"/>
  <c r="J1722" i="9" s="1"/>
  <c r="I1722" i="9" l="1"/>
  <c r="K1722" i="9" s="1"/>
  <c r="O1722" i="9" s="1"/>
  <c r="B1723" i="9" l="1"/>
  <c r="C1723" i="9" s="1"/>
  <c r="L1722" i="9"/>
  <c r="M1722" i="9" s="1"/>
  <c r="N1722" i="9" s="1"/>
  <c r="D1723" i="9" l="1"/>
  <c r="G1723" i="9" s="1"/>
  <c r="H1723" i="9" s="1"/>
  <c r="J1723" i="9" s="1"/>
  <c r="I1723" i="9" l="1"/>
  <c r="B1724" i="9" s="1"/>
  <c r="K1723" i="9" l="1"/>
  <c r="O1723" i="9" s="1"/>
  <c r="C1724" i="9"/>
  <c r="L1723" i="9" l="1"/>
  <c r="M1723" i="9" s="1"/>
  <c r="N1723" i="9" s="1"/>
  <c r="D1724" i="9"/>
  <c r="G1724" i="9" s="1"/>
  <c r="H1724" i="9" s="1"/>
  <c r="J1724" i="9" s="1"/>
  <c r="I1724" i="9" l="1"/>
  <c r="K1724" i="9" s="1"/>
  <c r="O1724" i="9" s="1"/>
  <c r="B1725" i="9" l="1"/>
  <c r="C1725" i="9" s="1"/>
  <c r="L1724" i="9"/>
  <c r="M1724" i="9" s="1"/>
  <c r="N1724" i="9" s="1"/>
  <c r="D1725" i="9" l="1"/>
  <c r="G1725" i="9" s="1"/>
  <c r="H1725" i="9" s="1"/>
  <c r="J1725" i="9" s="1"/>
  <c r="I1725" i="9" l="1"/>
  <c r="K1725" i="9" s="1"/>
  <c r="O1725" i="9" s="1"/>
  <c r="B1726" i="9" l="1"/>
  <c r="C1726" i="9" s="1"/>
  <c r="L1725" i="9"/>
  <c r="M1725" i="9" s="1"/>
  <c r="N1725" i="9" s="1"/>
  <c r="D1726" i="9" l="1"/>
  <c r="G1726" i="9" s="1"/>
  <c r="H1726" i="9" s="1"/>
  <c r="J1726" i="9" s="1"/>
  <c r="I1726" i="9" l="1"/>
  <c r="B1727" i="9" s="1"/>
  <c r="K1726" i="9" l="1"/>
  <c r="O1726" i="9" s="1"/>
  <c r="C1727" i="9"/>
  <c r="L1726" i="9" l="1"/>
  <c r="M1726" i="9" s="1"/>
  <c r="N1726" i="9" s="1"/>
  <c r="D1727" i="9"/>
  <c r="G1727" i="9" s="1"/>
  <c r="H1727" i="9" s="1"/>
  <c r="J1727" i="9" s="1"/>
  <c r="I1727" i="9" l="1"/>
  <c r="K1727" i="9" s="1"/>
  <c r="O1727" i="9" s="1"/>
  <c r="B1728" i="9" l="1"/>
  <c r="C1728" i="9" s="1"/>
  <c r="L1727" i="9"/>
  <c r="M1727" i="9" s="1"/>
  <c r="N1727" i="9" s="1"/>
  <c r="D1728" i="9" l="1"/>
  <c r="G1728" i="9" s="1"/>
  <c r="H1728" i="9" s="1"/>
  <c r="I1728" i="9" s="1"/>
  <c r="B1729" i="9" l="1"/>
  <c r="K1728" i="9"/>
  <c r="O1728" i="9" s="1"/>
  <c r="J1728" i="9"/>
  <c r="L1728" i="9" l="1"/>
  <c r="M1728" i="9" s="1"/>
  <c r="N1728" i="9" s="1"/>
  <c r="C1729" i="9"/>
  <c r="D1729" i="9" l="1"/>
  <c r="G1729" i="9" s="1"/>
  <c r="H1729" i="9" s="1"/>
  <c r="I1729" i="9" s="1"/>
  <c r="B1730" i="9" l="1"/>
  <c r="K1729" i="9"/>
  <c r="O1729" i="9" s="1"/>
  <c r="J1729" i="9"/>
  <c r="L1729" i="9" l="1"/>
  <c r="M1729" i="9" s="1"/>
  <c r="N1729" i="9" s="1"/>
  <c r="C1730" i="9"/>
  <c r="D1730" i="9" l="1"/>
  <c r="G1730" i="9" s="1"/>
  <c r="H1730" i="9" s="1"/>
  <c r="J1730" i="9" s="1"/>
  <c r="I1730" i="9" l="1"/>
  <c r="K1730" i="9" s="1"/>
  <c r="O1730" i="9" s="1"/>
  <c r="B1731" i="9" l="1"/>
  <c r="C1731" i="9" s="1"/>
  <c r="L1730" i="9"/>
  <c r="M1730" i="9" s="1"/>
  <c r="N1730" i="9" s="1"/>
  <c r="D1731" i="9" l="1"/>
  <c r="G1731" i="9" s="1"/>
  <c r="H1731" i="9" s="1"/>
  <c r="I1731" i="9" s="1"/>
  <c r="J1731" i="9" l="1"/>
  <c r="B1732" i="9"/>
  <c r="K1731" i="9"/>
  <c r="O1731" i="9" s="1"/>
  <c r="L1731" i="9" l="1"/>
  <c r="M1731" i="9" s="1"/>
  <c r="N1731" i="9" s="1"/>
  <c r="C1732" i="9"/>
  <c r="D1732" i="9" l="1"/>
  <c r="G1732" i="9" s="1"/>
  <c r="H1732" i="9" s="1"/>
  <c r="J1732" i="9" s="1"/>
  <c r="I1732" i="9" l="1"/>
  <c r="B1733" i="9" s="1"/>
  <c r="K1732" i="9" l="1"/>
  <c r="O1732" i="9" s="1"/>
  <c r="C1733" i="9"/>
  <c r="L1732" i="9" l="1"/>
  <c r="M1732" i="9" s="1"/>
  <c r="N1732" i="9" s="1"/>
  <c r="D1733" i="9"/>
  <c r="G1733" i="9" s="1"/>
  <c r="H1733" i="9" s="1"/>
  <c r="J1733" i="9" s="1"/>
  <c r="I1733" i="9" l="1"/>
  <c r="B1734" i="9" s="1"/>
  <c r="K1733" i="9" l="1"/>
  <c r="O1733" i="9" s="1"/>
  <c r="C1734" i="9"/>
  <c r="L1733" i="9" l="1"/>
  <c r="M1733" i="9" s="1"/>
  <c r="N1733" i="9" s="1"/>
  <c r="D1734" i="9"/>
  <c r="G1734" i="9" s="1"/>
  <c r="H1734" i="9" s="1"/>
  <c r="J1734" i="9" s="1"/>
  <c r="I1734" i="9" l="1"/>
  <c r="B1735" i="9" s="1"/>
  <c r="K1734" i="9" l="1"/>
  <c r="O1734" i="9" s="1"/>
  <c r="C1735" i="9"/>
  <c r="L1734" i="9" l="1"/>
  <c r="M1734" i="9" s="1"/>
  <c r="N1734" i="9" s="1"/>
  <c r="D1735" i="9"/>
  <c r="G1735" i="9" s="1"/>
  <c r="H1735" i="9" s="1"/>
  <c r="J1735" i="9" s="1"/>
  <c r="I1735" i="9" l="1"/>
  <c r="K1735" i="9" s="1"/>
  <c r="O1735" i="9" s="1"/>
  <c r="B1736" i="9" l="1"/>
  <c r="C1736" i="9" s="1"/>
  <c r="L1735" i="9"/>
  <c r="M1735" i="9" s="1"/>
  <c r="N1735" i="9" s="1"/>
  <c r="D1736" i="9" l="1"/>
  <c r="G1736" i="9" s="1"/>
  <c r="H1736" i="9" s="1"/>
  <c r="J1736" i="9" s="1"/>
  <c r="I1736" i="9" l="1"/>
  <c r="K1736" i="9" s="1"/>
  <c r="O1736" i="9" s="1"/>
  <c r="B1737" i="9" l="1"/>
  <c r="C1737" i="9" s="1"/>
  <c r="L1736" i="9"/>
  <c r="M1736" i="9" s="1"/>
  <c r="N1736" i="9" s="1"/>
  <c r="D1737" i="9" l="1"/>
  <c r="G1737" i="9" s="1"/>
  <c r="H1737" i="9" s="1"/>
  <c r="I1737" i="9" s="1"/>
  <c r="B1738" i="9" l="1"/>
  <c r="K1737" i="9"/>
  <c r="O1737" i="9" s="1"/>
  <c r="J1737" i="9"/>
  <c r="L1737" i="9" l="1"/>
  <c r="M1737" i="9" s="1"/>
  <c r="N1737" i="9" s="1"/>
  <c r="C1738" i="9"/>
  <c r="D1738" i="9" l="1"/>
  <c r="G1738" i="9" s="1"/>
  <c r="H1738" i="9" s="1"/>
  <c r="J1738" i="9" s="1"/>
  <c r="I1738" i="9" l="1"/>
  <c r="B1739" i="9" s="1"/>
  <c r="K1738" i="9" l="1"/>
  <c r="O1738" i="9" s="1"/>
  <c r="C1739" i="9"/>
  <c r="L1738" i="9" l="1"/>
  <c r="M1738" i="9" s="1"/>
  <c r="N1738" i="9" s="1"/>
  <c r="D1739" i="9"/>
  <c r="G1739" i="9" s="1"/>
  <c r="H1739" i="9" s="1"/>
  <c r="I1739" i="9" s="1"/>
  <c r="B1740" i="9" l="1"/>
  <c r="K1739" i="9"/>
  <c r="O1739" i="9" s="1"/>
  <c r="J1739" i="9"/>
  <c r="L1739" i="9" l="1"/>
  <c r="M1739" i="9" s="1"/>
  <c r="N1739" i="9" s="1"/>
  <c r="C1740" i="9"/>
  <c r="D1740" i="9" l="1"/>
  <c r="G1740" i="9" s="1"/>
  <c r="H1740" i="9" s="1"/>
  <c r="J1740" i="9" s="1"/>
  <c r="I1740" i="9" l="1"/>
  <c r="K1740" i="9" s="1"/>
  <c r="O1740" i="9" s="1"/>
  <c r="B1741" i="9" l="1"/>
  <c r="C1741" i="9" s="1"/>
  <c r="L1740" i="9"/>
  <c r="M1740" i="9" s="1"/>
  <c r="N1740" i="9" s="1"/>
  <c r="D1741" i="9" l="1"/>
  <c r="G1741" i="9" s="1"/>
  <c r="H1741" i="9" s="1"/>
  <c r="J1741" i="9" s="1"/>
  <c r="I1741" i="9" l="1"/>
  <c r="B1742" i="9" s="1"/>
  <c r="K1741" i="9" l="1"/>
  <c r="O1741" i="9" s="1"/>
  <c r="C1742" i="9"/>
  <c r="L1741" i="9" l="1"/>
  <c r="M1741" i="9" s="1"/>
  <c r="N1741" i="9" s="1"/>
  <c r="D1742" i="9"/>
  <c r="G1742" i="9" s="1"/>
  <c r="H1742" i="9" s="1"/>
  <c r="J1742" i="9" s="1"/>
  <c r="I1742" i="9" l="1"/>
  <c r="B1743" i="9" s="1"/>
  <c r="K1742" i="9" l="1"/>
  <c r="O1742" i="9" s="1"/>
  <c r="C1743" i="9"/>
  <c r="L1742" i="9" l="1"/>
  <c r="M1742" i="9" s="1"/>
  <c r="N1742" i="9" s="1"/>
  <c r="D1743" i="9"/>
  <c r="G1743" i="9" s="1"/>
  <c r="H1743" i="9" s="1"/>
  <c r="J1743" i="9" s="1"/>
  <c r="I1743" i="9" l="1"/>
  <c r="B1744" i="9" s="1"/>
  <c r="K1743" i="9" l="1"/>
  <c r="O1743" i="9" s="1"/>
  <c r="C1744" i="9"/>
  <c r="L1743" i="9" l="1"/>
  <c r="M1743" i="9" s="1"/>
  <c r="N1743" i="9" s="1"/>
  <c r="D1744" i="9"/>
  <c r="G1744" i="9" s="1"/>
  <c r="H1744" i="9" s="1"/>
  <c r="J1744" i="9" s="1"/>
  <c r="I1744" i="9" l="1"/>
  <c r="B1745" i="9" s="1"/>
  <c r="K1744" i="9" l="1"/>
  <c r="O1744" i="9" s="1"/>
  <c r="C1745" i="9"/>
  <c r="L1744" i="9" l="1"/>
  <c r="M1744" i="9" s="1"/>
  <c r="N1744" i="9" s="1"/>
  <c r="D1745" i="9"/>
  <c r="G1745" i="9" s="1"/>
  <c r="H1745" i="9" s="1"/>
  <c r="I1745" i="9" s="1"/>
  <c r="B1746" i="9" l="1"/>
  <c r="K1745" i="9"/>
  <c r="O1745" i="9" s="1"/>
  <c r="J1745" i="9"/>
  <c r="L1745" i="9" l="1"/>
  <c r="M1745" i="9" s="1"/>
  <c r="N1745" i="9" s="1"/>
  <c r="C1746" i="9"/>
  <c r="D1746" i="9" l="1"/>
  <c r="G1746" i="9" s="1"/>
  <c r="H1746" i="9" s="1"/>
  <c r="I1746" i="9" s="1"/>
  <c r="B1747" i="9" l="1"/>
  <c r="K1746" i="9"/>
  <c r="O1746" i="9" s="1"/>
  <c r="J1746" i="9"/>
  <c r="L1746" i="9" l="1"/>
  <c r="M1746" i="9" s="1"/>
  <c r="N1746" i="9" s="1"/>
  <c r="C1747" i="9"/>
  <c r="D1747" i="9" l="1"/>
  <c r="G1747" i="9" s="1"/>
  <c r="H1747" i="9" s="1"/>
  <c r="I1747" i="9" s="1"/>
  <c r="B1748" i="9" l="1"/>
  <c r="K1747" i="9"/>
  <c r="O1747" i="9" s="1"/>
  <c r="J1747" i="9"/>
  <c r="L1747" i="9" l="1"/>
  <c r="M1747" i="9" s="1"/>
  <c r="N1747" i="9" s="1"/>
  <c r="C1748" i="9"/>
  <c r="D1748" i="9" l="1"/>
  <c r="G1748" i="9" s="1"/>
  <c r="H1748" i="9" s="1"/>
  <c r="J1748" i="9" s="1"/>
  <c r="I1748" i="9" l="1"/>
  <c r="B1749" i="9" s="1"/>
  <c r="K1748" i="9" l="1"/>
  <c r="O1748" i="9" s="1"/>
  <c r="C1749" i="9"/>
  <c r="L1748" i="9" l="1"/>
  <c r="M1748" i="9" s="1"/>
  <c r="N1748" i="9" s="1"/>
  <c r="D1749" i="9"/>
  <c r="G1749" i="9" s="1"/>
  <c r="H1749" i="9" s="1"/>
  <c r="J1749" i="9" s="1"/>
  <c r="I1749" i="9" l="1"/>
  <c r="B1750" i="9" s="1"/>
  <c r="K1749" i="9" l="1"/>
  <c r="O1749" i="9" s="1"/>
  <c r="C1750" i="9"/>
  <c r="L1749" i="9" l="1"/>
  <c r="M1749" i="9" s="1"/>
  <c r="N1749" i="9" s="1"/>
  <c r="D1750" i="9"/>
  <c r="G1750" i="9" s="1"/>
  <c r="H1750" i="9" s="1"/>
  <c r="J1750" i="9" s="1"/>
  <c r="I1750" i="9" l="1"/>
  <c r="B1751" i="9" s="1"/>
  <c r="K1750" i="9" l="1"/>
  <c r="O1750" i="9" s="1"/>
  <c r="C1751" i="9"/>
  <c r="L1750" i="9" l="1"/>
  <c r="M1750" i="9" s="1"/>
  <c r="N1750" i="9" s="1"/>
  <c r="D1751" i="9"/>
  <c r="G1751" i="9" s="1"/>
  <c r="H1751" i="9" s="1"/>
  <c r="J1751" i="9" s="1"/>
  <c r="I1751" i="9" l="1"/>
  <c r="K1751" i="9" s="1"/>
  <c r="O1751" i="9" s="1"/>
  <c r="B1752" i="9" l="1"/>
  <c r="C1752" i="9" s="1"/>
  <c r="L1751" i="9"/>
  <c r="M1751" i="9" s="1"/>
  <c r="N1751" i="9" s="1"/>
  <c r="D1752" i="9" l="1"/>
  <c r="G1752" i="9" s="1"/>
  <c r="H1752" i="9" s="1"/>
  <c r="J1752" i="9" s="1"/>
  <c r="I1752" i="9" l="1"/>
  <c r="K1752" i="9" s="1"/>
  <c r="O1752" i="9" s="1"/>
  <c r="B1753" i="9" l="1"/>
  <c r="C1753" i="9" s="1"/>
  <c r="L1752" i="9"/>
  <c r="M1752" i="9" s="1"/>
  <c r="N1752" i="9" s="1"/>
  <c r="D1753" i="9" l="1"/>
  <c r="G1753" i="9" s="1"/>
  <c r="H1753" i="9" s="1"/>
  <c r="J1753" i="9" s="1"/>
  <c r="I1753" i="9" l="1"/>
  <c r="B1754" i="9" s="1"/>
  <c r="K1753" i="9" l="1"/>
  <c r="O1753" i="9" s="1"/>
  <c r="C1754" i="9"/>
  <c r="L1753" i="9" l="1"/>
  <c r="M1753" i="9" s="1"/>
  <c r="N1753" i="9" s="1"/>
  <c r="D1754" i="9"/>
  <c r="G1754" i="9" s="1"/>
  <c r="H1754" i="9" s="1"/>
  <c r="I1754" i="9" s="1"/>
  <c r="B1755" i="9" l="1"/>
  <c r="K1754" i="9"/>
  <c r="O1754" i="9" s="1"/>
  <c r="J1754" i="9"/>
  <c r="L1754" i="9" l="1"/>
  <c r="M1754" i="9" s="1"/>
  <c r="N1754" i="9" s="1"/>
  <c r="C1755" i="9"/>
  <c r="D1755" i="9" l="1"/>
  <c r="G1755" i="9" s="1"/>
  <c r="H1755" i="9" s="1"/>
  <c r="J1755" i="9" s="1"/>
  <c r="I1755" i="9" l="1"/>
  <c r="K1755" i="9" s="1"/>
  <c r="O1755" i="9" s="1"/>
  <c r="B1756" i="9" l="1"/>
  <c r="C1756" i="9" s="1"/>
  <c r="L1755" i="9"/>
  <c r="M1755" i="9" s="1"/>
  <c r="N1755" i="9" s="1"/>
  <c r="D1756" i="9" l="1"/>
  <c r="G1756" i="9" s="1"/>
  <c r="H1756" i="9" s="1"/>
  <c r="I1756" i="9" s="1"/>
  <c r="B1757" i="9" l="1"/>
  <c r="K1756" i="9"/>
  <c r="O1756" i="9" s="1"/>
  <c r="J1756" i="9"/>
  <c r="L1756" i="9" l="1"/>
  <c r="M1756" i="9" s="1"/>
  <c r="N1756" i="9" s="1"/>
  <c r="C1757" i="9"/>
  <c r="D1757" i="9" l="1"/>
  <c r="G1757" i="9" s="1"/>
  <c r="H1757" i="9" s="1"/>
  <c r="J1757" i="9" s="1"/>
  <c r="I1757" i="9" l="1"/>
  <c r="K1757" i="9" s="1"/>
  <c r="O1757" i="9" s="1"/>
  <c r="B1758" i="9" l="1"/>
  <c r="C1758" i="9" s="1"/>
  <c r="L1757" i="9"/>
  <c r="M1757" i="9" s="1"/>
  <c r="N1757" i="9" s="1"/>
  <c r="D1758" i="9" l="1"/>
  <c r="G1758" i="9" s="1"/>
  <c r="H1758" i="9" s="1"/>
  <c r="J1758" i="9" s="1"/>
  <c r="I1758" i="9" l="1"/>
  <c r="K1758" i="9" s="1"/>
  <c r="O1758" i="9" s="1"/>
  <c r="B1759" i="9" l="1"/>
  <c r="C1759" i="9" s="1"/>
  <c r="L1758" i="9"/>
  <c r="M1758" i="9" s="1"/>
  <c r="N1758" i="9" s="1"/>
  <c r="D1759" i="9" l="1"/>
  <c r="G1759" i="9" s="1"/>
  <c r="H1759" i="9" s="1"/>
  <c r="J1759" i="9" s="1"/>
  <c r="I1759" i="9" l="1"/>
  <c r="B1760" i="9" s="1"/>
  <c r="K1759" i="9" l="1"/>
  <c r="O1759" i="9" s="1"/>
  <c r="C1760" i="9"/>
  <c r="L1759" i="9" l="1"/>
  <c r="M1759" i="9" s="1"/>
  <c r="N1759" i="9" s="1"/>
  <c r="D1760" i="9"/>
  <c r="G1760" i="9" s="1"/>
  <c r="H1760" i="9" s="1"/>
  <c r="J1760" i="9" s="1"/>
  <c r="I1760" i="9" l="1"/>
  <c r="B1761" i="9" s="1"/>
  <c r="K1760" i="9" l="1"/>
  <c r="O1760" i="9" s="1"/>
  <c r="C1761" i="9"/>
  <c r="L1760" i="9" l="1"/>
  <c r="M1760" i="9" s="1"/>
  <c r="N1760" i="9" s="1"/>
  <c r="D1761" i="9"/>
  <c r="G1761" i="9" s="1"/>
  <c r="H1761" i="9" s="1"/>
  <c r="J1761" i="9" s="1"/>
  <c r="I1761" i="9" l="1"/>
  <c r="B1762" i="9" s="1"/>
  <c r="K1761" i="9" l="1"/>
  <c r="O1761" i="9" s="1"/>
  <c r="C1762" i="9"/>
  <c r="L1761" i="9" l="1"/>
  <c r="M1761" i="9" s="1"/>
  <c r="N1761" i="9" s="1"/>
  <c r="D1762" i="9"/>
  <c r="G1762" i="9" s="1"/>
  <c r="H1762" i="9" s="1"/>
  <c r="J1762" i="9" s="1"/>
  <c r="I1762" i="9" l="1"/>
  <c r="K1762" i="9" s="1"/>
  <c r="O1762" i="9" s="1"/>
  <c r="B1763" i="9" l="1"/>
  <c r="C1763" i="9" s="1"/>
  <c r="L1762" i="9"/>
  <c r="M1762" i="9" s="1"/>
  <c r="N1762" i="9" s="1"/>
  <c r="D1763" i="9" l="1"/>
  <c r="G1763" i="9" s="1"/>
  <c r="H1763" i="9" s="1"/>
  <c r="J1763" i="9" s="1"/>
  <c r="I1763" i="9" l="1"/>
  <c r="B1764" i="9" s="1"/>
  <c r="K1763" i="9" l="1"/>
  <c r="O1763" i="9" s="1"/>
  <c r="C1764" i="9"/>
  <c r="L1763" i="9" l="1"/>
  <c r="M1763" i="9" s="1"/>
  <c r="N1763" i="9" s="1"/>
  <c r="D1764" i="9"/>
  <c r="G1764" i="9" s="1"/>
  <c r="H1764" i="9" s="1"/>
  <c r="I1764" i="9" s="1"/>
  <c r="B1765" i="9" l="1"/>
  <c r="K1764" i="9"/>
  <c r="O1764" i="9" s="1"/>
  <c r="J1764" i="9"/>
  <c r="L1764" i="9" l="1"/>
  <c r="M1764" i="9" s="1"/>
  <c r="N1764" i="9" s="1"/>
  <c r="C1765" i="9"/>
  <c r="D1765" i="9" l="1"/>
  <c r="G1765" i="9" s="1"/>
  <c r="H1765" i="9" s="1"/>
  <c r="I1765" i="9" s="1"/>
  <c r="B1766" i="9" l="1"/>
  <c r="K1765" i="9"/>
  <c r="O1765" i="9" s="1"/>
  <c r="J1765" i="9"/>
  <c r="L1765" i="9" l="1"/>
  <c r="M1765" i="9" s="1"/>
  <c r="N1765" i="9" s="1"/>
  <c r="C1766" i="9"/>
  <c r="D1766" i="9" l="1"/>
  <c r="G1766" i="9" s="1"/>
  <c r="H1766" i="9" s="1"/>
  <c r="J1766" i="9" s="1"/>
  <c r="I1766" i="9" l="1"/>
  <c r="B1767" i="9" s="1"/>
  <c r="K1766" i="9" l="1"/>
  <c r="O1766" i="9" s="1"/>
  <c r="C1767" i="9"/>
  <c r="L1766" i="9" l="1"/>
  <c r="M1766" i="9" s="1"/>
  <c r="N1766" i="9" s="1"/>
  <c r="D1767" i="9"/>
  <c r="G1767" i="9" s="1"/>
  <c r="H1767" i="9" s="1"/>
  <c r="J1767" i="9" s="1"/>
  <c r="I1767" i="9" l="1"/>
  <c r="B1768" i="9" s="1"/>
  <c r="K1767" i="9" l="1"/>
  <c r="O1767" i="9" s="1"/>
  <c r="C1768" i="9"/>
  <c r="L1767" i="9" l="1"/>
  <c r="M1767" i="9" s="1"/>
  <c r="N1767" i="9" s="1"/>
  <c r="D1768" i="9"/>
  <c r="G1768" i="9" s="1"/>
  <c r="H1768" i="9" s="1"/>
  <c r="J1768" i="9" s="1"/>
  <c r="I1768" i="9" l="1"/>
  <c r="K1768" i="9" s="1"/>
  <c r="O1768" i="9" s="1"/>
  <c r="B1769" i="9" l="1"/>
  <c r="C1769" i="9" s="1"/>
  <c r="L1768" i="9"/>
  <c r="M1768" i="9" s="1"/>
  <c r="N1768" i="9" s="1"/>
  <c r="D1769" i="9" l="1"/>
  <c r="G1769" i="9" s="1"/>
  <c r="H1769" i="9" s="1"/>
  <c r="J1769" i="9" s="1"/>
  <c r="I1769" i="9" l="1"/>
  <c r="B1770" i="9" s="1"/>
  <c r="K1769" i="9" l="1"/>
  <c r="O1769" i="9" s="1"/>
  <c r="C1770" i="9"/>
  <c r="L1769" i="9" l="1"/>
  <c r="M1769" i="9" s="1"/>
  <c r="N1769" i="9" s="1"/>
  <c r="D1770" i="9"/>
  <c r="G1770" i="9" s="1"/>
  <c r="H1770" i="9" s="1"/>
  <c r="J1770" i="9" s="1"/>
  <c r="I1770" i="9" l="1"/>
  <c r="B1771" i="9" s="1"/>
  <c r="K1770" i="9" l="1"/>
  <c r="O1770" i="9" s="1"/>
  <c r="C1771" i="9"/>
  <c r="L1770" i="9" l="1"/>
  <c r="M1770" i="9" s="1"/>
  <c r="N1770" i="9" s="1"/>
  <c r="D1771" i="9"/>
  <c r="G1771" i="9" s="1"/>
  <c r="H1771" i="9" s="1"/>
  <c r="J1771" i="9" s="1"/>
  <c r="I1771" i="9" l="1"/>
  <c r="B1772" i="9" s="1"/>
  <c r="K1771" i="9" l="1"/>
  <c r="O1771" i="9" s="1"/>
  <c r="C1772" i="9"/>
  <c r="L1771" i="9" l="1"/>
  <c r="M1771" i="9" s="1"/>
  <c r="N1771" i="9" s="1"/>
  <c r="D1772" i="9"/>
  <c r="G1772" i="9" s="1"/>
  <c r="H1772" i="9" s="1"/>
  <c r="J1772" i="9" s="1"/>
  <c r="I1772" i="9" l="1"/>
  <c r="B1773" i="9" s="1"/>
  <c r="K1772" i="9" l="1"/>
  <c r="O1772" i="9" s="1"/>
  <c r="C1773" i="9"/>
  <c r="L1772" i="9" l="1"/>
  <c r="M1772" i="9" s="1"/>
  <c r="N1772" i="9" s="1"/>
  <c r="D1773" i="9"/>
  <c r="G1773" i="9" s="1"/>
  <c r="H1773" i="9" s="1"/>
  <c r="J1773" i="9" s="1"/>
  <c r="I1773" i="9" l="1"/>
  <c r="B1774" i="9" s="1"/>
  <c r="K1773" i="9" l="1"/>
  <c r="O1773" i="9" s="1"/>
  <c r="C1774" i="9"/>
  <c r="L1773" i="9" l="1"/>
  <c r="M1773" i="9" s="1"/>
  <c r="N1773" i="9" s="1"/>
  <c r="D1774" i="9"/>
  <c r="G1774" i="9" s="1"/>
  <c r="H1774" i="9" s="1"/>
  <c r="J1774" i="9" s="1"/>
  <c r="I1774" i="9" l="1"/>
  <c r="K1774" i="9" s="1"/>
  <c r="O1774" i="9" s="1"/>
  <c r="B1775" i="9" l="1"/>
  <c r="C1775" i="9" s="1"/>
  <c r="L1774" i="9"/>
  <c r="M1774" i="9" s="1"/>
  <c r="N1774" i="9" s="1"/>
  <c r="D1775" i="9" l="1"/>
  <c r="G1775" i="9" s="1"/>
  <c r="H1775" i="9" s="1"/>
  <c r="J1775" i="9" s="1"/>
  <c r="I1775" i="9" l="1"/>
  <c r="K1775" i="9" s="1"/>
  <c r="O1775" i="9" s="1"/>
  <c r="B1776" i="9" l="1"/>
  <c r="C1776" i="9" s="1"/>
  <c r="L1775" i="9"/>
  <c r="M1775" i="9" s="1"/>
  <c r="N1775" i="9" s="1"/>
  <c r="D1776" i="9" l="1"/>
  <c r="G1776" i="9" s="1"/>
  <c r="H1776" i="9" s="1"/>
  <c r="J1776" i="9" s="1"/>
  <c r="I1776" i="9" l="1"/>
  <c r="B1777" i="9" s="1"/>
  <c r="K1776" i="9" l="1"/>
  <c r="O1776" i="9" s="1"/>
  <c r="C1777" i="9"/>
  <c r="L1776" i="9" l="1"/>
  <c r="M1776" i="9" s="1"/>
  <c r="N1776" i="9" s="1"/>
  <c r="D1777" i="9"/>
  <c r="G1777" i="9" s="1"/>
  <c r="H1777" i="9" s="1"/>
  <c r="J1777" i="9" s="1"/>
  <c r="I1777" i="9" l="1"/>
  <c r="K1777" i="9" s="1"/>
  <c r="O1777" i="9" s="1"/>
  <c r="B1778" i="9" l="1"/>
  <c r="C1778" i="9" s="1"/>
  <c r="L1777" i="9"/>
  <c r="M1777" i="9" s="1"/>
  <c r="N1777" i="9" s="1"/>
  <c r="D1778" i="9" l="1"/>
  <c r="G1778" i="9" s="1"/>
  <c r="H1778" i="9" s="1"/>
  <c r="J1778" i="9" s="1"/>
  <c r="I1778" i="9" l="1"/>
  <c r="B1779" i="9" s="1"/>
  <c r="K1778" i="9" l="1"/>
  <c r="O1778" i="9" s="1"/>
  <c r="C1779" i="9"/>
  <c r="L1778" i="9" l="1"/>
  <c r="M1778" i="9" s="1"/>
  <c r="N1778" i="9" s="1"/>
  <c r="D1779" i="9"/>
  <c r="G1779" i="9" s="1"/>
  <c r="H1779" i="9" s="1"/>
  <c r="J1779" i="9" s="1"/>
  <c r="I1779" i="9" l="1"/>
  <c r="K1779" i="9" s="1"/>
  <c r="O1779" i="9" s="1"/>
  <c r="B1780" i="9" l="1"/>
  <c r="C1780" i="9" s="1"/>
  <c r="L1779" i="9"/>
  <c r="M1779" i="9" s="1"/>
  <c r="N1779" i="9" s="1"/>
  <c r="D1780" i="9" l="1"/>
  <c r="G1780" i="9" s="1"/>
  <c r="H1780" i="9" s="1"/>
  <c r="J1780" i="9" s="1"/>
  <c r="I1780" i="9" l="1"/>
  <c r="B1781" i="9" s="1"/>
  <c r="K1780" i="9" l="1"/>
  <c r="O1780" i="9" s="1"/>
  <c r="C1781" i="9"/>
  <c r="L1780" i="9" l="1"/>
  <c r="M1780" i="9" s="1"/>
  <c r="N1780" i="9" s="1"/>
  <c r="D1781" i="9"/>
  <c r="G1781" i="9" s="1"/>
  <c r="H1781" i="9" s="1"/>
  <c r="J1781" i="9" s="1"/>
  <c r="I1781" i="9" l="1"/>
  <c r="K1781" i="9" s="1"/>
  <c r="O1781" i="9" s="1"/>
  <c r="B1782" i="9" l="1"/>
  <c r="C1782" i="9" s="1"/>
  <c r="L1781" i="9"/>
  <c r="M1781" i="9" s="1"/>
  <c r="N1781" i="9" s="1"/>
  <c r="D1782" i="9" l="1"/>
  <c r="G1782" i="9" s="1"/>
  <c r="H1782" i="9" s="1"/>
  <c r="J1782" i="9" s="1"/>
  <c r="I1782" i="9" l="1"/>
  <c r="B1783" i="9" s="1"/>
  <c r="K1782" i="9" l="1"/>
  <c r="O1782" i="9" s="1"/>
  <c r="C1783" i="9"/>
  <c r="L1782" i="9" l="1"/>
  <c r="M1782" i="9" s="1"/>
  <c r="N1782" i="9" s="1"/>
  <c r="D1783" i="9"/>
  <c r="G1783" i="9" s="1"/>
  <c r="H1783" i="9" s="1"/>
  <c r="J1783" i="9" s="1"/>
  <c r="I1783" i="9" l="1"/>
  <c r="K1783" i="9" s="1"/>
  <c r="O1783" i="9" s="1"/>
  <c r="B1784" i="9" l="1"/>
  <c r="C1784" i="9" s="1"/>
  <c r="L1783" i="9"/>
  <c r="M1783" i="9" s="1"/>
  <c r="N1783" i="9" s="1"/>
  <c r="D1784" i="9" l="1"/>
  <c r="G1784" i="9" s="1"/>
  <c r="H1784" i="9" s="1"/>
  <c r="J1784" i="9" s="1"/>
  <c r="I1784" i="9" l="1"/>
  <c r="K1784" i="9" s="1"/>
  <c r="O1784" i="9" s="1"/>
  <c r="B1785" i="9" l="1"/>
  <c r="C1785" i="9" s="1"/>
  <c r="L1784" i="9"/>
  <c r="M1784" i="9" s="1"/>
  <c r="N1784" i="9" s="1"/>
  <c r="D1785" i="9" l="1"/>
  <c r="G1785" i="9" s="1"/>
  <c r="H1785" i="9" s="1"/>
  <c r="J1785" i="9" s="1"/>
  <c r="I1785" i="9" l="1"/>
  <c r="K1785" i="9" s="1"/>
  <c r="O1785" i="9" s="1"/>
  <c r="B1786" i="9" l="1"/>
  <c r="C1786" i="9" s="1"/>
  <c r="L1785" i="9"/>
  <c r="M1785" i="9" s="1"/>
  <c r="N1785" i="9" s="1"/>
  <c r="D1786" i="9" l="1"/>
  <c r="G1786" i="9" s="1"/>
  <c r="H1786" i="9" s="1"/>
  <c r="J1786" i="9" s="1"/>
  <c r="I1786" i="9" l="1"/>
  <c r="B1787" i="9" s="1"/>
  <c r="K1786" i="9" l="1"/>
  <c r="O1786" i="9" s="1"/>
  <c r="C1787" i="9"/>
  <c r="L1786" i="9" l="1"/>
  <c r="M1786" i="9" s="1"/>
  <c r="N1786" i="9" s="1"/>
  <c r="D1787" i="9"/>
  <c r="G1787" i="9" s="1"/>
  <c r="H1787" i="9" s="1"/>
  <c r="J1787" i="9" s="1"/>
  <c r="I1787" i="9" l="1"/>
  <c r="B1788" i="9" s="1"/>
  <c r="K1787" i="9" l="1"/>
  <c r="O1787" i="9" s="1"/>
  <c r="C1788" i="9"/>
  <c r="L1787" i="9" l="1"/>
  <c r="M1787" i="9" s="1"/>
  <c r="N1787" i="9" s="1"/>
  <c r="D1788" i="9"/>
  <c r="G1788" i="9" s="1"/>
  <c r="H1788" i="9" s="1"/>
  <c r="J1788" i="9" s="1"/>
  <c r="I1788" i="9" l="1"/>
  <c r="B1789" i="9" s="1"/>
  <c r="K1788" i="9" l="1"/>
  <c r="O1788" i="9" s="1"/>
  <c r="C1789" i="9"/>
  <c r="L1788" i="9" l="1"/>
  <c r="M1788" i="9" s="1"/>
  <c r="N1788" i="9" s="1"/>
  <c r="D1789" i="9"/>
  <c r="G1789" i="9" s="1"/>
  <c r="H1789" i="9" s="1"/>
  <c r="J1789" i="9" s="1"/>
  <c r="I1789" i="9" l="1"/>
  <c r="K1789" i="9" s="1"/>
  <c r="O1789" i="9" s="1"/>
  <c r="B1790" i="9" l="1"/>
  <c r="C1790" i="9" s="1"/>
  <c r="L1789" i="9"/>
  <c r="M1789" i="9" s="1"/>
  <c r="N1789" i="9" s="1"/>
  <c r="D1790" i="9" l="1"/>
  <c r="G1790" i="9" s="1"/>
  <c r="H1790" i="9" s="1"/>
  <c r="J1790" i="9" s="1"/>
  <c r="I1790" i="9" l="1"/>
  <c r="B1791" i="9" s="1"/>
  <c r="K1790" i="9" l="1"/>
  <c r="O1790" i="9" s="1"/>
  <c r="C1791" i="9"/>
  <c r="L1790" i="9" l="1"/>
  <c r="M1790" i="9" s="1"/>
  <c r="N1790" i="9" s="1"/>
  <c r="D1791" i="9"/>
  <c r="G1791" i="9" s="1"/>
  <c r="H1791" i="9" s="1"/>
  <c r="J1791" i="9" s="1"/>
  <c r="I1791" i="9" l="1"/>
  <c r="B1792" i="9" s="1"/>
  <c r="K1791" i="9" l="1"/>
  <c r="O1791" i="9" s="1"/>
  <c r="C1792" i="9"/>
  <c r="L1791" i="9" l="1"/>
  <c r="M1791" i="9" s="1"/>
  <c r="N1791" i="9" s="1"/>
  <c r="D1792" i="9"/>
  <c r="G1792" i="9" s="1"/>
  <c r="H1792" i="9" s="1"/>
  <c r="J1792" i="9" s="1"/>
  <c r="I1792" i="9" l="1"/>
  <c r="K1792" i="9" s="1"/>
  <c r="O1792" i="9" s="1"/>
  <c r="B1793" i="9" l="1"/>
  <c r="C1793" i="9" s="1"/>
  <c r="L1792" i="9"/>
  <c r="M1792" i="9" s="1"/>
  <c r="N1792" i="9" s="1"/>
  <c r="D1793" i="9" l="1"/>
  <c r="G1793" i="9" s="1"/>
  <c r="H1793" i="9" s="1"/>
  <c r="J1793" i="9" s="1"/>
  <c r="I1793" i="9" l="1"/>
  <c r="K1793" i="9" s="1"/>
  <c r="O1793" i="9" s="1"/>
  <c r="B1794" i="9" l="1"/>
  <c r="C1794" i="9" s="1"/>
  <c r="L1793" i="9"/>
  <c r="M1793" i="9" s="1"/>
  <c r="N1793" i="9" s="1"/>
  <c r="D1794" i="9" l="1"/>
  <c r="G1794" i="9" s="1"/>
  <c r="H1794" i="9" s="1"/>
  <c r="J1794" i="9" s="1"/>
  <c r="I1794" i="9" l="1"/>
  <c r="K1794" i="9" s="1"/>
  <c r="O1794" i="9" s="1"/>
  <c r="B1795" i="9" l="1"/>
  <c r="C1795" i="9" s="1"/>
  <c r="L1794" i="9"/>
  <c r="M1794" i="9" s="1"/>
  <c r="N1794" i="9" s="1"/>
  <c r="D1795" i="9" l="1"/>
  <c r="G1795" i="9" s="1"/>
  <c r="H1795" i="9" s="1"/>
  <c r="J1795" i="9" s="1"/>
  <c r="I1795" i="9" l="1"/>
  <c r="K1795" i="9" s="1"/>
  <c r="O1795" i="9" s="1"/>
  <c r="B1796" i="9" l="1"/>
  <c r="C1796" i="9" s="1"/>
  <c r="L1795" i="9"/>
  <c r="M1795" i="9" s="1"/>
  <c r="N1795" i="9" s="1"/>
  <c r="D1796" i="9" l="1"/>
  <c r="G1796" i="9" s="1"/>
  <c r="H1796" i="9" s="1"/>
  <c r="J1796" i="9" s="1"/>
  <c r="I1796" i="9" l="1"/>
  <c r="K1796" i="9" s="1"/>
  <c r="O1796" i="9" s="1"/>
  <c r="B1797" i="9" l="1"/>
  <c r="C1797" i="9" s="1"/>
  <c r="L1796" i="9"/>
  <c r="M1796" i="9" s="1"/>
  <c r="N1796" i="9" s="1"/>
  <c r="D1797" i="9" l="1"/>
  <c r="G1797" i="9" s="1"/>
  <c r="H1797" i="9" s="1"/>
  <c r="J1797" i="9" s="1"/>
  <c r="I1797" i="9" l="1"/>
  <c r="K1797" i="9" s="1"/>
  <c r="O1797" i="9" s="1"/>
  <c r="B1798" i="9" l="1"/>
  <c r="C1798" i="9" s="1"/>
  <c r="L1797" i="9"/>
  <c r="M1797" i="9" s="1"/>
  <c r="N1797" i="9" s="1"/>
  <c r="D1798" i="9" l="1"/>
  <c r="G1798" i="9" s="1"/>
  <c r="H1798" i="9" s="1"/>
  <c r="J1798" i="9" s="1"/>
  <c r="I1798" i="9" l="1"/>
  <c r="B1799" i="9" s="1"/>
  <c r="K1798" i="9" l="1"/>
  <c r="O1798" i="9" s="1"/>
  <c r="C1799" i="9"/>
  <c r="L1798" i="9" l="1"/>
  <c r="M1798" i="9" s="1"/>
  <c r="N1798" i="9" s="1"/>
  <c r="D1799" i="9"/>
  <c r="G1799" i="9" s="1"/>
  <c r="H1799" i="9" s="1"/>
  <c r="J1799" i="9" s="1"/>
  <c r="I1799" i="9" l="1"/>
  <c r="K1799" i="9" s="1"/>
  <c r="O1799" i="9" s="1"/>
  <c r="B1800" i="9" l="1"/>
  <c r="C1800" i="9" s="1"/>
  <c r="L1799" i="9"/>
  <c r="M1799" i="9" s="1"/>
  <c r="N1799" i="9" s="1"/>
  <c r="D1800" i="9" l="1"/>
  <c r="G1800" i="9" s="1"/>
  <c r="H1800" i="9" s="1"/>
  <c r="J1800" i="9" s="1"/>
  <c r="I1800" i="9" l="1"/>
  <c r="K1800" i="9" s="1"/>
  <c r="O1800" i="9" s="1"/>
  <c r="B1801" i="9" l="1"/>
  <c r="C1801" i="9" s="1"/>
  <c r="L1800" i="9"/>
  <c r="M1800" i="9" s="1"/>
  <c r="N1800" i="9" s="1"/>
  <c r="D1801" i="9" l="1"/>
  <c r="G1801" i="9" s="1"/>
  <c r="H1801" i="9" s="1"/>
  <c r="J1801" i="9" s="1"/>
  <c r="I1801" i="9" l="1"/>
  <c r="K1801" i="9" s="1"/>
  <c r="O1801" i="9" s="1"/>
  <c r="B1802" i="9" l="1"/>
  <c r="C1802" i="9" s="1"/>
  <c r="L1801" i="9"/>
  <c r="M1801" i="9" s="1"/>
  <c r="N1801" i="9" s="1"/>
  <c r="D1802" i="9" l="1"/>
  <c r="G1802" i="9" s="1"/>
  <c r="H1802" i="9" s="1"/>
  <c r="J1802" i="9" s="1"/>
  <c r="I1802" i="9" l="1"/>
  <c r="B1803" i="9" s="1"/>
  <c r="K1802" i="9" l="1"/>
  <c r="O1802" i="9" s="1"/>
  <c r="C1803" i="9"/>
  <c r="L1802" i="9" l="1"/>
  <c r="M1802" i="9" s="1"/>
  <c r="N1802" i="9" s="1"/>
  <c r="D1803" i="9"/>
  <c r="G1803" i="9" s="1"/>
  <c r="H1803" i="9" s="1"/>
  <c r="J1803" i="9" s="1"/>
  <c r="I1803" i="9" l="1"/>
  <c r="K1803" i="9" s="1"/>
  <c r="O1803" i="9" s="1"/>
  <c r="B1804" i="9" l="1"/>
  <c r="C1804" i="9" s="1"/>
  <c r="L1803" i="9"/>
  <c r="M1803" i="9" s="1"/>
  <c r="N1803" i="9" s="1"/>
  <c r="D1804" i="9" l="1"/>
  <c r="G1804" i="9" s="1"/>
  <c r="H1804" i="9" s="1"/>
  <c r="J1804" i="9" s="1"/>
  <c r="I1804" i="9" l="1"/>
  <c r="B1805" i="9" s="1"/>
  <c r="K1804" i="9" l="1"/>
  <c r="O1804" i="9" s="1"/>
  <c r="C1805" i="9"/>
  <c r="L1804" i="9" l="1"/>
  <c r="M1804" i="9" s="1"/>
  <c r="N1804" i="9" s="1"/>
  <c r="D1805" i="9"/>
  <c r="G1805" i="9" s="1"/>
  <c r="H1805" i="9" s="1"/>
  <c r="J1805" i="9" s="1"/>
  <c r="I1805" i="9" l="1"/>
  <c r="K1805" i="9" s="1"/>
  <c r="O1805" i="9" s="1"/>
  <c r="B1806" i="9" l="1"/>
  <c r="C1806" i="9" s="1"/>
  <c r="L1805" i="9"/>
  <c r="M1805" i="9" s="1"/>
  <c r="N1805" i="9" s="1"/>
  <c r="D1806" i="9" l="1"/>
  <c r="G1806" i="9" s="1"/>
  <c r="H1806" i="9" s="1"/>
  <c r="J1806" i="9" s="1"/>
  <c r="I1806" i="9" l="1"/>
  <c r="K1806" i="9" s="1"/>
  <c r="O1806" i="9" s="1"/>
  <c r="B1807" i="9" l="1"/>
  <c r="C1807" i="9" s="1"/>
  <c r="L1806" i="9"/>
  <c r="M1806" i="9" s="1"/>
  <c r="N1806" i="9" s="1"/>
  <c r="D1807" i="9" l="1"/>
  <c r="G1807" i="9" s="1"/>
  <c r="H1807" i="9" s="1"/>
  <c r="J1807" i="9" s="1"/>
  <c r="I1807" i="9" l="1"/>
  <c r="B1808" i="9" s="1"/>
  <c r="K1807" i="9" l="1"/>
  <c r="O1807" i="9" s="1"/>
  <c r="L1807" i="9" l="1"/>
  <c r="M1807" i="9" s="1"/>
  <c r="N1807" i="9" s="1"/>
  <c r="C1808" i="9"/>
  <c r="D1808" i="9" l="1"/>
  <c r="G1808" i="9" s="1"/>
  <c r="H1808" i="9" s="1"/>
  <c r="J1808" i="9" s="1"/>
  <c r="I1808" i="9" l="1"/>
  <c r="K1808" i="9" s="1"/>
  <c r="O1808" i="9" s="1"/>
  <c r="L1808" i="9" l="1"/>
  <c r="M1808" i="9" s="1"/>
  <c r="N1808" i="9" s="1"/>
</calcChain>
</file>

<file path=xl/sharedStrings.xml><?xml version="1.0" encoding="utf-8"?>
<sst xmlns="http://schemas.openxmlformats.org/spreadsheetml/2006/main" count="82" uniqueCount="61">
  <si>
    <t>C</t>
  </si>
  <si>
    <t>I</t>
  </si>
  <si>
    <t>time</t>
  </si>
  <si>
    <t>n</t>
  </si>
  <si>
    <t>Ccell</t>
  </si>
  <si>
    <t>E</t>
  </si>
  <si>
    <t>P</t>
  </si>
  <si>
    <t>CE</t>
  </si>
  <si>
    <t>sqrt</t>
  </si>
  <si>
    <t>dE/dt</t>
  </si>
  <si>
    <t>dE/dt*</t>
  </si>
  <si>
    <t>RI</t>
  </si>
  <si>
    <t>Vt</t>
  </si>
  <si>
    <t>E_cell</t>
  </si>
  <si>
    <t>Delta_ t</t>
  </si>
  <si>
    <r>
      <t>E</t>
    </r>
    <r>
      <rPr>
        <vertAlign val="subscript"/>
        <sz val="11"/>
        <color theme="1"/>
        <rFont val="Calibri"/>
        <family val="2"/>
        <scheme val="minor"/>
      </rPr>
      <t>0</t>
    </r>
  </si>
  <si>
    <r>
      <t>R</t>
    </r>
    <r>
      <rPr>
        <vertAlign val="subscript"/>
        <sz val="11"/>
        <color theme="1"/>
        <rFont val="Calibri"/>
        <family val="2"/>
        <scheme val="minor"/>
      </rPr>
      <t>ESR</t>
    </r>
  </si>
  <si>
    <t>Ohms</t>
  </si>
  <si>
    <t>The spreadsheet is based on iterative scheme of calculations which terminate when the supercap voltage reaches 72 volts.</t>
  </si>
  <si>
    <t>The number of supercapacitors cells can be adjusted according to the power demand and required voltage!</t>
  </si>
  <si>
    <r>
      <t>(CE)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</si>
  <si>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2RC</t>
    </r>
    <r>
      <rPr>
        <vertAlign val="superscript"/>
        <sz val="11"/>
        <color theme="1"/>
        <rFont val="Calibri"/>
        <family val="2"/>
        <scheme val="minor"/>
      </rPr>
      <t>2</t>
    </r>
  </si>
  <si>
    <t>under the root</t>
  </si>
  <si>
    <r>
      <t>4RC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</t>
    </r>
  </si>
  <si>
    <r>
      <t>R</t>
    </r>
    <r>
      <rPr>
        <vertAlign val="subscript"/>
        <sz val="11"/>
        <color theme="1"/>
        <rFont val="Calibri"/>
        <family val="2"/>
        <scheme val="minor"/>
      </rPr>
      <t xml:space="preserve">ESR </t>
    </r>
    <r>
      <rPr>
        <sz val="11"/>
        <color theme="1"/>
        <rFont val="Calibri"/>
        <family val="2"/>
        <scheme val="minor"/>
      </rPr>
      <t>for one cell</t>
    </r>
  </si>
  <si>
    <t>Watts</t>
  </si>
  <si>
    <t>Volts</t>
  </si>
  <si>
    <t>seconds</t>
  </si>
  <si>
    <t>Farads</t>
  </si>
  <si>
    <r>
      <t xml:space="preserve">P (kW) </t>
    </r>
    <r>
      <rPr>
        <sz val="10"/>
        <color theme="1"/>
        <rFont val="Calibri"/>
        <family val="2"/>
        <scheme val="minor"/>
      </rPr>
      <t>with Res</t>
    </r>
  </si>
  <si>
    <r>
      <t>P (kW) without</t>
    </r>
    <r>
      <rPr>
        <sz val="10"/>
        <color theme="1"/>
        <rFont val="Calibri"/>
        <family val="2"/>
        <scheme val="minor"/>
      </rPr>
      <t xml:space="preserve"> Resr</t>
    </r>
  </si>
  <si>
    <t>Analytical model</t>
  </si>
  <si>
    <t>MATLAB model</t>
  </si>
  <si>
    <t>Terminal voltages (V)</t>
  </si>
  <si>
    <t>Internal voltages (V)</t>
  </si>
  <si>
    <t>Current (I)</t>
  </si>
  <si>
    <t>Power (kW)</t>
  </si>
  <si>
    <t>Exp</t>
  </si>
  <si>
    <t>MATLAB</t>
  </si>
  <si>
    <t>Non-ideal analytical model comparision with MATLAB model</t>
  </si>
  <si>
    <t>error %</t>
  </si>
  <si>
    <t>https://oa.upm.es/72990/1/72990.pdf</t>
  </si>
  <si>
    <t>Validation with experimental data from "New Parameter Identification Method for Supercapacitor Model" research paper experimental data taken from figure 8</t>
  </si>
  <si>
    <t>Two branch model validation with experimental data from MATLAB script code data</t>
  </si>
  <si>
    <t>Experimental data</t>
  </si>
  <si>
    <t>Matlab data terminal Voltage</t>
  </si>
  <si>
    <t>Non-ideal model validation with experimental data from MATLAB script code data</t>
  </si>
  <si>
    <t>Expermental data</t>
  </si>
  <si>
    <t>matlab terminal voltage</t>
  </si>
  <si>
    <t>Error</t>
  </si>
  <si>
    <t>t</t>
  </si>
  <si>
    <t>Vexp</t>
  </si>
  <si>
    <t>Vterminal</t>
  </si>
  <si>
    <t>v</t>
  </si>
  <si>
    <t>error%</t>
  </si>
  <si>
    <t>Find publication here</t>
  </si>
  <si>
    <t>experimental</t>
  </si>
  <si>
    <t>non-ideal</t>
  </si>
  <si>
    <t>two branch</t>
  </si>
  <si>
    <t>from figure 8</t>
  </si>
  <si>
    <t>Validation of experimental vs non-ideal vs two branch model validation with experimental data from MATLAB script code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</si>
</sst>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4" xfId="0" applyBorder="1"/>
    <xf numFmtId="0" fontId="7" fillId="0" borderId="0" xfId="1"/>
    <xf numFmtId="0" fontId="11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7" borderId="0" xfId="0" applyFill="1" applyAlignment="1">
      <alignment horizontal="left" vertical="center"/>
    </xf>
    <xf numFmtId="11" fontId="0" fillId="7" borderId="0" xfId="0" applyNumberForma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7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300" b="1">
                <a:solidFill>
                  <a:sysClr val="windowText" lastClr="000000"/>
                </a:solidFill>
              </a:rPr>
              <a:t>Supercapacitor</a:t>
            </a:r>
            <a:r>
              <a:rPr lang="en-IN" sz="1300" b="1" baseline="0">
                <a:solidFill>
                  <a:sysClr val="windowText" lastClr="000000"/>
                </a:solidFill>
              </a:rPr>
              <a:t> </a:t>
            </a:r>
            <a:r>
              <a:rPr lang="en-IN" sz="1300" b="1">
                <a:solidFill>
                  <a:sysClr val="windowText" lastClr="000000"/>
                </a:solidFill>
              </a:rPr>
              <a:t>Current </a:t>
            </a:r>
          </a:p>
        </c:rich>
      </c:tx>
      <c:layout>
        <c:manualLayout>
          <c:xMode val="edge"/>
          <c:yMode val="edge"/>
          <c:x val="0.31569007726793413"/>
          <c:y val="5.0595272816909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8571601824503"/>
          <c:y val="0.17727143574873408"/>
          <c:w val="0.8180287735180034"/>
          <c:h val="0.6439596791341212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'Non-ideal model'!$A$8:$A$1808</c:f>
              <c:numCache>
                <c:formatCode>0.0000</c:formatCode>
                <c:ptCount val="1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</c:numCache>
            </c:numRef>
          </c:xVal>
          <c:yVal>
            <c:numRef>
              <c:f>'Non-ideal model'!$K$8:$K$1808</c:f>
              <c:numCache>
                <c:formatCode>0.00</c:formatCode>
                <c:ptCount val="1801"/>
                <c:pt idx="0">
                  <c:v>148.12283249894529</c:v>
                </c:pt>
                <c:pt idx="1">
                  <c:v>148.15783324741483</c:v>
                </c:pt>
                <c:pt idx="2">
                  <c:v>148.19285945123954</c:v>
                </c:pt>
                <c:pt idx="3">
                  <c:v>148.22791114175368</c:v>
                </c:pt>
                <c:pt idx="4">
                  <c:v>148.26298835034638</c:v>
                </c:pt>
                <c:pt idx="5">
                  <c:v>148.29809110846088</c:v>
                </c:pt>
                <c:pt idx="6">
                  <c:v>148.33321944759626</c:v>
                </c:pt>
                <c:pt idx="7">
                  <c:v>148.36837339930531</c:v>
                </c:pt>
                <c:pt idx="8">
                  <c:v>148.40355299519712</c:v>
                </c:pt>
                <c:pt idx="9">
                  <c:v>148.43875826693505</c:v>
                </c:pt>
                <c:pt idx="10">
                  <c:v>148.4739892462386</c:v>
                </c:pt>
                <c:pt idx="11">
                  <c:v>148.50924596488218</c:v>
                </c:pt>
                <c:pt idx="12">
                  <c:v>148.54452845469567</c:v>
                </c:pt>
                <c:pt idx="13">
                  <c:v>148.57983674756545</c:v>
                </c:pt>
                <c:pt idx="14">
                  <c:v>148.61517087543257</c:v>
                </c:pt>
                <c:pt idx="15">
                  <c:v>148.65053087029551</c:v>
                </c:pt>
                <c:pt idx="16">
                  <c:v>148.68591676420718</c:v>
                </c:pt>
                <c:pt idx="17">
                  <c:v>148.72132858927836</c:v>
                </c:pt>
                <c:pt idx="18">
                  <c:v>148.75676637767486</c:v>
                </c:pt>
                <c:pt idx="19">
                  <c:v>148.79223016161978</c:v>
                </c:pt>
                <c:pt idx="20">
                  <c:v>148.82771997339253</c:v>
                </c:pt>
                <c:pt idx="21">
                  <c:v>148.86323584532906</c:v>
                </c:pt>
                <c:pt idx="22">
                  <c:v>148.89877780982309</c:v>
                </c:pt>
                <c:pt idx="23">
                  <c:v>148.93434589932363</c:v>
                </c:pt>
                <c:pt idx="24">
                  <c:v>148.9699401463387</c:v>
                </c:pt>
                <c:pt idx="25">
                  <c:v>149.00556058343241</c:v>
                </c:pt>
                <c:pt idx="26">
                  <c:v>149.04120724322669</c:v>
                </c:pt>
                <c:pt idx="27">
                  <c:v>149.07688015840074</c:v>
                </c:pt>
                <c:pt idx="28">
                  <c:v>149.11257936169136</c:v>
                </c:pt>
                <c:pt idx="29">
                  <c:v>149.14830488589396</c:v>
                </c:pt>
                <c:pt idx="30">
                  <c:v>149.18405676386064</c:v>
                </c:pt>
                <c:pt idx="31">
                  <c:v>149.21983502850222</c:v>
                </c:pt>
                <c:pt idx="32">
                  <c:v>149.25563971278785</c:v>
                </c:pt>
                <c:pt idx="33">
                  <c:v>149.29147084974431</c:v>
                </c:pt>
                <c:pt idx="34">
                  <c:v>149.32732847245785</c:v>
                </c:pt>
                <c:pt idx="35">
                  <c:v>149.36321261407215</c:v>
                </c:pt>
                <c:pt idx="36">
                  <c:v>149.39912330779089</c:v>
                </c:pt>
                <c:pt idx="37">
                  <c:v>149.43506058687515</c:v>
                </c:pt>
                <c:pt idx="38">
                  <c:v>149.47102448464611</c:v>
                </c:pt>
                <c:pt idx="39">
                  <c:v>149.50701503448335</c:v>
                </c:pt>
                <c:pt idx="40">
                  <c:v>149.54303226982682</c:v>
                </c:pt>
                <c:pt idx="41">
                  <c:v>149.57907622417429</c:v>
                </c:pt>
                <c:pt idx="42">
                  <c:v>149.61514693108467</c:v>
                </c:pt>
                <c:pt idx="43">
                  <c:v>149.65124442417473</c:v>
                </c:pt>
                <c:pt idx="44">
                  <c:v>149.68736873712277</c:v>
                </c:pt>
                <c:pt idx="45">
                  <c:v>149.72351990366627</c:v>
                </c:pt>
                <c:pt idx="46">
                  <c:v>149.75969795760247</c:v>
                </c:pt>
                <c:pt idx="47">
                  <c:v>149.79590293278983</c:v>
                </c:pt>
                <c:pt idx="48">
                  <c:v>149.83213486314608</c:v>
                </c:pt>
                <c:pt idx="49">
                  <c:v>149.8683937826498</c:v>
                </c:pt>
                <c:pt idx="50">
                  <c:v>149.90467972534051</c:v>
                </c:pt>
                <c:pt idx="51">
                  <c:v>149.94099272531869</c:v>
                </c:pt>
                <c:pt idx="52">
                  <c:v>149.97733281674482</c:v>
                </c:pt>
                <c:pt idx="53">
                  <c:v>150.01370003384116</c:v>
                </c:pt>
                <c:pt idx="54">
                  <c:v>150.05009441089118</c:v>
                </c:pt>
                <c:pt idx="55">
                  <c:v>150.08651598223926</c:v>
                </c:pt>
                <c:pt idx="56">
                  <c:v>150.12296478229177</c:v>
                </c:pt>
                <c:pt idx="57">
                  <c:v>150.15944084551637</c:v>
                </c:pt>
                <c:pt idx="58">
                  <c:v>150.19594420644236</c:v>
                </c:pt>
                <c:pt idx="59">
                  <c:v>150.23247489966175</c:v>
                </c:pt>
                <c:pt idx="60">
                  <c:v>150.26903295982768</c:v>
                </c:pt>
                <c:pt idx="61">
                  <c:v>150.30561842165585</c:v>
                </c:pt>
                <c:pt idx="62">
                  <c:v>150.34223131992439</c:v>
                </c:pt>
                <c:pt idx="63">
                  <c:v>150.37887168947395</c:v>
                </c:pt>
                <c:pt idx="64">
                  <c:v>150.41553956520778</c:v>
                </c:pt>
                <c:pt idx="65">
                  <c:v>150.45223498209174</c:v>
                </c:pt>
                <c:pt idx="66">
                  <c:v>150.48895797515485</c:v>
                </c:pt>
                <c:pt idx="67">
                  <c:v>150.52570857948902</c:v>
                </c:pt>
                <c:pt idx="68">
                  <c:v>150.5624868302493</c:v>
                </c:pt>
                <c:pt idx="69">
                  <c:v>150.59929276265501</c:v>
                </c:pt>
                <c:pt idx="70">
                  <c:v>150.63612641198756</c:v>
                </c:pt>
                <c:pt idx="71">
                  <c:v>150.67298781359318</c:v>
                </c:pt>
                <c:pt idx="72">
                  <c:v>150.7098770028812</c:v>
                </c:pt>
                <c:pt idx="73">
                  <c:v>150.74679401532561</c:v>
                </c:pt>
                <c:pt idx="74">
                  <c:v>150.78373888646377</c:v>
                </c:pt>
                <c:pt idx="75">
                  <c:v>150.82071165189791</c:v>
                </c:pt>
                <c:pt idx="76">
                  <c:v>150.85771234729424</c:v>
                </c:pt>
                <c:pt idx="77">
                  <c:v>150.89474100838385</c:v>
                </c:pt>
                <c:pt idx="78">
                  <c:v>150.93179767096268</c:v>
                </c:pt>
                <c:pt idx="79">
                  <c:v>150.96888237089087</c:v>
                </c:pt>
                <c:pt idx="80">
                  <c:v>151.00599514409436</c:v>
                </c:pt>
                <c:pt idx="81">
                  <c:v>151.0431360265641</c:v>
                </c:pt>
                <c:pt idx="82">
                  <c:v>151.08030505435599</c:v>
                </c:pt>
                <c:pt idx="83">
                  <c:v>151.11750226359183</c:v>
                </c:pt>
                <c:pt idx="84">
                  <c:v>151.15472769045883</c:v>
                </c:pt>
                <c:pt idx="85">
                  <c:v>151.19198137120964</c:v>
                </c:pt>
                <c:pt idx="86">
                  <c:v>151.22926334216396</c:v>
                </c:pt>
                <c:pt idx="87">
                  <c:v>151.26657363970634</c:v>
                </c:pt>
                <c:pt idx="88">
                  <c:v>151.303912300289</c:v>
                </c:pt>
                <c:pt idx="89">
                  <c:v>151.34127936042904</c:v>
                </c:pt>
                <c:pt idx="90">
                  <c:v>151.37867485671109</c:v>
                </c:pt>
                <c:pt idx="91">
                  <c:v>151.41609882578615</c:v>
                </c:pt>
                <c:pt idx="92">
                  <c:v>151.45355130437252</c:v>
                </c:pt>
                <c:pt idx="93">
                  <c:v>151.49103232925535</c:v>
                </c:pt>
                <c:pt idx="94">
                  <c:v>151.52854193728658</c:v>
                </c:pt>
                <c:pt idx="95">
                  <c:v>151.56608016538604</c:v>
                </c:pt>
                <c:pt idx="96">
                  <c:v>151.6036470505413</c:v>
                </c:pt>
                <c:pt idx="97">
                  <c:v>151.64124262980667</c:v>
                </c:pt>
                <c:pt idx="98">
                  <c:v>151.67886694030526</c:v>
                </c:pt>
                <c:pt idx="99">
                  <c:v>151.7165200192278</c:v>
                </c:pt>
                <c:pt idx="100">
                  <c:v>151.75420190383275</c:v>
                </c:pt>
                <c:pt idx="101">
                  <c:v>151.79191263144833</c:v>
                </c:pt>
                <c:pt idx="102">
                  <c:v>151.82965223946943</c:v>
                </c:pt>
                <c:pt idx="103">
                  <c:v>151.86742076536106</c:v>
                </c:pt>
                <c:pt idx="104">
                  <c:v>151.90521824665612</c:v>
                </c:pt>
                <c:pt idx="105">
                  <c:v>151.94304472095689</c:v>
                </c:pt>
                <c:pt idx="106">
                  <c:v>151.98090022593502</c:v>
                </c:pt>
                <c:pt idx="107">
                  <c:v>152.01878479933112</c:v>
                </c:pt>
                <c:pt idx="108">
                  <c:v>152.05669847895547</c:v>
                </c:pt>
                <c:pt idx="109">
                  <c:v>152.09464130268773</c:v>
                </c:pt>
                <c:pt idx="110">
                  <c:v>152.13261330847763</c:v>
                </c:pt>
                <c:pt idx="111">
                  <c:v>152.17061453434462</c:v>
                </c:pt>
                <c:pt idx="112">
                  <c:v>152.20864501837912</c:v>
                </c:pt>
                <c:pt idx="113">
                  <c:v>152.24670479874086</c:v>
                </c:pt>
                <c:pt idx="114">
                  <c:v>152.28479391366034</c:v>
                </c:pt>
                <c:pt idx="115">
                  <c:v>152.3229124014394</c:v>
                </c:pt>
                <c:pt idx="116">
                  <c:v>152.3610603004494</c:v>
                </c:pt>
                <c:pt idx="117">
                  <c:v>152.39923764913394</c:v>
                </c:pt>
                <c:pt idx="118">
                  <c:v>152.43744448600697</c:v>
                </c:pt>
                <c:pt idx="119">
                  <c:v>152.47568084965417</c:v>
                </c:pt>
                <c:pt idx="120">
                  <c:v>152.51394677873293</c:v>
                </c:pt>
                <c:pt idx="121">
                  <c:v>152.55224231197175</c:v>
                </c:pt>
                <c:pt idx="122">
                  <c:v>152.59056748817153</c:v>
                </c:pt>
                <c:pt idx="123">
                  <c:v>152.62892234620472</c:v>
                </c:pt>
                <c:pt idx="124">
                  <c:v>152.66730692501625</c:v>
                </c:pt>
                <c:pt idx="125">
                  <c:v>152.70572126362313</c:v>
                </c:pt>
                <c:pt idx="126">
                  <c:v>152.74416540111542</c:v>
                </c:pt>
                <c:pt idx="127">
                  <c:v>152.78263937665557</c:v>
                </c:pt>
                <c:pt idx="128">
                  <c:v>152.82114322947896</c:v>
                </c:pt>
                <c:pt idx="129">
                  <c:v>152.85967699889437</c:v>
                </c:pt>
                <c:pt idx="130">
                  <c:v>152.89824072428311</c:v>
                </c:pt>
                <c:pt idx="131">
                  <c:v>152.93683444510049</c:v>
                </c:pt>
                <c:pt idx="132">
                  <c:v>152.97545820087552</c:v>
                </c:pt>
                <c:pt idx="133">
                  <c:v>153.01411203121026</c:v>
                </c:pt>
                <c:pt idx="134">
                  <c:v>153.05279597578166</c:v>
                </c:pt>
                <c:pt idx="135">
                  <c:v>153.09151007433999</c:v>
                </c:pt>
                <c:pt idx="136">
                  <c:v>153.13025436671077</c:v>
                </c:pt>
                <c:pt idx="137">
                  <c:v>153.16902889279297</c:v>
                </c:pt>
                <c:pt idx="138">
                  <c:v>153.20783369256088</c:v>
                </c:pt>
                <c:pt idx="139">
                  <c:v>153.2466688060637</c:v>
                </c:pt>
                <c:pt idx="140">
                  <c:v>153.28553427342555</c:v>
                </c:pt>
                <c:pt idx="141">
                  <c:v>153.32443013484533</c:v>
                </c:pt>
                <c:pt idx="142">
                  <c:v>153.36335643059815</c:v>
                </c:pt>
                <c:pt idx="143">
                  <c:v>153.40231320103391</c:v>
                </c:pt>
                <c:pt idx="144">
                  <c:v>153.44130048657931</c:v>
                </c:pt>
                <c:pt idx="145">
                  <c:v>153.4803183277358</c:v>
                </c:pt>
                <c:pt idx="146">
                  <c:v>153.51936676508171</c:v>
                </c:pt>
                <c:pt idx="147">
                  <c:v>153.5584458392718</c:v>
                </c:pt>
                <c:pt idx="148">
                  <c:v>153.59755559103701</c:v>
                </c:pt>
                <c:pt idx="149">
                  <c:v>153.63669606118512</c:v>
                </c:pt>
                <c:pt idx="150">
                  <c:v>153.67586729060065</c:v>
                </c:pt>
                <c:pt idx="151">
                  <c:v>153.71506932024542</c:v>
                </c:pt>
                <c:pt idx="152">
                  <c:v>153.75430219115842</c:v>
                </c:pt>
                <c:pt idx="153">
                  <c:v>153.79356594445611</c:v>
                </c:pt>
                <c:pt idx="154">
                  <c:v>153.83286062133269</c:v>
                </c:pt>
                <c:pt idx="155">
                  <c:v>153.87218626306012</c:v>
                </c:pt>
                <c:pt idx="156">
                  <c:v>153.91154291098815</c:v>
                </c:pt>
                <c:pt idx="157">
                  <c:v>153.9509306065454</c:v>
                </c:pt>
                <c:pt idx="158">
                  <c:v>153.99034939123817</c:v>
                </c:pt>
                <c:pt idx="159">
                  <c:v>154.0297993066518</c:v>
                </c:pt>
                <c:pt idx="160">
                  <c:v>154.06928039445032</c:v>
                </c:pt>
                <c:pt idx="161">
                  <c:v>154.10879269637678</c:v>
                </c:pt>
                <c:pt idx="162">
                  <c:v>154.14833625425302</c:v>
                </c:pt>
                <c:pt idx="163">
                  <c:v>154.18791110998154</c:v>
                </c:pt>
                <c:pt idx="164">
                  <c:v>154.22751730554251</c:v>
                </c:pt>
                <c:pt idx="165">
                  <c:v>154.26715488299749</c:v>
                </c:pt>
                <c:pt idx="166">
                  <c:v>154.30682388448759</c:v>
                </c:pt>
                <c:pt idx="167">
                  <c:v>154.34652435223325</c:v>
                </c:pt>
                <c:pt idx="168">
                  <c:v>154.38625632853638</c:v>
                </c:pt>
                <c:pt idx="169">
                  <c:v>154.42601985577889</c:v>
                </c:pt>
                <c:pt idx="170">
                  <c:v>154.46581497642316</c:v>
                </c:pt>
                <c:pt idx="171">
                  <c:v>154.50564173301399</c:v>
                </c:pt>
                <c:pt idx="172">
                  <c:v>154.54550016817518</c:v>
                </c:pt>
                <c:pt idx="173">
                  <c:v>154.58539032461374</c:v>
                </c:pt>
                <c:pt idx="174">
                  <c:v>154.6253122451171</c:v>
                </c:pt>
                <c:pt idx="175">
                  <c:v>154.66526597255506</c:v>
                </c:pt>
                <c:pt idx="176">
                  <c:v>154.70525154987968</c:v>
                </c:pt>
                <c:pt idx="177">
                  <c:v>154.74526902012371</c:v>
                </c:pt>
                <c:pt idx="178">
                  <c:v>154.78531842640405</c:v>
                </c:pt>
                <c:pt idx="179">
                  <c:v>154.82539981191911</c:v>
                </c:pt>
                <c:pt idx="180">
                  <c:v>154.86551321995074</c:v>
                </c:pt>
                <c:pt idx="181">
                  <c:v>154.90565869386299</c:v>
                </c:pt>
                <c:pt idx="182">
                  <c:v>154.94583627710395</c:v>
                </c:pt>
                <c:pt idx="183">
                  <c:v>154.98604601320474</c:v>
                </c:pt>
                <c:pt idx="184">
                  <c:v>155.02628794577979</c:v>
                </c:pt>
                <c:pt idx="185">
                  <c:v>155.06656211852808</c:v>
                </c:pt>
                <c:pt idx="186">
                  <c:v>155.10686857523194</c:v>
                </c:pt>
                <c:pt idx="187">
                  <c:v>155.14720735975828</c:v>
                </c:pt>
                <c:pt idx="188">
                  <c:v>155.18757851605807</c:v>
                </c:pt>
                <c:pt idx="189">
                  <c:v>155.22798208816803</c:v>
                </c:pt>
                <c:pt idx="190">
                  <c:v>155.26841812020817</c:v>
                </c:pt>
                <c:pt idx="191">
                  <c:v>155.30888665638497</c:v>
                </c:pt>
                <c:pt idx="192">
                  <c:v>155.3493877409895</c:v>
                </c:pt>
                <c:pt idx="193">
                  <c:v>155.38992141839825</c:v>
                </c:pt>
                <c:pt idx="194">
                  <c:v>155.43048773307439</c:v>
                </c:pt>
                <c:pt idx="195">
                  <c:v>155.47108672956566</c:v>
                </c:pt>
                <c:pt idx="196">
                  <c:v>155.51171845250673</c:v>
                </c:pt>
                <c:pt idx="197">
                  <c:v>155.55238294661879</c:v>
                </c:pt>
                <c:pt idx="198">
                  <c:v>155.59308025670921</c:v>
                </c:pt>
                <c:pt idx="199">
                  <c:v>155.63381042767239</c:v>
                </c:pt>
                <c:pt idx="200">
                  <c:v>155.67457350449016</c:v>
                </c:pt>
                <c:pt idx="201">
                  <c:v>155.7153695322302</c:v>
                </c:pt>
                <c:pt idx="202">
                  <c:v>155.75619855604955</c:v>
                </c:pt>
                <c:pt idx="203">
                  <c:v>155.79706062119135</c:v>
                </c:pt>
                <c:pt idx="204">
                  <c:v>155.8379557729877</c:v>
                </c:pt>
                <c:pt idx="205">
                  <c:v>155.87888405685806</c:v>
                </c:pt>
                <c:pt idx="206">
                  <c:v>155.91984551831084</c:v>
                </c:pt>
                <c:pt idx="207">
                  <c:v>155.96084020294313</c:v>
                </c:pt>
                <c:pt idx="208">
                  <c:v>156.00186815644</c:v>
                </c:pt>
                <c:pt idx="209">
                  <c:v>156.04292942457593</c:v>
                </c:pt>
                <c:pt idx="210">
                  <c:v>156.08402405321556</c:v>
                </c:pt>
                <c:pt idx="211">
                  <c:v>156.12515208831107</c:v>
                </c:pt>
                <c:pt idx="212">
                  <c:v>156.16631357590626</c:v>
                </c:pt>
                <c:pt idx="213">
                  <c:v>156.20750856213382</c:v>
                </c:pt>
                <c:pt idx="214">
                  <c:v>156.24873709321682</c:v>
                </c:pt>
                <c:pt idx="215">
                  <c:v>156.28999921546909</c:v>
                </c:pt>
                <c:pt idx="216">
                  <c:v>156.33129497529421</c:v>
                </c:pt>
                <c:pt idx="217">
                  <c:v>156.37262441918728</c:v>
                </c:pt>
                <c:pt idx="218">
                  <c:v>156.41398759373436</c:v>
                </c:pt>
                <c:pt idx="219">
                  <c:v>156.45538454561273</c:v>
                </c:pt>
                <c:pt idx="220">
                  <c:v>156.4968153215915</c:v>
                </c:pt>
                <c:pt idx="221">
                  <c:v>156.53827996853093</c:v>
                </c:pt>
                <c:pt idx="222">
                  <c:v>156.57977853338403</c:v>
                </c:pt>
                <c:pt idx="223">
                  <c:v>156.62131106319546</c:v>
                </c:pt>
                <c:pt idx="224">
                  <c:v>156.66287760510235</c:v>
                </c:pt>
                <c:pt idx="225">
                  <c:v>156.70447820633501</c:v>
                </c:pt>
                <c:pt idx="226">
                  <c:v>156.74611291421661</c:v>
                </c:pt>
                <c:pt idx="227">
                  <c:v>156.78778177616329</c:v>
                </c:pt>
                <c:pt idx="228">
                  <c:v>156.82948483968431</c:v>
                </c:pt>
                <c:pt idx="229">
                  <c:v>156.8712221523833</c:v>
                </c:pt>
                <c:pt idx="230">
                  <c:v>156.91299376195769</c:v>
                </c:pt>
                <c:pt idx="231">
                  <c:v>156.95479971619835</c:v>
                </c:pt>
                <c:pt idx="232">
                  <c:v>156.99664006299091</c:v>
                </c:pt>
                <c:pt idx="233">
                  <c:v>157.0385148503164</c:v>
                </c:pt>
                <c:pt idx="234">
                  <c:v>157.08042412624911</c:v>
                </c:pt>
                <c:pt idx="235">
                  <c:v>157.12236793896028</c:v>
                </c:pt>
                <c:pt idx="236">
                  <c:v>157.16434633671491</c:v>
                </c:pt>
                <c:pt idx="237">
                  <c:v>157.2063593678748</c:v>
                </c:pt>
                <c:pt idx="238">
                  <c:v>157.24840708089661</c:v>
                </c:pt>
                <c:pt idx="239">
                  <c:v>157.2904895243334</c:v>
                </c:pt>
                <c:pt idx="240">
                  <c:v>157.33260674683549</c:v>
                </c:pt>
                <c:pt idx="241">
                  <c:v>157.3747587971487</c:v>
                </c:pt>
                <c:pt idx="242">
                  <c:v>157.41694572411578</c:v>
                </c:pt>
                <c:pt idx="243">
                  <c:v>157.45916757667706</c:v>
                </c:pt>
                <c:pt idx="244">
                  <c:v>157.50142440386998</c:v>
                </c:pt>
                <c:pt idx="245">
                  <c:v>157.54371625482918</c:v>
                </c:pt>
                <c:pt idx="246">
                  <c:v>157.58604317878809</c:v>
                </c:pt>
                <c:pt idx="247">
                  <c:v>157.6284052250775</c:v>
                </c:pt>
                <c:pt idx="248">
                  <c:v>157.67080244312623</c:v>
                </c:pt>
                <c:pt idx="249">
                  <c:v>157.7132348824627</c:v>
                </c:pt>
                <c:pt idx="250">
                  <c:v>157.75570259271308</c:v>
                </c:pt>
                <c:pt idx="251">
                  <c:v>157.79820562360396</c:v>
                </c:pt>
                <c:pt idx="252">
                  <c:v>157.84074402496023</c:v>
                </c:pt>
                <c:pt idx="253">
                  <c:v>157.88331784670669</c:v>
                </c:pt>
                <c:pt idx="254">
                  <c:v>157.92592713886805</c:v>
                </c:pt>
                <c:pt idx="255">
                  <c:v>157.96857195156952</c:v>
                </c:pt>
                <c:pt idx="256">
                  <c:v>158.01125233503606</c:v>
                </c:pt>
                <c:pt idx="257">
                  <c:v>158.05396833959384</c:v>
                </c:pt>
                <c:pt idx="258">
                  <c:v>158.09672001566983</c:v>
                </c:pt>
                <c:pt idx="259">
                  <c:v>158.1395074137921</c:v>
                </c:pt>
                <c:pt idx="260">
                  <c:v>158.18233058459001</c:v>
                </c:pt>
                <c:pt idx="261">
                  <c:v>158.22518957879487</c:v>
                </c:pt>
                <c:pt idx="262">
                  <c:v>158.26808444724011</c:v>
                </c:pt>
                <c:pt idx="263">
                  <c:v>158.31101524086108</c:v>
                </c:pt>
                <c:pt idx="264">
                  <c:v>158.3539820106962</c:v>
                </c:pt>
                <c:pt idx="265">
                  <c:v>158.39698480788596</c:v>
                </c:pt>
                <c:pt idx="266">
                  <c:v>158.44002368367396</c:v>
                </c:pt>
                <c:pt idx="267">
                  <c:v>158.48309868940791</c:v>
                </c:pt>
                <c:pt idx="268">
                  <c:v>158.52620987653853</c:v>
                </c:pt>
                <c:pt idx="269">
                  <c:v>158.56935729662013</c:v>
                </c:pt>
                <c:pt idx="270">
                  <c:v>158.61254100131205</c:v>
                </c:pt>
                <c:pt idx="271">
                  <c:v>158.65576104237712</c:v>
                </c:pt>
                <c:pt idx="272">
                  <c:v>158.69901747168325</c:v>
                </c:pt>
                <c:pt idx="273">
                  <c:v>158.74231034120353</c:v>
                </c:pt>
                <c:pt idx="274">
                  <c:v>158.78563970301585</c:v>
                </c:pt>
                <c:pt idx="275">
                  <c:v>158.82900560930378</c:v>
                </c:pt>
                <c:pt idx="276">
                  <c:v>158.87240811235719</c:v>
                </c:pt>
                <c:pt idx="277">
                  <c:v>158.91584726457103</c:v>
                </c:pt>
                <c:pt idx="278">
                  <c:v>158.95932311844766</c:v>
                </c:pt>
                <c:pt idx="279">
                  <c:v>159.00283572659478</c:v>
                </c:pt>
                <c:pt idx="280">
                  <c:v>159.04638514172836</c:v>
                </c:pt>
                <c:pt idx="281">
                  <c:v>159.08997141667069</c:v>
                </c:pt>
                <c:pt idx="282">
                  <c:v>159.13359460435203</c:v>
                </c:pt>
                <c:pt idx="283">
                  <c:v>159.17725475781</c:v>
                </c:pt>
                <c:pt idx="284">
                  <c:v>159.22095193019052</c:v>
                </c:pt>
                <c:pt idx="285">
                  <c:v>159.26468617474794</c:v>
                </c:pt>
                <c:pt idx="286">
                  <c:v>159.30845754484477</c:v>
                </c:pt>
                <c:pt idx="287">
                  <c:v>159.35226609395238</c:v>
                </c:pt>
                <c:pt idx="288">
                  <c:v>159.39611187565262</c:v>
                </c:pt>
                <c:pt idx="289">
                  <c:v>159.43999494363484</c:v>
                </c:pt>
                <c:pt idx="290">
                  <c:v>159.48391535169964</c:v>
                </c:pt>
                <c:pt idx="291">
                  <c:v>159.52787315375724</c:v>
                </c:pt>
                <c:pt idx="292">
                  <c:v>159.57186840382832</c:v>
                </c:pt>
                <c:pt idx="293">
                  <c:v>159.61590115604352</c:v>
                </c:pt>
                <c:pt idx="294">
                  <c:v>159.65997146464576</c:v>
                </c:pt>
                <c:pt idx="295">
                  <c:v>159.70407938398802</c:v>
                </c:pt>
                <c:pt idx="296">
                  <c:v>159.74822496853531</c:v>
                </c:pt>
                <c:pt idx="297">
                  <c:v>159.79240827286398</c:v>
                </c:pt>
                <c:pt idx="298">
                  <c:v>159.83662935166365</c:v>
                </c:pt>
                <c:pt idx="299">
                  <c:v>159.88088825973497</c:v>
                </c:pt>
                <c:pt idx="300">
                  <c:v>159.92518505199237</c:v>
                </c:pt>
                <c:pt idx="301">
                  <c:v>159.9695197834628</c:v>
                </c:pt>
                <c:pt idx="302">
                  <c:v>160.01389250928688</c:v>
                </c:pt>
                <c:pt idx="303">
                  <c:v>160.05830328471836</c:v>
                </c:pt>
                <c:pt idx="304">
                  <c:v>160.10275216512534</c:v>
                </c:pt>
                <c:pt idx="305">
                  <c:v>160.14723920599027</c:v>
                </c:pt>
                <c:pt idx="306">
                  <c:v>160.19176446290948</c:v>
                </c:pt>
                <c:pt idx="307">
                  <c:v>160.23632799159503</c:v>
                </c:pt>
                <c:pt idx="308">
                  <c:v>160.28092984787338</c:v>
                </c:pt>
                <c:pt idx="309">
                  <c:v>160.32557008768717</c:v>
                </c:pt>
                <c:pt idx="310">
                  <c:v>160.3702487670941</c:v>
                </c:pt>
                <c:pt idx="311">
                  <c:v>160.41496594226871</c:v>
                </c:pt>
                <c:pt idx="312">
                  <c:v>160.45972166950133</c:v>
                </c:pt>
                <c:pt idx="313">
                  <c:v>160.50451600519921</c:v>
                </c:pt>
                <c:pt idx="314">
                  <c:v>160.54934900588688</c:v>
                </c:pt>
                <c:pt idx="315">
                  <c:v>160.59422072820595</c:v>
                </c:pt>
                <c:pt idx="316">
                  <c:v>160.63913122891591</c:v>
                </c:pt>
                <c:pt idx="317">
                  <c:v>160.68408056489352</c:v>
                </c:pt>
                <c:pt idx="318">
                  <c:v>160.72906879313524</c:v>
                </c:pt>
                <c:pt idx="319">
                  <c:v>160.77409597075481</c:v>
                </c:pt>
                <c:pt idx="320">
                  <c:v>160.81916215498555</c:v>
                </c:pt>
                <c:pt idx="321">
                  <c:v>160.86426740318004</c:v>
                </c:pt>
                <c:pt idx="322">
                  <c:v>160.90941177281024</c:v>
                </c:pt>
                <c:pt idx="323">
                  <c:v>160.95459532146825</c:v>
                </c:pt>
                <c:pt idx="324">
                  <c:v>160.99981810686592</c:v>
                </c:pt>
                <c:pt idx="325">
                  <c:v>161.04508018683654</c:v>
                </c:pt>
                <c:pt idx="326">
                  <c:v>161.09038161933339</c:v>
                </c:pt>
                <c:pt idx="327">
                  <c:v>161.13572246243163</c:v>
                </c:pt>
                <c:pt idx="328">
                  <c:v>161.18110277432743</c:v>
                </c:pt>
                <c:pt idx="329">
                  <c:v>161.22652261333934</c:v>
                </c:pt>
                <c:pt idx="330">
                  <c:v>161.27198203790743</c:v>
                </c:pt>
                <c:pt idx="331">
                  <c:v>161.31748110659558</c:v>
                </c:pt>
                <c:pt idx="332">
                  <c:v>161.36301987808898</c:v>
                </c:pt>
                <c:pt idx="333">
                  <c:v>161.40859841119709</c:v>
                </c:pt>
                <c:pt idx="334">
                  <c:v>161.45421676485236</c:v>
                </c:pt>
                <c:pt idx="335">
                  <c:v>161.49987499811184</c:v>
                </c:pt>
                <c:pt idx="336">
                  <c:v>161.54557317015588</c:v>
                </c:pt>
                <c:pt idx="337">
                  <c:v>161.59131134029002</c:v>
                </c:pt>
                <c:pt idx="338">
                  <c:v>161.6370895679444</c:v>
                </c:pt>
                <c:pt idx="339">
                  <c:v>161.68290791267486</c:v>
                </c:pt>
                <c:pt idx="340">
                  <c:v>161.72876643416228</c:v>
                </c:pt>
                <c:pt idx="341">
                  <c:v>161.77466519221346</c:v>
                </c:pt>
                <c:pt idx="342">
                  <c:v>161.82060424676166</c:v>
                </c:pt>
                <c:pt idx="343">
                  <c:v>161.86658365786741</c:v>
                </c:pt>
                <c:pt idx="344">
                  <c:v>161.91260348571711</c:v>
                </c:pt>
                <c:pt idx="345">
                  <c:v>161.95866379062491</c:v>
                </c:pt>
                <c:pt idx="346">
                  <c:v>162.00476463303281</c:v>
                </c:pt>
                <c:pt idx="347">
                  <c:v>162.05090607351073</c:v>
                </c:pt>
                <c:pt idx="348">
                  <c:v>162.09708817275668</c:v>
                </c:pt>
                <c:pt idx="349">
                  <c:v>162.14331099159824</c:v>
                </c:pt>
                <c:pt idx="350">
                  <c:v>162.18957459099087</c:v>
                </c:pt>
                <c:pt idx="351">
                  <c:v>162.23587903202014</c:v>
                </c:pt>
                <c:pt idx="352">
                  <c:v>162.28222437590142</c:v>
                </c:pt>
                <c:pt idx="353">
                  <c:v>162.32861068398014</c:v>
                </c:pt>
                <c:pt idx="354">
                  <c:v>162.37503801773227</c:v>
                </c:pt>
                <c:pt idx="355">
                  <c:v>162.42150643876457</c:v>
                </c:pt>
                <c:pt idx="356">
                  <c:v>162.46801600881483</c:v>
                </c:pt>
                <c:pt idx="357">
                  <c:v>162.51456678975316</c:v>
                </c:pt>
                <c:pt idx="358">
                  <c:v>162.56115884358076</c:v>
                </c:pt>
                <c:pt idx="359">
                  <c:v>162.60779223243173</c:v>
                </c:pt>
                <c:pt idx="360">
                  <c:v>162.65446701857255</c:v>
                </c:pt>
                <c:pt idx="361">
                  <c:v>162.70118326440272</c:v>
                </c:pt>
                <c:pt idx="362">
                  <c:v>162.74794103245554</c:v>
                </c:pt>
                <c:pt idx="363">
                  <c:v>162.79474038539783</c:v>
                </c:pt>
                <c:pt idx="364">
                  <c:v>162.84158138603092</c:v>
                </c:pt>
                <c:pt idx="365">
                  <c:v>162.88846409728998</c:v>
                </c:pt>
                <c:pt idx="366">
                  <c:v>162.93538858224534</c:v>
                </c:pt>
                <c:pt idx="367">
                  <c:v>162.98235490410349</c:v>
                </c:pt>
                <c:pt idx="368">
                  <c:v>163.02936312620517</c:v>
                </c:pt>
                <c:pt idx="369">
                  <c:v>163.07641331202825</c:v>
                </c:pt>
                <c:pt idx="370">
                  <c:v>163.12350552518669</c:v>
                </c:pt>
                <c:pt idx="371">
                  <c:v>163.17063982943117</c:v>
                </c:pt>
                <c:pt idx="372">
                  <c:v>163.21781628864983</c:v>
                </c:pt>
                <c:pt idx="373">
                  <c:v>163.26503496686772</c:v>
                </c:pt>
                <c:pt idx="374">
                  <c:v>163.31229592824852</c:v>
                </c:pt>
                <c:pt idx="375">
                  <c:v>163.35959923709441</c:v>
                </c:pt>
                <c:pt idx="376">
                  <c:v>163.4069449578453</c:v>
                </c:pt>
                <c:pt idx="377">
                  <c:v>163.45433315508126</c:v>
                </c:pt>
                <c:pt idx="378">
                  <c:v>163.50176389352146</c:v>
                </c:pt>
                <c:pt idx="379">
                  <c:v>163.54923723802472</c:v>
                </c:pt>
                <c:pt idx="380">
                  <c:v>163.59675325359038</c:v>
                </c:pt>
                <c:pt idx="381">
                  <c:v>163.64431200535941</c:v>
                </c:pt>
                <c:pt idx="382">
                  <c:v>163.69191355861153</c:v>
                </c:pt>
                <c:pt idx="383">
                  <c:v>163.73955797877036</c:v>
                </c:pt>
                <c:pt idx="384">
                  <c:v>163.78724533140033</c:v>
                </c:pt>
                <c:pt idx="385">
                  <c:v>163.83497568220795</c:v>
                </c:pt>
                <c:pt idx="386">
                  <c:v>163.88274909704259</c:v>
                </c:pt>
                <c:pt idx="387">
                  <c:v>163.93056564189709</c:v>
                </c:pt>
                <c:pt idx="388">
                  <c:v>163.97842538290743</c:v>
                </c:pt>
                <c:pt idx="389">
                  <c:v>164.0263283863533</c:v>
                </c:pt>
                <c:pt idx="390">
                  <c:v>164.07427471865927</c:v>
                </c:pt>
                <c:pt idx="391">
                  <c:v>164.12226444639415</c:v>
                </c:pt>
                <c:pt idx="392">
                  <c:v>164.17029763627198</c:v>
                </c:pt>
                <c:pt idx="393">
                  <c:v>164.21837435515232</c:v>
                </c:pt>
                <c:pt idx="394">
                  <c:v>164.26649467004057</c:v>
                </c:pt>
                <c:pt idx="395">
                  <c:v>164.31465864808908</c:v>
                </c:pt>
                <c:pt idx="396">
                  <c:v>164.36286635659579</c:v>
                </c:pt>
                <c:pt idx="397">
                  <c:v>164.41111786300726</c:v>
                </c:pt>
                <c:pt idx="398">
                  <c:v>164.45941323491633</c:v>
                </c:pt>
                <c:pt idx="399">
                  <c:v>164.50775254006464</c:v>
                </c:pt>
                <c:pt idx="400">
                  <c:v>164.55613584634207</c:v>
                </c:pt>
                <c:pt idx="401">
                  <c:v>164.60456322178777</c:v>
                </c:pt>
                <c:pt idx="402">
                  <c:v>164.65303473458948</c:v>
                </c:pt>
                <c:pt idx="403">
                  <c:v>164.70155045308502</c:v>
                </c:pt>
                <c:pt idx="404">
                  <c:v>164.75011044576212</c:v>
                </c:pt>
                <c:pt idx="405">
                  <c:v>164.79871478125935</c:v>
                </c:pt>
                <c:pt idx="406">
                  <c:v>164.84736352836643</c:v>
                </c:pt>
                <c:pt idx="407">
                  <c:v>164.89605675602397</c:v>
                </c:pt>
                <c:pt idx="408">
                  <c:v>164.94479453332517</c:v>
                </c:pt>
                <c:pt idx="409">
                  <c:v>164.99357692951489</c:v>
                </c:pt>
                <c:pt idx="410">
                  <c:v>165.0424040139909</c:v>
                </c:pt>
                <c:pt idx="411">
                  <c:v>165.09127585630432</c:v>
                </c:pt>
                <c:pt idx="412">
                  <c:v>165.14019252616006</c:v>
                </c:pt>
                <c:pt idx="413">
                  <c:v>165.18915409341599</c:v>
                </c:pt>
                <c:pt idx="414">
                  <c:v>165.23816062808609</c:v>
                </c:pt>
                <c:pt idx="415">
                  <c:v>165.28721220033844</c:v>
                </c:pt>
                <c:pt idx="416">
                  <c:v>165.33630888049581</c:v>
                </c:pt>
                <c:pt idx="417">
                  <c:v>165.38545073903839</c:v>
                </c:pt>
                <c:pt idx="418">
                  <c:v>165.43463784660136</c:v>
                </c:pt>
                <c:pt idx="419">
                  <c:v>165.48387027397712</c:v>
                </c:pt>
                <c:pt idx="420">
                  <c:v>165.53314809211548</c:v>
                </c:pt>
                <c:pt idx="421">
                  <c:v>165.58247137212351</c:v>
                </c:pt>
                <c:pt idx="422">
                  <c:v>165.63184018526604</c:v>
                </c:pt>
                <c:pt idx="423">
                  <c:v>165.68125460296756</c:v>
                </c:pt>
                <c:pt idx="424">
                  <c:v>165.73071469681062</c:v>
                </c:pt>
                <c:pt idx="425">
                  <c:v>165.78022053853729</c:v>
                </c:pt>
                <c:pt idx="426">
                  <c:v>165.82977220005009</c:v>
                </c:pt>
                <c:pt idx="427">
                  <c:v>165.87936975341188</c:v>
                </c:pt>
                <c:pt idx="428">
                  <c:v>165.92901327084559</c:v>
                </c:pt>
                <c:pt idx="429">
                  <c:v>165.97870282473653</c:v>
                </c:pt>
                <c:pt idx="430">
                  <c:v>166.02843848763069</c:v>
                </c:pt>
                <c:pt idx="431">
                  <c:v>166.07822033223769</c:v>
                </c:pt>
                <c:pt idx="432">
                  <c:v>166.12804843142854</c:v>
                </c:pt>
                <c:pt idx="433">
                  <c:v>166.17792285823845</c:v>
                </c:pt>
                <c:pt idx="434">
                  <c:v>166.22784368586576</c:v>
                </c:pt>
                <c:pt idx="435">
                  <c:v>166.27781098767306</c:v>
                </c:pt>
                <c:pt idx="436">
                  <c:v>166.32782483718785</c:v>
                </c:pt>
                <c:pt idx="437">
                  <c:v>166.37788530810226</c:v>
                </c:pt>
                <c:pt idx="438">
                  <c:v>166.42799247427428</c:v>
                </c:pt>
                <c:pt idx="439">
                  <c:v>166.47814640972837</c:v>
                </c:pt>
                <c:pt idx="440">
                  <c:v>166.52834718865515</c:v>
                </c:pt>
                <c:pt idx="441">
                  <c:v>166.57859488541169</c:v>
                </c:pt>
                <c:pt idx="442">
                  <c:v>166.62888957452407</c:v>
                </c:pt>
                <c:pt idx="443">
                  <c:v>166.6792313306851</c:v>
                </c:pt>
                <c:pt idx="444">
                  <c:v>166.7296202287566</c:v>
                </c:pt>
                <c:pt idx="445">
                  <c:v>166.78005634376993</c:v>
                </c:pt>
                <c:pt idx="446">
                  <c:v>166.83053975092477</c:v>
                </c:pt>
                <c:pt idx="447">
                  <c:v>166.8810705255917</c:v>
                </c:pt>
                <c:pt idx="448">
                  <c:v>166.93164874331174</c:v>
                </c:pt>
                <c:pt idx="449">
                  <c:v>166.98227447979698</c:v>
                </c:pt>
                <c:pt idx="450">
                  <c:v>167.03294781093044</c:v>
                </c:pt>
                <c:pt idx="451">
                  <c:v>167.08366881276748</c:v>
                </c:pt>
                <c:pt idx="452">
                  <c:v>167.13443756153671</c:v>
                </c:pt>
                <c:pt idx="453">
                  <c:v>167.18525413363841</c:v>
                </c:pt>
                <c:pt idx="454">
                  <c:v>167.2361186056479</c:v>
                </c:pt>
                <c:pt idx="455">
                  <c:v>167.28703105431333</c:v>
                </c:pt>
                <c:pt idx="456">
                  <c:v>167.33799155655771</c:v>
                </c:pt>
                <c:pt idx="457">
                  <c:v>167.38900018947953</c:v>
                </c:pt>
                <c:pt idx="458">
                  <c:v>167.44005703035302</c:v>
                </c:pt>
                <c:pt idx="459">
                  <c:v>167.49116215662781</c:v>
                </c:pt>
                <c:pt idx="460">
                  <c:v>167.54231564593093</c:v>
                </c:pt>
                <c:pt idx="461">
                  <c:v>167.59351757606581</c:v>
                </c:pt>
                <c:pt idx="462">
                  <c:v>167.64476802501423</c:v>
                </c:pt>
                <c:pt idx="463">
                  <c:v>167.69606707093604</c:v>
                </c:pt>
                <c:pt idx="464">
                  <c:v>167.74741479216968</c:v>
                </c:pt>
                <c:pt idx="465">
                  <c:v>167.79881126723313</c:v>
                </c:pt>
                <c:pt idx="466">
                  <c:v>167.85025657482379</c:v>
                </c:pt>
                <c:pt idx="467">
                  <c:v>167.90175079381979</c:v>
                </c:pt>
                <c:pt idx="468">
                  <c:v>167.95329400327989</c:v>
                </c:pt>
                <c:pt idx="469">
                  <c:v>168.00488628244486</c:v>
                </c:pt>
                <c:pt idx="470">
                  <c:v>168.05652771073639</c:v>
                </c:pt>
                <c:pt idx="471">
                  <c:v>168.1082183677602</c:v>
                </c:pt>
                <c:pt idx="472">
                  <c:v>168.15995833330314</c:v>
                </c:pt>
                <c:pt idx="473">
                  <c:v>168.21174768733729</c:v>
                </c:pt>
                <c:pt idx="474">
                  <c:v>168.26358651001834</c:v>
                </c:pt>
                <c:pt idx="475">
                  <c:v>168.31547488168667</c:v>
                </c:pt>
                <c:pt idx="476">
                  <c:v>168.36741288286763</c:v>
                </c:pt>
                <c:pt idx="477">
                  <c:v>168.41940059427296</c:v>
                </c:pt>
                <c:pt idx="478">
                  <c:v>168.47143809680037</c:v>
                </c:pt>
                <c:pt idx="479">
                  <c:v>168.52352547153424</c:v>
                </c:pt>
                <c:pt idx="480">
                  <c:v>168.57566279974759</c:v>
                </c:pt>
                <c:pt idx="481">
                  <c:v>168.62785016290019</c:v>
                </c:pt>
                <c:pt idx="482">
                  <c:v>168.68008764264138</c:v>
                </c:pt>
                <c:pt idx="483">
                  <c:v>168.73237532080859</c:v>
                </c:pt>
                <c:pt idx="484">
                  <c:v>168.78471327943038</c:v>
                </c:pt>
                <c:pt idx="485">
                  <c:v>168.83710160072502</c:v>
                </c:pt>
                <c:pt idx="486">
                  <c:v>168.88954036710152</c:v>
                </c:pt>
                <c:pt idx="487">
                  <c:v>168.94202966115989</c:v>
                </c:pt>
                <c:pt idx="488">
                  <c:v>168.99456956569389</c:v>
                </c:pt>
                <c:pt idx="489">
                  <c:v>169.04716016368826</c:v>
                </c:pt>
                <c:pt idx="490">
                  <c:v>169.09980153832157</c:v>
                </c:pt>
                <c:pt idx="491">
                  <c:v>169.15249377296612</c:v>
                </c:pt>
                <c:pt idx="492">
                  <c:v>169.20523695118905</c:v>
                </c:pt>
                <c:pt idx="493">
                  <c:v>169.25803115675174</c:v>
                </c:pt>
                <c:pt idx="494">
                  <c:v>169.31087647361178</c:v>
                </c:pt>
                <c:pt idx="495">
                  <c:v>169.36377298592265</c:v>
                </c:pt>
                <c:pt idx="496">
                  <c:v>169.41672077803443</c:v>
                </c:pt>
                <c:pt idx="497">
                  <c:v>169.46971993449503</c:v>
                </c:pt>
                <c:pt idx="498">
                  <c:v>169.52277054004995</c:v>
                </c:pt>
                <c:pt idx="499">
                  <c:v>169.57587267964325</c:v>
                </c:pt>
                <c:pt idx="500">
                  <c:v>169.62902643841872</c:v>
                </c:pt>
                <c:pt idx="501">
                  <c:v>169.68223190171901</c:v>
                </c:pt>
                <c:pt idx="502">
                  <c:v>169.735489155088</c:v>
                </c:pt>
                <c:pt idx="503">
                  <c:v>169.78879828426992</c:v>
                </c:pt>
                <c:pt idx="504">
                  <c:v>169.84215937521125</c:v>
                </c:pt>
                <c:pt idx="505">
                  <c:v>169.89557251406021</c:v>
                </c:pt>
                <c:pt idx="506">
                  <c:v>169.94903778716767</c:v>
                </c:pt>
                <c:pt idx="507">
                  <c:v>170.00255528108923</c:v>
                </c:pt>
                <c:pt idx="508">
                  <c:v>170.05612508258278</c:v>
                </c:pt>
                <c:pt idx="509">
                  <c:v>170.1097472786123</c:v>
                </c:pt>
                <c:pt idx="510">
                  <c:v>170.16342195634672</c:v>
                </c:pt>
                <c:pt idx="511">
                  <c:v>170.21714920316066</c:v>
                </c:pt>
                <c:pt idx="512">
                  <c:v>170.27092910663563</c:v>
                </c:pt>
                <c:pt idx="513">
                  <c:v>170.32476175456037</c:v>
                </c:pt>
                <c:pt idx="514">
                  <c:v>170.37864723493186</c:v>
                </c:pt>
                <c:pt idx="515">
                  <c:v>170.43258563595418</c:v>
                </c:pt>
                <c:pt idx="516">
                  <c:v>170.48657704604295</c:v>
                </c:pt>
                <c:pt idx="517">
                  <c:v>170.54062155382104</c:v>
                </c:pt>
                <c:pt idx="518">
                  <c:v>170.59471924812394</c:v>
                </c:pt>
                <c:pt idx="519">
                  <c:v>170.6488702179968</c:v>
                </c:pt>
                <c:pt idx="520">
                  <c:v>170.70307455269727</c:v>
                </c:pt>
                <c:pt idx="521">
                  <c:v>170.75733234169519</c:v>
                </c:pt>
                <c:pt idx="522">
                  <c:v>170.81164367467315</c:v>
                </c:pt>
                <c:pt idx="523">
                  <c:v>170.86600864152805</c:v>
                </c:pt>
                <c:pt idx="524">
                  <c:v>170.92042733237085</c:v>
                </c:pt>
                <c:pt idx="525">
                  <c:v>170.97489983752814</c:v>
                </c:pt>
                <c:pt idx="526">
                  <c:v>171.02942624754118</c:v>
                </c:pt>
                <c:pt idx="527">
                  <c:v>171.08400665316836</c:v>
                </c:pt>
                <c:pt idx="528">
                  <c:v>171.13864114538464</c:v>
                </c:pt>
                <c:pt idx="529">
                  <c:v>171.19332981538375</c:v>
                </c:pt>
                <c:pt idx="530">
                  <c:v>171.24807275457658</c:v>
                </c:pt>
                <c:pt idx="531">
                  <c:v>171.30287005459422</c:v>
                </c:pt>
                <c:pt idx="532">
                  <c:v>171.35772180728634</c:v>
                </c:pt>
                <c:pt idx="533">
                  <c:v>171.41262810472415</c:v>
                </c:pt>
                <c:pt idx="534">
                  <c:v>171.46758903919999</c:v>
                </c:pt>
                <c:pt idx="535">
                  <c:v>171.5226047032269</c:v>
                </c:pt>
                <c:pt idx="536">
                  <c:v>171.57767518954191</c:v>
                </c:pt>
                <c:pt idx="537">
                  <c:v>171.63280059110406</c:v>
                </c:pt>
                <c:pt idx="538">
                  <c:v>171.68798100109726</c:v>
                </c:pt>
                <c:pt idx="539">
                  <c:v>171.74321651292968</c:v>
                </c:pt>
                <c:pt idx="540">
                  <c:v>171.79850722023468</c:v>
                </c:pt>
                <c:pt idx="541">
                  <c:v>171.8538532168721</c:v>
                </c:pt>
                <c:pt idx="542">
                  <c:v>171.90925459692804</c:v>
                </c:pt>
                <c:pt idx="543">
                  <c:v>171.96471145471631</c:v>
                </c:pt>
                <c:pt idx="544">
                  <c:v>172.02022388477906</c:v>
                </c:pt>
                <c:pt idx="545">
                  <c:v>172.07579198188714</c:v>
                </c:pt>
                <c:pt idx="546">
                  <c:v>172.13141584104116</c:v>
                </c:pt>
                <c:pt idx="547">
                  <c:v>172.18709555747137</c:v>
                </c:pt>
                <c:pt idx="548">
                  <c:v>172.24283122664076</c:v>
                </c:pt>
                <c:pt idx="549">
                  <c:v>172.29862294424225</c:v>
                </c:pt>
                <c:pt idx="550">
                  <c:v>172.35447080620222</c:v>
                </c:pt>
                <c:pt idx="551">
                  <c:v>172.41037490868069</c:v>
                </c:pt>
                <c:pt idx="552">
                  <c:v>172.46633534807083</c:v>
                </c:pt>
                <c:pt idx="553">
                  <c:v>172.52235222100092</c:v>
                </c:pt>
                <c:pt idx="554">
                  <c:v>172.5784256243349</c:v>
                </c:pt>
                <c:pt idx="555">
                  <c:v>172.63455565517285</c:v>
                </c:pt>
                <c:pt idx="556">
                  <c:v>172.69074241085181</c:v>
                </c:pt>
                <c:pt idx="557">
                  <c:v>172.74698598894642</c:v>
                </c:pt>
                <c:pt idx="558">
                  <c:v>172.80328648727013</c:v>
                </c:pt>
                <c:pt idx="559">
                  <c:v>172.85964400387536</c:v>
                </c:pt>
                <c:pt idx="560">
                  <c:v>172.91605863705445</c:v>
                </c:pt>
                <c:pt idx="561">
                  <c:v>172.97253048534094</c:v>
                </c:pt>
                <c:pt idx="562">
                  <c:v>173.02905964750943</c:v>
                </c:pt>
                <c:pt idx="563">
                  <c:v>173.08564622257768</c:v>
                </c:pt>
                <c:pt idx="564">
                  <c:v>173.1422903098053</c:v>
                </c:pt>
                <c:pt idx="565">
                  <c:v>173.19899200869693</c:v>
                </c:pt>
                <c:pt idx="566">
                  <c:v>173.2557514190008</c:v>
                </c:pt>
                <c:pt idx="567">
                  <c:v>173.31256864071139</c:v>
                </c:pt>
                <c:pt idx="568">
                  <c:v>173.36944377406903</c:v>
                </c:pt>
                <c:pt idx="569">
                  <c:v>173.42637691956105</c:v>
                </c:pt>
                <c:pt idx="570">
                  <c:v>173.4833681779231</c:v>
                </c:pt>
                <c:pt idx="571">
                  <c:v>173.54041765013841</c:v>
                </c:pt>
                <c:pt idx="572">
                  <c:v>173.59752543744062</c:v>
                </c:pt>
                <c:pt idx="573">
                  <c:v>173.65469164131241</c:v>
                </c:pt>
                <c:pt idx="574">
                  <c:v>173.71191636348888</c:v>
                </c:pt>
                <c:pt idx="575">
                  <c:v>173.76919970595563</c:v>
                </c:pt>
                <c:pt idx="576">
                  <c:v>173.82654177095162</c:v>
                </c:pt>
                <c:pt idx="577">
                  <c:v>173.88394266096876</c:v>
                </c:pt>
                <c:pt idx="578">
                  <c:v>173.94140247875353</c:v>
                </c:pt>
                <c:pt idx="579">
                  <c:v>173.99892132730793</c:v>
                </c:pt>
                <c:pt idx="580">
                  <c:v>174.05649930988849</c:v>
                </c:pt>
                <c:pt idx="581">
                  <c:v>174.11413653000955</c:v>
                </c:pt>
                <c:pt idx="582">
                  <c:v>174.17183309144292</c:v>
                </c:pt>
                <c:pt idx="583">
                  <c:v>174.22958909821804</c:v>
                </c:pt>
                <c:pt idx="584">
                  <c:v>174.28740465462474</c:v>
                </c:pt>
                <c:pt idx="585">
                  <c:v>174.34527986521164</c:v>
                </c:pt>
                <c:pt idx="586">
                  <c:v>174.40321483478937</c:v>
                </c:pt>
                <c:pt idx="587">
                  <c:v>174.46120966842923</c:v>
                </c:pt>
                <c:pt idx="588">
                  <c:v>174.51926447146559</c:v>
                </c:pt>
                <c:pt idx="589">
                  <c:v>174.57737934949699</c:v>
                </c:pt>
                <c:pt idx="590">
                  <c:v>174.63555440838462</c:v>
                </c:pt>
                <c:pt idx="591">
                  <c:v>174.69378975425704</c:v>
                </c:pt>
                <c:pt idx="592">
                  <c:v>174.75208549350623</c:v>
                </c:pt>
                <c:pt idx="593">
                  <c:v>174.81044173279358</c:v>
                </c:pt>
                <c:pt idx="594">
                  <c:v>174.86885857904636</c:v>
                </c:pt>
                <c:pt idx="595">
                  <c:v>174.92733613946152</c:v>
                </c:pt>
                <c:pt idx="596">
                  <c:v>174.9858745215048</c:v>
                </c:pt>
                <c:pt idx="597">
                  <c:v>175.04447383291341</c:v>
                </c:pt>
                <c:pt idx="598">
                  <c:v>175.10313418169468</c:v>
                </c:pt>
                <c:pt idx="599">
                  <c:v>175.16185567612897</c:v>
                </c:pt>
                <c:pt idx="600">
                  <c:v>175.22063842476865</c:v>
                </c:pt>
                <c:pt idx="601">
                  <c:v>175.27948253644155</c:v>
                </c:pt>
                <c:pt idx="602">
                  <c:v>175.33838812024882</c:v>
                </c:pt>
                <c:pt idx="603">
                  <c:v>175.39735528556844</c:v>
                </c:pt>
                <c:pt idx="604">
                  <c:v>175.45638414205465</c:v>
                </c:pt>
                <c:pt idx="605">
                  <c:v>175.51547479963912</c:v>
                </c:pt>
                <c:pt idx="606">
                  <c:v>175.57462736853253</c:v>
                </c:pt>
                <c:pt idx="607">
                  <c:v>175.63384195922467</c:v>
                </c:pt>
                <c:pt idx="608">
                  <c:v>175.69311868248496</c:v>
                </c:pt>
                <c:pt idx="609">
                  <c:v>175.75245764936557</c:v>
                </c:pt>
                <c:pt idx="610">
                  <c:v>175.81185897119926</c:v>
                </c:pt>
                <c:pt idx="611">
                  <c:v>175.87132275960326</c:v>
                </c:pt>
                <c:pt idx="612">
                  <c:v>175.93084912647791</c:v>
                </c:pt>
                <c:pt idx="613">
                  <c:v>175.99043818400946</c:v>
                </c:pt>
                <c:pt idx="614">
                  <c:v>176.05009004466865</c:v>
                </c:pt>
                <c:pt idx="615">
                  <c:v>176.10980482121437</c:v>
                </c:pt>
                <c:pt idx="616">
                  <c:v>176.16958262669337</c:v>
                </c:pt>
                <c:pt idx="617">
                  <c:v>176.22942357444026</c:v>
                </c:pt>
                <c:pt idx="618">
                  <c:v>176.28932777808006</c:v>
                </c:pt>
                <c:pt idx="619">
                  <c:v>176.34929535152841</c:v>
                </c:pt>
                <c:pt idx="620">
                  <c:v>176.40932640899291</c:v>
                </c:pt>
                <c:pt idx="621">
                  <c:v>176.46942106497298</c:v>
                </c:pt>
                <c:pt idx="622">
                  <c:v>176.52957943426259</c:v>
                </c:pt>
                <c:pt idx="623">
                  <c:v>176.5898016319496</c:v>
                </c:pt>
                <c:pt idx="624">
                  <c:v>176.65008777341799</c:v>
                </c:pt>
                <c:pt idx="625">
                  <c:v>176.71043797434825</c:v>
                </c:pt>
                <c:pt idx="626">
                  <c:v>176.77085235071803</c:v>
                </c:pt>
                <c:pt idx="627">
                  <c:v>176.83133101880395</c:v>
                </c:pt>
                <c:pt idx="628">
                  <c:v>176.89187409518223</c:v>
                </c:pt>
                <c:pt idx="629">
                  <c:v>176.95248169672942</c:v>
                </c:pt>
                <c:pt idx="630">
                  <c:v>177.01315394062374</c:v>
                </c:pt>
                <c:pt idx="631">
                  <c:v>177.07389094434635</c:v>
                </c:pt>
                <c:pt idx="632">
                  <c:v>177.13469282568138</c:v>
                </c:pt>
                <c:pt idx="633">
                  <c:v>177.1955597027177</c:v>
                </c:pt>
                <c:pt idx="634">
                  <c:v>177.25649169385073</c:v>
                </c:pt>
                <c:pt idx="635">
                  <c:v>177.31748891778108</c:v>
                </c:pt>
                <c:pt idx="636">
                  <c:v>177.3785514935189</c:v>
                </c:pt>
                <c:pt idx="637">
                  <c:v>177.43967954038118</c:v>
                </c:pt>
                <c:pt idx="638">
                  <c:v>177.50087317799628</c:v>
                </c:pt>
                <c:pt idx="639">
                  <c:v>177.56213252630235</c:v>
                </c:pt>
                <c:pt idx="640">
                  <c:v>177.62345770554984</c:v>
                </c:pt>
                <c:pt idx="641">
                  <c:v>177.68484883630285</c:v>
                </c:pt>
                <c:pt idx="642">
                  <c:v>177.746306039438</c:v>
                </c:pt>
                <c:pt idx="643">
                  <c:v>177.80782943614832</c:v>
                </c:pt>
                <c:pt idx="644">
                  <c:v>177.86941914794227</c:v>
                </c:pt>
                <c:pt idx="645">
                  <c:v>177.93107529664584</c:v>
                </c:pt>
                <c:pt idx="646">
                  <c:v>177.99279800440334</c:v>
                </c:pt>
                <c:pt idx="647">
                  <c:v>178.05458739367816</c:v>
                </c:pt>
                <c:pt idx="648">
                  <c:v>178.11644358725414</c:v>
                </c:pt>
                <c:pt idx="649">
                  <c:v>178.17836670823721</c:v>
                </c:pt>
                <c:pt idx="650">
                  <c:v>178.24035688005566</c:v>
                </c:pt>
                <c:pt idx="651">
                  <c:v>178.30241422646111</c:v>
                </c:pt>
                <c:pt idx="652">
                  <c:v>178.36453887153112</c:v>
                </c:pt>
                <c:pt idx="653">
                  <c:v>178.42673093966772</c:v>
                </c:pt>
                <c:pt idx="654">
                  <c:v>178.48899055560159</c:v>
                </c:pt>
                <c:pt idx="655">
                  <c:v>178.5513178443903</c:v>
                </c:pt>
                <c:pt idx="656">
                  <c:v>178.61371293142167</c:v>
                </c:pt>
                <c:pt idx="657">
                  <c:v>178.67617594241347</c:v>
                </c:pt>
                <c:pt idx="658">
                  <c:v>178.73870700341513</c:v>
                </c:pt>
                <c:pt idx="659">
                  <c:v>178.80130624080914</c:v>
                </c:pt>
                <c:pt idx="660">
                  <c:v>178.86397378131139</c:v>
                </c:pt>
                <c:pt idx="661">
                  <c:v>178.92670975197299</c:v>
                </c:pt>
                <c:pt idx="662">
                  <c:v>178.98951428018154</c:v>
                </c:pt>
                <c:pt idx="663">
                  <c:v>179.05238749366154</c:v>
                </c:pt>
                <c:pt idx="664">
                  <c:v>179.11532952047605</c:v>
                </c:pt>
                <c:pt idx="665">
                  <c:v>179.17834048902773</c:v>
                </c:pt>
                <c:pt idx="666">
                  <c:v>179.2414205280603</c:v>
                </c:pt>
                <c:pt idx="667">
                  <c:v>179.3045697666598</c:v>
                </c:pt>
                <c:pt idx="668">
                  <c:v>179.3677883342545</c:v>
                </c:pt>
                <c:pt idx="669">
                  <c:v>179.43107636061785</c:v>
                </c:pt>
                <c:pt idx="670">
                  <c:v>179.4944339758685</c:v>
                </c:pt>
                <c:pt idx="671">
                  <c:v>179.55786131047202</c:v>
                </c:pt>
                <c:pt idx="672">
                  <c:v>179.62135849524216</c:v>
                </c:pt>
                <c:pt idx="673">
                  <c:v>179.68492566134151</c:v>
                </c:pt>
                <c:pt idx="674">
                  <c:v>179.74856294028297</c:v>
                </c:pt>
                <c:pt idx="675">
                  <c:v>179.81227046393153</c:v>
                </c:pt>
                <c:pt idx="676">
                  <c:v>179.87604836450438</c:v>
                </c:pt>
                <c:pt idx="677">
                  <c:v>179.93989677457358</c:v>
                </c:pt>
                <c:pt idx="678">
                  <c:v>180.00381582706575</c:v>
                </c:pt>
                <c:pt idx="679">
                  <c:v>180.06780565526418</c:v>
                </c:pt>
                <c:pt idx="680">
                  <c:v>180.13186639281074</c:v>
                </c:pt>
                <c:pt idx="681">
                  <c:v>180.19599817370491</c:v>
                </c:pt>
                <c:pt idx="682">
                  <c:v>180.26020113230786</c:v>
                </c:pt>
                <c:pt idx="683">
                  <c:v>180.32447540334144</c:v>
                </c:pt>
                <c:pt idx="684">
                  <c:v>180.38882112189049</c:v>
                </c:pt>
                <c:pt idx="685">
                  <c:v>180.45323842340406</c:v>
                </c:pt>
                <c:pt idx="686">
                  <c:v>180.51772744369694</c:v>
                </c:pt>
                <c:pt idx="687">
                  <c:v>180.58228831894945</c:v>
                </c:pt>
                <c:pt idx="688">
                  <c:v>180.64692118571122</c:v>
                </c:pt>
                <c:pt idx="689">
                  <c:v>180.71162618089991</c:v>
                </c:pt>
                <c:pt idx="690">
                  <c:v>180.77640344180466</c:v>
                </c:pt>
                <c:pt idx="691">
                  <c:v>180.8412531060859</c:v>
                </c:pt>
                <c:pt idx="692">
                  <c:v>180.90617531177733</c:v>
                </c:pt>
                <c:pt idx="693">
                  <c:v>180.97117019728705</c:v>
                </c:pt>
                <c:pt idx="694">
                  <c:v>181.03623790139909</c:v>
                </c:pt>
                <c:pt idx="695">
                  <c:v>181.10137856327432</c:v>
                </c:pt>
                <c:pt idx="696">
                  <c:v>181.1665923224528</c:v>
                </c:pt>
                <c:pt idx="697">
                  <c:v>181.23187931885329</c:v>
                </c:pt>
                <c:pt idx="698">
                  <c:v>181.29723969277649</c:v>
                </c:pt>
                <c:pt idx="699">
                  <c:v>181.36267358490537</c:v>
                </c:pt>
                <c:pt idx="700">
                  <c:v>181.42818113630662</c:v>
                </c:pt>
                <c:pt idx="701">
                  <c:v>181.49376248843231</c:v>
                </c:pt>
                <c:pt idx="702">
                  <c:v>181.55941778312064</c:v>
                </c:pt>
                <c:pt idx="703">
                  <c:v>181.62514716259892</c:v>
                </c:pt>
                <c:pt idx="704">
                  <c:v>181.6909507694823</c:v>
                </c:pt>
                <c:pt idx="705">
                  <c:v>181.75682874677767</c:v>
                </c:pt>
                <c:pt idx="706">
                  <c:v>181.82278123788339</c:v>
                </c:pt>
                <c:pt idx="707">
                  <c:v>181.88880838659227</c:v>
                </c:pt>
                <c:pt idx="708">
                  <c:v>181.95491033709069</c:v>
                </c:pt>
                <c:pt idx="709">
                  <c:v>182.0210872339627</c:v>
                </c:pt>
                <c:pt idx="710">
                  <c:v>182.08733922218912</c:v>
                </c:pt>
                <c:pt idx="711">
                  <c:v>182.15366644715039</c:v>
                </c:pt>
                <c:pt idx="712">
                  <c:v>182.22006905462783</c:v>
                </c:pt>
                <c:pt idx="713">
                  <c:v>182.28654719080396</c:v>
                </c:pt>
                <c:pt idx="714">
                  <c:v>182.3531010022657</c:v>
                </c:pt>
                <c:pt idx="715">
                  <c:v>182.41973063600426</c:v>
                </c:pt>
                <c:pt idx="716">
                  <c:v>182.48643623941786</c:v>
                </c:pt>
                <c:pt idx="717">
                  <c:v>182.55321796031171</c:v>
                </c:pt>
                <c:pt idx="718">
                  <c:v>182.62007594690087</c:v>
                </c:pt>
                <c:pt idx="719">
                  <c:v>182.68701034781171</c:v>
                </c:pt>
                <c:pt idx="720">
                  <c:v>182.75402131208179</c:v>
                </c:pt>
                <c:pt idx="721">
                  <c:v>182.82110898916315</c:v>
                </c:pt>
                <c:pt idx="722">
                  <c:v>182.88827352892326</c:v>
                </c:pt>
                <c:pt idx="723">
                  <c:v>182.95551508164564</c:v>
                </c:pt>
                <c:pt idx="724">
                  <c:v>183.02283379803271</c:v>
                </c:pt>
                <c:pt idx="725">
                  <c:v>183.09022982920661</c:v>
                </c:pt>
                <c:pt idx="726">
                  <c:v>183.1577033267105</c:v>
                </c:pt>
                <c:pt idx="727">
                  <c:v>183.22525444251053</c:v>
                </c:pt>
                <c:pt idx="728">
                  <c:v>183.29288332899731</c:v>
                </c:pt>
                <c:pt idx="729">
                  <c:v>183.36059013898753</c:v>
                </c:pt>
                <c:pt idx="730">
                  <c:v>183.4283750257249</c:v>
                </c:pt>
                <c:pt idx="731">
                  <c:v>183.49623814288262</c:v>
                </c:pt>
                <c:pt idx="732">
                  <c:v>183.56417964456418</c:v>
                </c:pt>
                <c:pt idx="733">
                  <c:v>183.63219968530558</c:v>
                </c:pt>
                <c:pt idx="734">
                  <c:v>183.70029842007605</c:v>
                </c:pt>
                <c:pt idx="735">
                  <c:v>183.76847600428076</c:v>
                </c:pt>
                <c:pt idx="736">
                  <c:v>183.83673259376124</c:v>
                </c:pt>
                <c:pt idx="737">
                  <c:v>183.90506834479828</c:v>
                </c:pt>
                <c:pt idx="738">
                  <c:v>183.97348341411211</c:v>
                </c:pt>
                <c:pt idx="739">
                  <c:v>184.041977958865</c:v>
                </c:pt>
                <c:pt idx="740">
                  <c:v>184.11055213666239</c:v>
                </c:pt>
                <c:pt idx="741">
                  <c:v>184.17920610555475</c:v>
                </c:pt>
                <c:pt idx="742">
                  <c:v>184.24794002403979</c:v>
                </c:pt>
                <c:pt idx="743">
                  <c:v>184.31675405106267</c:v>
                </c:pt>
                <c:pt idx="744">
                  <c:v>184.38564834601905</c:v>
                </c:pt>
                <c:pt idx="745">
                  <c:v>184.45462306875604</c:v>
                </c:pt>
                <c:pt idx="746">
                  <c:v>184.52367837957368</c:v>
                </c:pt>
                <c:pt idx="747">
                  <c:v>184.5928144392272</c:v>
                </c:pt>
                <c:pt idx="748">
                  <c:v>184.66203140892873</c:v>
                </c:pt>
                <c:pt idx="749">
                  <c:v>184.73132945034823</c:v>
                </c:pt>
                <c:pt idx="750">
                  <c:v>184.80070872561575</c:v>
                </c:pt>
                <c:pt idx="751">
                  <c:v>184.87016939732345</c:v>
                </c:pt>
                <c:pt idx="752">
                  <c:v>184.93971162852628</c:v>
                </c:pt>
                <c:pt idx="753">
                  <c:v>185.00933558274497</c:v>
                </c:pt>
                <c:pt idx="754">
                  <c:v>185.07904142396643</c:v>
                </c:pt>
                <c:pt idx="755">
                  <c:v>185.1488293166467</c:v>
                </c:pt>
                <c:pt idx="756">
                  <c:v>185.21869942571195</c:v>
                </c:pt>
                <c:pt idx="757">
                  <c:v>185.28865191656087</c:v>
                </c:pt>
                <c:pt idx="758">
                  <c:v>185.35868695506497</c:v>
                </c:pt>
                <c:pt idx="759">
                  <c:v>185.42880470757265</c:v>
                </c:pt>
                <c:pt idx="760">
                  <c:v>185.49900534090872</c:v>
                </c:pt>
                <c:pt idx="761">
                  <c:v>185.56928902237757</c:v>
                </c:pt>
                <c:pt idx="762">
                  <c:v>185.63965591976495</c:v>
                </c:pt>
                <c:pt idx="763">
                  <c:v>185.71010620133865</c:v>
                </c:pt>
                <c:pt idx="764">
                  <c:v>185.78064003585146</c:v>
                </c:pt>
                <c:pt idx="765">
                  <c:v>185.85125759254294</c:v>
                </c:pt>
                <c:pt idx="766">
                  <c:v>185.92195904113993</c:v>
                </c:pt>
                <c:pt idx="767">
                  <c:v>185.99274455186003</c:v>
                </c:pt>
                <c:pt idx="768">
                  <c:v>186.06361429541286</c:v>
                </c:pt>
                <c:pt idx="769">
                  <c:v>186.13456844300123</c:v>
                </c:pt>
                <c:pt idx="770">
                  <c:v>186.20560716632426</c:v>
                </c:pt>
                <c:pt idx="771">
                  <c:v>186.27673063757769</c:v>
                </c:pt>
                <c:pt idx="772">
                  <c:v>186.34793902945768</c:v>
                </c:pt>
                <c:pt idx="773">
                  <c:v>186.41923251516096</c:v>
                </c:pt>
                <c:pt idx="774">
                  <c:v>186.49061126838751</c:v>
                </c:pt>
                <c:pt idx="775">
                  <c:v>186.56207546334238</c:v>
                </c:pt>
                <c:pt idx="776">
                  <c:v>186.6336252747378</c:v>
                </c:pt>
                <c:pt idx="777">
                  <c:v>186.70526087779467</c:v>
                </c:pt>
                <c:pt idx="778">
                  <c:v>186.77698244824475</c:v>
                </c:pt>
                <c:pt idx="779">
                  <c:v>186.8487901623327</c:v>
                </c:pt>
                <c:pt idx="780">
                  <c:v>186.92068419681766</c:v>
                </c:pt>
                <c:pt idx="781">
                  <c:v>186.99266472897591</c:v>
                </c:pt>
                <c:pt idx="782">
                  <c:v>187.06473193660153</c:v>
                </c:pt>
                <c:pt idx="783">
                  <c:v>187.13688599801003</c:v>
                </c:pt>
                <c:pt idx="784">
                  <c:v>187.20912709203941</c:v>
                </c:pt>
                <c:pt idx="785">
                  <c:v>187.28145539805163</c:v>
                </c:pt>
                <c:pt idx="786">
                  <c:v>187.35387109593603</c:v>
                </c:pt>
                <c:pt idx="787">
                  <c:v>187.42637436611025</c:v>
                </c:pt>
                <c:pt idx="788">
                  <c:v>187.49896538952274</c:v>
                </c:pt>
                <c:pt idx="789">
                  <c:v>187.57164434765392</c:v>
                </c:pt>
                <c:pt idx="790">
                  <c:v>187.64441142251979</c:v>
                </c:pt>
                <c:pt idx="791">
                  <c:v>187.71726679667302</c:v>
                </c:pt>
                <c:pt idx="792">
                  <c:v>187.7902106532045</c:v>
                </c:pt>
                <c:pt idx="793">
                  <c:v>187.86324317574676</c:v>
                </c:pt>
                <c:pt idx="794">
                  <c:v>187.93636454847478</c:v>
                </c:pt>
                <c:pt idx="795">
                  <c:v>188.00957495610888</c:v>
                </c:pt>
                <c:pt idx="796">
                  <c:v>188.08287458391675</c:v>
                </c:pt>
                <c:pt idx="797">
                  <c:v>188.15626361771496</c:v>
                </c:pt>
                <c:pt idx="798">
                  <c:v>188.2297422438715</c:v>
                </c:pt>
                <c:pt idx="799">
                  <c:v>188.30331064930812</c:v>
                </c:pt>
                <c:pt idx="800">
                  <c:v>188.37696902150282</c:v>
                </c:pt>
                <c:pt idx="801">
                  <c:v>188.45071754848996</c:v>
                </c:pt>
                <c:pt idx="802">
                  <c:v>188.52455641886561</c:v>
                </c:pt>
                <c:pt idx="803">
                  <c:v>188.59848582178674</c:v>
                </c:pt>
                <c:pt idx="804">
                  <c:v>188.67250594697526</c:v>
                </c:pt>
                <c:pt idx="805">
                  <c:v>188.74661698472002</c:v>
                </c:pt>
                <c:pt idx="806">
                  <c:v>188.82081912587736</c:v>
                </c:pt>
                <c:pt idx="807">
                  <c:v>188.89511256187592</c:v>
                </c:pt>
                <c:pt idx="808">
                  <c:v>188.96949748471704</c:v>
                </c:pt>
                <c:pt idx="809">
                  <c:v>189.04397408697733</c:v>
                </c:pt>
                <c:pt idx="810">
                  <c:v>189.11854256181147</c:v>
                </c:pt>
                <c:pt idx="811">
                  <c:v>189.1932031029537</c:v>
                </c:pt>
                <c:pt idx="812">
                  <c:v>189.26795590472059</c:v>
                </c:pt>
                <c:pt idx="813">
                  <c:v>189.34280116201379</c:v>
                </c:pt>
                <c:pt idx="814">
                  <c:v>189.41773907032052</c:v>
                </c:pt>
                <c:pt idx="815">
                  <c:v>189.49276982571826</c:v>
                </c:pt>
                <c:pt idx="816">
                  <c:v>189.56789362487541</c:v>
                </c:pt>
                <c:pt idx="817">
                  <c:v>189.64311066505402</c:v>
                </c:pt>
                <c:pt idx="818">
                  <c:v>189.71842114411228</c:v>
                </c:pt>
                <c:pt idx="819">
                  <c:v>189.79382526050716</c:v>
                </c:pt>
                <c:pt idx="820">
                  <c:v>189.86932321329562</c:v>
                </c:pt>
                <c:pt idx="821">
                  <c:v>189.9449152021387</c:v>
                </c:pt>
                <c:pt idx="822">
                  <c:v>190.02060142730238</c:v>
                </c:pt>
                <c:pt idx="823">
                  <c:v>190.09638208966035</c:v>
                </c:pt>
                <c:pt idx="824">
                  <c:v>190.17225739069713</c:v>
                </c:pt>
                <c:pt idx="825">
                  <c:v>190.24822753251024</c:v>
                </c:pt>
                <c:pt idx="826">
                  <c:v>190.32429271781129</c:v>
                </c:pt>
                <c:pt idx="827">
                  <c:v>190.4004531499306</c:v>
                </c:pt>
                <c:pt idx="828">
                  <c:v>190.47670903281798</c:v>
                </c:pt>
                <c:pt idx="829">
                  <c:v>190.55306057104596</c:v>
                </c:pt>
                <c:pt idx="830">
                  <c:v>190.62950796981201</c:v>
                </c:pt>
                <c:pt idx="831">
                  <c:v>190.70605143494092</c:v>
                </c:pt>
                <c:pt idx="832">
                  <c:v>190.7826911728877</c:v>
                </c:pt>
                <c:pt idx="833">
                  <c:v>190.85942739074014</c:v>
                </c:pt>
                <c:pt idx="834">
                  <c:v>190.93626029622035</c:v>
                </c:pt>
                <c:pt idx="835">
                  <c:v>191.01319009768881</c:v>
                </c:pt>
                <c:pt idx="836">
                  <c:v>191.09021700414567</c:v>
                </c:pt>
                <c:pt idx="837">
                  <c:v>191.1673412252334</c:v>
                </c:pt>
                <c:pt idx="838">
                  <c:v>191.24456297124092</c:v>
                </c:pt>
                <c:pt idx="839">
                  <c:v>191.321882453104</c:v>
                </c:pt>
                <c:pt idx="840">
                  <c:v>191.3992998824086</c:v>
                </c:pt>
                <c:pt idx="841">
                  <c:v>191.47681547139493</c:v>
                </c:pt>
                <c:pt idx="842">
                  <c:v>191.5544294329583</c:v>
                </c:pt>
                <c:pt idx="843">
                  <c:v>191.63214198065194</c:v>
                </c:pt>
                <c:pt idx="844">
                  <c:v>191.70995332869057</c:v>
                </c:pt>
                <c:pt idx="845">
                  <c:v>191.78786369195259</c:v>
                </c:pt>
                <c:pt idx="846">
                  <c:v>191.8658732859827</c:v>
                </c:pt>
                <c:pt idx="847">
                  <c:v>191.94398232699419</c:v>
                </c:pt>
                <c:pt idx="848">
                  <c:v>192.02219103187258</c:v>
                </c:pt>
                <c:pt idx="849">
                  <c:v>192.1004996181783</c:v>
                </c:pt>
                <c:pt idx="850">
                  <c:v>192.1789083041474</c:v>
                </c:pt>
                <c:pt idx="851">
                  <c:v>192.2574173086978</c:v>
                </c:pt>
                <c:pt idx="852">
                  <c:v>192.3360268514289</c:v>
                </c:pt>
                <c:pt idx="853">
                  <c:v>192.41473715262575</c:v>
                </c:pt>
                <c:pt idx="854">
                  <c:v>192.49354843326211</c:v>
                </c:pt>
                <c:pt idx="855">
                  <c:v>192.57246091500255</c:v>
                </c:pt>
                <c:pt idx="856">
                  <c:v>192.65147482020541</c:v>
                </c:pt>
                <c:pt idx="857">
                  <c:v>192.73059037192596</c:v>
                </c:pt>
                <c:pt idx="858">
                  <c:v>192.80980779391862</c:v>
                </c:pt>
                <c:pt idx="859">
                  <c:v>192.88912731064116</c:v>
                </c:pt>
                <c:pt idx="860">
                  <c:v>192.96854914725606</c:v>
                </c:pt>
                <c:pt idx="861">
                  <c:v>193.0480735296338</c:v>
                </c:pt>
                <c:pt idx="862">
                  <c:v>193.12770068435651</c:v>
                </c:pt>
                <c:pt idx="863">
                  <c:v>193.20743083871977</c:v>
                </c:pt>
                <c:pt idx="864">
                  <c:v>193.28726422073646</c:v>
                </c:pt>
                <c:pt idx="865">
                  <c:v>193.36720105913946</c:v>
                </c:pt>
                <c:pt idx="866">
                  <c:v>193.44724158338468</c:v>
                </c:pt>
                <c:pt idx="867">
                  <c:v>193.52738602365292</c:v>
                </c:pt>
                <c:pt idx="868">
                  <c:v>193.60763461085509</c:v>
                </c:pt>
                <c:pt idx="869">
                  <c:v>193.68798757663325</c:v>
                </c:pt>
                <c:pt idx="870">
                  <c:v>193.7684451533639</c:v>
                </c:pt>
                <c:pt idx="871">
                  <c:v>193.84900757416315</c:v>
                </c:pt>
                <c:pt idx="872">
                  <c:v>193.92967507288597</c:v>
                </c:pt>
                <c:pt idx="873">
                  <c:v>194.0104478841331</c:v>
                </c:pt>
                <c:pt idx="874">
                  <c:v>194.09132624325119</c:v>
                </c:pt>
                <c:pt idx="875">
                  <c:v>194.17231038633778</c:v>
                </c:pt>
                <c:pt idx="876">
                  <c:v>194.25340055024358</c:v>
                </c:pt>
                <c:pt idx="877">
                  <c:v>194.33459697257624</c:v>
                </c:pt>
                <c:pt idx="878">
                  <c:v>194.41589989170231</c:v>
                </c:pt>
                <c:pt idx="879">
                  <c:v>194.49730954675175</c:v>
                </c:pt>
                <c:pt idx="880">
                  <c:v>194.57882617761987</c:v>
                </c:pt>
                <c:pt idx="881">
                  <c:v>194.66045002497182</c:v>
                </c:pt>
                <c:pt idx="882">
                  <c:v>194.74218133024505</c:v>
                </c:pt>
                <c:pt idx="883">
                  <c:v>194.82402033565262</c:v>
                </c:pt>
                <c:pt idx="884">
                  <c:v>194.9059672841862</c:v>
                </c:pt>
                <c:pt idx="885">
                  <c:v>194.98802241961965</c:v>
                </c:pt>
                <c:pt idx="886">
                  <c:v>195.07018598651291</c:v>
                </c:pt>
                <c:pt idx="887">
                  <c:v>195.15245823021402</c:v>
                </c:pt>
                <c:pt idx="888">
                  <c:v>195.23483939686312</c:v>
                </c:pt>
                <c:pt idx="889">
                  <c:v>195.31732973339615</c:v>
                </c:pt>
                <c:pt idx="890">
                  <c:v>195.39992948754767</c:v>
                </c:pt>
                <c:pt idx="891">
                  <c:v>195.48263890785398</c:v>
                </c:pt>
                <c:pt idx="892">
                  <c:v>195.56545824365753</c:v>
                </c:pt>
                <c:pt idx="893">
                  <c:v>195.64838774510895</c:v>
                </c:pt>
                <c:pt idx="894">
                  <c:v>195.73142766317201</c:v>
                </c:pt>
                <c:pt idx="895">
                  <c:v>195.81457824962555</c:v>
                </c:pt>
                <c:pt idx="896">
                  <c:v>195.89783975706814</c:v>
                </c:pt>
                <c:pt idx="897">
                  <c:v>195.98121243892103</c:v>
                </c:pt>
                <c:pt idx="898">
                  <c:v>196.06469654943146</c:v>
                </c:pt>
                <c:pt idx="899">
                  <c:v>196.14829234367619</c:v>
                </c:pt>
                <c:pt idx="900">
                  <c:v>196.232000077566</c:v>
                </c:pt>
                <c:pt idx="901">
                  <c:v>196.3158200078478</c:v>
                </c:pt>
                <c:pt idx="902">
                  <c:v>196.39975239210915</c:v>
                </c:pt>
                <c:pt idx="903">
                  <c:v>196.48379748878145</c:v>
                </c:pt>
                <c:pt idx="904">
                  <c:v>196.56795555714402</c:v>
                </c:pt>
                <c:pt idx="905">
                  <c:v>196.65222685732689</c:v>
                </c:pt>
                <c:pt idx="906">
                  <c:v>196.7366116503155</c:v>
                </c:pt>
                <c:pt idx="907">
                  <c:v>196.8211101979534</c:v>
                </c:pt>
                <c:pt idx="908">
                  <c:v>196.90572276294637</c:v>
                </c:pt>
                <c:pt idx="909">
                  <c:v>196.99044960886576</c:v>
                </c:pt>
                <c:pt idx="910">
                  <c:v>197.07529100015387</c:v>
                </c:pt>
                <c:pt idx="911">
                  <c:v>197.16024720212462</c:v>
                </c:pt>
                <c:pt idx="912">
                  <c:v>197.24531848097024</c:v>
                </c:pt>
                <c:pt idx="913">
                  <c:v>197.33050510376361</c:v>
                </c:pt>
                <c:pt idx="914">
                  <c:v>197.41580733846209</c:v>
                </c:pt>
                <c:pt idx="915">
                  <c:v>197.50122545391196</c:v>
                </c:pt>
                <c:pt idx="916">
                  <c:v>197.58675971985147</c:v>
                </c:pt>
                <c:pt idx="917">
                  <c:v>197.67241040691562</c:v>
                </c:pt>
                <c:pt idx="918">
                  <c:v>197.75817778663907</c:v>
                </c:pt>
                <c:pt idx="919">
                  <c:v>197.84406213146067</c:v>
                </c:pt>
                <c:pt idx="920">
                  <c:v>197.93006371472774</c:v>
                </c:pt>
                <c:pt idx="921">
                  <c:v>198.01618281069833</c:v>
                </c:pt>
                <c:pt idx="922">
                  <c:v>198.1024196945479</c:v>
                </c:pt>
                <c:pt idx="923">
                  <c:v>198.18877464237079</c:v>
                </c:pt>
                <c:pt idx="924">
                  <c:v>198.27524793118522</c:v>
                </c:pt>
                <c:pt idx="925">
                  <c:v>198.36183983893818</c:v>
                </c:pt>
                <c:pt idx="926">
                  <c:v>198.44855064450766</c:v>
                </c:pt>
                <c:pt idx="927">
                  <c:v>198.53538062770815</c:v>
                </c:pt>
                <c:pt idx="928">
                  <c:v>198.62233006929443</c:v>
                </c:pt>
                <c:pt idx="929">
                  <c:v>198.70939925096545</c:v>
                </c:pt>
                <c:pt idx="930">
                  <c:v>198.79658845536849</c:v>
                </c:pt>
                <c:pt idx="931">
                  <c:v>198.88389796610377</c:v>
                </c:pt>
                <c:pt idx="932">
                  <c:v>198.97132806772763</c:v>
                </c:pt>
                <c:pt idx="933">
                  <c:v>199.05887904575832</c:v>
                </c:pt>
                <c:pt idx="934">
                  <c:v>199.14655118667824</c:v>
                </c:pt>
                <c:pt idx="935">
                  <c:v>199.23434477794046</c:v>
                </c:pt>
                <c:pt idx="936">
                  <c:v>199.32226010797135</c:v>
                </c:pt>
                <c:pt idx="937">
                  <c:v>199.41029746617454</c:v>
                </c:pt>
                <c:pt idx="938">
                  <c:v>199.49845714293753</c:v>
                </c:pt>
                <c:pt idx="939">
                  <c:v>199.5867394296337</c:v>
                </c:pt>
                <c:pt idx="940">
                  <c:v>199.67514461862712</c:v>
                </c:pt>
                <c:pt idx="941">
                  <c:v>199.763673003279</c:v>
                </c:pt>
                <c:pt idx="942">
                  <c:v>199.85232487794923</c:v>
                </c:pt>
                <c:pt idx="943">
                  <c:v>199.94110053800185</c:v>
                </c:pt>
                <c:pt idx="944">
                  <c:v>200.03000027981145</c:v>
                </c:pt>
                <c:pt idx="945">
                  <c:v>200.11902440076366</c:v>
                </c:pt>
                <c:pt idx="946">
                  <c:v>200.20817319926434</c:v>
                </c:pt>
                <c:pt idx="947">
                  <c:v>200.29744697474035</c:v>
                </c:pt>
                <c:pt idx="948">
                  <c:v>200.38684602764587</c:v>
                </c:pt>
                <c:pt idx="949">
                  <c:v>200.47637065946716</c:v>
                </c:pt>
                <c:pt idx="950">
                  <c:v>200.56602117272632</c:v>
                </c:pt>
                <c:pt idx="951">
                  <c:v>200.65579787098596</c:v>
                </c:pt>
                <c:pt idx="952">
                  <c:v>200.74570105885525</c:v>
                </c:pt>
                <c:pt idx="953">
                  <c:v>200.83573104199345</c:v>
                </c:pt>
                <c:pt idx="954">
                  <c:v>200.92588812711367</c:v>
                </c:pt>
                <c:pt idx="955">
                  <c:v>201.01617262199022</c:v>
                </c:pt>
                <c:pt idx="956">
                  <c:v>201.10658483546123</c:v>
                </c:pt>
                <c:pt idx="957">
                  <c:v>201.19712507743415</c:v>
                </c:pt>
                <c:pt idx="958">
                  <c:v>201.28779365889105</c:v>
                </c:pt>
                <c:pt idx="959">
                  <c:v>201.37859089189271</c:v>
                </c:pt>
                <c:pt idx="960">
                  <c:v>201.46951708958358</c:v>
                </c:pt>
                <c:pt idx="961">
                  <c:v>201.56057256619738</c:v>
                </c:pt>
                <c:pt idx="962">
                  <c:v>201.65175763706185</c:v>
                </c:pt>
                <c:pt idx="963">
                  <c:v>201.74307261860281</c:v>
                </c:pt>
                <c:pt idx="964">
                  <c:v>201.83451782835016</c:v>
                </c:pt>
                <c:pt idx="965">
                  <c:v>201.92609358494278</c:v>
                </c:pt>
                <c:pt idx="966">
                  <c:v>202.01780020813322</c:v>
                </c:pt>
                <c:pt idx="967">
                  <c:v>202.10963801879262</c:v>
                </c:pt>
                <c:pt idx="968">
                  <c:v>202.20160733891666</c:v>
                </c:pt>
                <c:pt idx="969">
                  <c:v>202.29370849163018</c:v>
                </c:pt>
                <c:pt idx="970">
                  <c:v>202.38594180119176</c:v>
                </c:pt>
                <c:pt idx="971">
                  <c:v>202.47830759300049</c:v>
                </c:pt>
                <c:pt idx="972">
                  <c:v>202.57080619359931</c:v>
                </c:pt>
                <c:pt idx="973">
                  <c:v>202.66343793068197</c:v>
                </c:pt>
                <c:pt idx="974">
                  <c:v>202.75620313309673</c:v>
                </c:pt>
                <c:pt idx="975">
                  <c:v>202.84910213085294</c:v>
                </c:pt>
                <c:pt idx="976">
                  <c:v>202.94213525512592</c:v>
                </c:pt>
                <c:pt idx="977">
                  <c:v>203.03530283826302</c:v>
                </c:pt>
                <c:pt idx="978">
                  <c:v>203.12860521378664</c:v>
                </c:pt>
                <c:pt idx="979">
                  <c:v>203.22204271640345</c:v>
                </c:pt>
                <c:pt idx="980">
                  <c:v>203.31561568200613</c:v>
                </c:pt>
                <c:pt idx="981">
                  <c:v>203.40932444768174</c:v>
                </c:pt>
                <c:pt idx="982">
                  <c:v>203.5031693517152</c:v>
                </c:pt>
                <c:pt idx="983">
                  <c:v>203.59715073359612</c:v>
                </c:pt>
                <c:pt idx="984">
                  <c:v>203.69126893402461</c:v>
                </c:pt>
                <c:pt idx="985">
                  <c:v>203.78552429491484</c:v>
                </c:pt>
                <c:pt idx="986">
                  <c:v>203.87991715940365</c:v>
                </c:pt>
                <c:pt idx="987">
                  <c:v>203.9744478718539</c:v>
                </c:pt>
                <c:pt idx="988">
                  <c:v>204.06911677786144</c:v>
                </c:pt>
                <c:pt idx="989">
                  <c:v>204.16392422426014</c:v>
                </c:pt>
                <c:pt idx="990">
                  <c:v>204.25887055912852</c:v>
                </c:pt>
                <c:pt idx="991">
                  <c:v>204.353956131795</c:v>
                </c:pt>
                <c:pt idx="992">
                  <c:v>204.44918129284349</c:v>
                </c:pt>
                <c:pt idx="993">
                  <c:v>204.54454639411978</c:v>
                </c:pt>
                <c:pt idx="994">
                  <c:v>204.64005178873779</c:v>
                </c:pt>
                <c:pt idx="995">
                  <c:v>204.73569783108491</c:v>
                </c:pt>
                <c:pt idx="996">
                  <c:v>204.83148487682749</c:v>
                </c:pt>
                <c:pt idx="997">
                  <c:v>204.92741328291885</c:v>
                </c:pt>
                <c:pt idx="998">
                  <c:v>205.02348340760309</c:v>
                </c:pt>
                <c:pt idx="999">
                  <c:v>205.1196956104223</c:v>
                </c:pt>
                <c:pt idx="1000">
                  <c:v>205.21605025222294</c:v>
                </c:pt>
                <c:pt idx="1001">
                  <c:v>205.31254769516161</c:v>
                </c:pt>
                <c:pt idx="1002">
                  <c:v>205.40918830271144</c:v>
                </c:pt>
                <c:pt idx="1003">
                  <c:v>205.50597243966735</c:v>
                </c:pt>
                <c:pt idx="1004">
                  <c:v>205.60290047215429</c:v>
                </c:pt>
                <c:pt idx="1005">
                  <c:v>205.69997276763172</c:v>
                </c:pt>
                <c:pt idx="1006">
                  <c:v>205.79718969490142</c:v>
                </c:pt>
                <c:pt idx="1007">
                  <c:v>205.89455162411258</c:v>
                </c:pt>
                <c:pt idx="1008">
                  <c:v>205.99205892676937</c:v>
                </c:pt>
                <c:pt idx="1009">
                  <c:v>206.08971197573649</c:v>
                </c:pt>
                <c:pt idx="1010">
                  <c:v>206.18751114524613</c:v>
                </c:pt>
                <c:pt idx="1011">
                  <c:v>206.28545681090461</c:v>
                </c:pt>
                <c:pt idx="1012">
                  <c:v>206.38354934969897</c:v>
                </c:pt>
                <c:pt idx="1013">
                  <c:v>206.48178914000343</c:v>
                </c:pt>
                <c:pt idx="1014">
                  <c:v>206.58017656158586</c:v>
                </c:pt>
                <c:pt idx="1015">
                  <c:v>206.67871199561498</c:v>
                </c:pt>
                <c:pt idx="1016">
                  <c:v>206.77739582466663</c:v>
                </c:pt>
                <c:pt idx="1017">
                  <c:v>206.87622843273141</c:v>
                </c:pt>
                <c:pt idx="1018">
                  <c:v>206.97521020521984</c:v>
                </c:pt>
                <c:pt idx="1019">
                  <c:v>207.07434152897139</c:v>
                </c:pt>
                <c:pt idx="1020">
                  <c:v>207.17362279225975</c:v>
                </c:pt>
                <c:pt idx="1021">
                  <c:v>207.27305438479979</c:v>
                </c:pt>
                <c:pt idx="1022">
                  <c:v>207.37263669775646</c:v>
                </c:pt>
                <c:pt idx="1023">
                  <c:v>207.47237012374876</c:v>
                </c:pt>
                <c:pt idx="1024">
                  <c:v>207.5722550568602</c:v>
                </c:pt>
                <c:pt idx="1025">
                  <c:v>207.67229189264299</c:v>
                </c:pt>
                <c:pt idx="1026">
                  <c:v>207.77248102812715</c:v>
                </c:pt>
                <c:pt idx="1027">
                  <c:v>207.87282286182636</c:v>
                </c:pt>
                <c:pt idx="1028">
                  <c:v>207.97331779374645</c:v>
                </c:pt>
                <c:pt idx="1029">
                  <c:v>208.0739662253923</c:v>
                </c:pt>
                <c:pt idx="1030">
                  <c:v>208.17476855977392</c:v>
                </c:pt>
                <c:pt idx="1031">
                  <c:v>208.27572520141604</c:v>
                </c:pt>
                <c:pt idx="1032">
                  <c:v>208.37683655636371</c:v>
                </c:pt>
                <c:pt idx="1033">
                  <c:v>208.47810303219092</c:v>
                </c:pt>
                <c:pt idx="1034">
                  <c:v>208.57952503800752</c:v>
                </c:pt>
                <c:pt idx="1035">
                  <c:v>208.68110298446663</c:v>
                </c:pt>
                <c:pt idx="1036">
                  <c:v>208.78283728377261</c:v>
                </c:pt>
                <c:pt idx="1037">
                  <c:v>208.88472834968965</c:v>
                </c:pt>
                <c:pt idx="1038">
                  <c:v>208.98677659754668</c:v>
                </c:pt>
                <c:pt idx="1039">
                  <c:v>209.08898244424876</c:v>
                </c:pt>
                <c:pt idx="1040">
                  <c:v>209.19134630828162</c:v>
                </c:pt>
                <c:pt idx="1041">
                  <c:v>209.29386860972204</c:v>
                </c:pt>
                <c:pt idx="1042">
                  <c:v>209.39654977024384</c:v>
                </c:pt>
                <c:pt idx="1043">
                  <c:v>209.49939021312662</c:v>
                </c:pt>
                <c:pt idx="1044">
                  <c:v>209.60239036326499</c:v>
                </c:pt>
                <c:pt idx="1045">
                  <c:v>209.70555064717351</c:v>
                </c:pt>
                <c:pt idx="1046">
                  <c:v>209.80887149299795</c:v>
                </c:pt>
                <c:pt idx="1047">
                  <c:v>209.91235333052197</c:v>
                </c:pt>
                <c:pt idx="1048">
                  <c:v>210.01599659117477</c:v>
                </c:pt>
                <c:pt idx="1049">
                  <c:v>210.11980170804094</c:v>
                </c:pt>
                <c:pt idx="1050">
                  <c:v>210.22376911586755</c:v>
                </c:pt>
                <c:pt idx="1051">
                  <c:v>210.32789925107235</c:v>
                </c:pt>
                <c:pt idx="1052">
                  <c:v>210.43219255175333</c:v>
                </c:pt>
                <c:pt idx="1053">
                  <c:v>210.53664945769543</c:v>
                </c:pt>
                <c:pt idx="1054">
                  <c:v>210.64127041038151</c:v>
                </c:pt>
                <c:pt idx="1055">
                  <c:v>210.74605585299824</c:v>
                </c:pt>
                <c:pt idx="1056">
                  <c:v>210.85100623044616</c:v>
                </c:pt>
                <c:pt idx="1057">
                  <c:v>210.95612198934879</c:v>
                </c:pt>
                <c:pt idx="1058">
                  <c:v>211.06140357806001</c:v>
                </c:pt>
                <c:pt idx="1059">
                  <c:v>211.16685144667386</c:v>
                </c:pt>
                <c:pt idx="1060">
                  <c:v>211.27246604703237</c:v>
                </c:pt>
                <c:pt idx="1061">
                  <c:v>211.37824783273592</c:v>
                </c:pt>
                <c:pt idx="1062">
                  <c:v>211.48419725915053</c:v>
                </c:pt>
                <c:pt idx="1063">
                  <c:v>211.59031478341831</c:v>
                </c:pt>
                <c:pt idx="1064">
                  <c:v>211.69660086446549</c:v>
                </c:pt>
                <c:pt idx="1065">
                  <c:v>211.80305596301201</c:v>
                </c:pt>
                <c:pt idx="1066">
                  <c:v>211.90968054158034</c:v>
                </c:pt>
                <c:pt idx="1067">
                  <c:v>212.01647506450541</c:v>
                </c:pt>
                <c:pt idx="1068">
                  <c:v>212.12343999794308</c:v>
                </c:pt>
                <c:pt idx="1069">
                  <c:v>212.23057580987947</c:v>
                </c:pt>
                <c:pt idx="1070">
                  <c:v>212.33788297014164</c:v>
                </c:pt>
                <c:pt idx="1071">
                  <c:v>212.44536195040499</c:v>
                </c:pt>
                <c:pt idx="1072">
                  <c:v>212.55301322420493</c:v>
                </c:pt>
                <c:pt idx="1073">
                  <c:v>212.66083726694453</c:v>
                </c:pt>
                <c:pt idx="1074">
                  <c:v>212.76883455590578</c:v>
                </c:pt>
                <c:pt idx="1075">
                  <c:v>212.87700557025823</c:v>
                </c:pt>
                <c:pt idx="1076">
                  <c:v>212.98535079106924</c:v>
                </c:pt>
                <c:pt idx="1077">
                  <c:v>213.09387070131336</c:v>
                </c:pt>
                <c:pt idx="1078">
                  <c:v>213.20256578588297</c:v>
                </c:pt>
                <c:pt idx="1079">
                  <c:v>213.31143653159737</c:v>
                </c:pt>
                <c:pt idx="1080">
                  <c:v>213.42048342721375</c:v>
                </c:pt>
                <c:pt idx="1081">
                  <c:v>213.5297069634365</c:v>
                </c:pt>
                <c:pt idx="1082">
                  <c:v>213.63910763292733</c:v>
                </c:pt>
                <c:pt idx="1083">
                  <c:v>213.7486859303161</c:v>
                </c:pt>
                <c:pt idx="1084">
                  <c:v>213.85844235221083</c:v>
                </c:pt>
                <c:pt idx="1085">
                  <c:v>213.96837739720735</c:v>
                </c:pt>
                <c:pt idx="1086">
                  <c:v>214.07849156590117</c:v>
                </c:pt>
                <c:pt idx="1087">
                  <c:v>214.1887853608967</c:v>
                </c:pt>
                <c:pt idx="1088">
                  <c:v>214.29925928681868</c:v>
                </c:pt>
                <c:pt idx="1089">
                  <c:v>214.40991385032103</c:v>
                </c:pt>
                <c:pt idx="1090">
                  <c:v>214.52074956010105</c:v>
                </c:pt>
                <c:pt idx="1091">
                  <c:v>214.63176692690595</c:v>
                </c:pt>
                <c:pt idx="1092">
                  <c:v>214.74296646354642</c:v>
                </c:pt>
                <c:pt idx="1093">
                  <c:v>214.85434868490765</c:v>
                </c:pt>
                <c:pt idx="1094">
                  <c:v>214.96591410795821</c:v>
                </c:pt>
                <c:pt idx="1095">
                  <c:v>215.07766325176303</c:v>
                </c:pt>
                <c:pt idx="1096">
                  <c:v>215.18959663749374</c:v>
                </c:pt>
                <c:pt idx="1097">
                  <c:v>215.30171478843985</c:v>
                </c:pt>
                <c:pt idx="1098">
                  <c:v>215.4140182300201</c:v>
                </c:pt>
                <c:pt idx="1099">
                  <c:v>215.52650748979428</c:v>
                </c:pt>
                <c:pt idx="1100">
                  <c:v>215.63918309747336</c:v>
                </c:pt>
                <c:pt idx="1101">
                  <c:v>215.7520455849324</c:v>
                </c:pt>
                <c:pt idx="1102">
                  <c:v>215.86509548622104</c:v>
                </c:pt>
                <c:pt idx="1103">
                  <c:v>215.97833333757657</c:v>
                </c:pt>
                <c:pt idx="1104">
                  <c:v>216.09175967743298</c:v>
                </c:pt>
                <c:pt idx="1105">
                  <c:v>216.20537504643607</c:v>
                </c:pt>
                <c:pt idx="1106">
                  <c:v>216.31917998745286</c:v>
                </c:pt>
                <c:pt idx="1107">
                  <c:v>216.43317504558416</c:v>
                </c:pt>
                <c:pt idx="1108">
                  <c:v>216.5473607681777</c:v>
                </c:pt>
                <c:pt idx="1109">
                  <c:v>216.66173770483854</c:v>
                </c:pt>
                <c:pt idx="1110">
                  <c:v>216.77630640744255</c:v>
                </c:pt>
                <c:pt idx="1111">
                  <c:v>216.89106743014756</c:v>
                </c:pt>
                <c:pt idx="1112">
                  <c:v>217.0060213294073</c:v>
                </c:pt>
                <c:pt idx="1113">
                  <c:v>217.12116866398208</c:v>
                </c:pt>
                <c:pt idx="1114">
                  <c:v>217.23650999495248</c:v>
                </c:pt>
                <c:pt idx="1115">
                  <c:v>217.35204588573154</c:v>
                </c:pt>
                <c:pt idx="1116">
                  <c:v>217.46777690207747</c:v>
                </c:pt>
                <c:pt idx="1117">
                  <c:v>217.58370361210638</c:v>
                </c:pt>
                <c:pt idx="1118">
                  <c:v>217.69982658630542</c:v>
                </c:pt>
                <c:pt idx="1119">
                  <c:v>217.81614639754542</c:v>
                </c:pt>
                <c:pt idx="1120">
                  <c:v>217.93266362109409</c:v>
                </c:pt>
                <c:pt idx="1121">
                  <c:v>218.04937883462893</c:v>
                </c:pt>
                <c:pt idx="1122">
                  <c:v>218.16629261825076</c:v>
                </c:pt>
                <c:pt idx="1123">
                  <c:v>218.28340555449671</c:v>
                </c:pt>
                <c:pt idx="1124">
                  <c:v>218.40071822835409</c:v>
                </c:pt>
                <c:pt idx="1125">
                  <c:v>218.51823122727322</c:v>
                </c:pt>
                <c:pt idx="1126">
                  <c:v>218.63594514118154</c:v>
                </c:pt>
                <c:pt idx="1127">
                  <c:v>218.75386056249678</c:v>
                </c:pt>
                <c:pt idx="1128">
                  <c:v>218.87197808614141</c:v>
                </c:pt>
                <c:pt idx="1129">
                  <c:v>218.99029830955595</c:v>
                </c:pt>
                <c:pt idx="1130">
                  <c:v>219.10882183271309</c:v>
                </c:pt>
                <c:pt idx="1131">
                  <c:v>219.22754925813169</c:v>
                </c:pt>
                <c:pt idx="1132">
                  <c:v>219.34648119089096</c:v>
                </c:pt>
                <c:pt idx="1133">
                  <c:v>219.46561823864488</c:v>
                </c:pt>
                <c:pt idx="1134">
                  <c:v>219.58496101163612</c:v>
                </c:pt>
                <c:pt idx="1135">
                  <c:v>219.70451012271101</c:v>
                </c:pt>
                <c:pt idx="1136">
                  <c:v>219.82426618733345</c:v>
                </c:pt>
                <c:pt idx="1137">
                  <c:v>219.94422982360027</c:v>
                </c:pt>
                <c:pt idx="1138">
                  <c:v>220.06440165225547</c:v>
                </c:pt>
                <c:pt idx="1139">
                  <c:v>220.18478229670492</c:v>
                </c:pt>
                <c:pt idx="1140">
                  <c:v>220.30537238303197</c:v>
                </c:pt>
                <c:pt idx="1141">
                  <c:v>220.426172540012</c:v>
                </c:pt>
                <c:pt idx="1142">
                  <c:v>220.54718339912785</c:v>
                </c:pt>
                <c:pt idx="1143">
                  <c:v>220.66840559458447</c:v>
                </c:pt>
                <c:pt idx="1144">
                  <c:v>220.78983976332512</c:v>
                </c:pt>
                <c:pt idx="1145">
                  <c:v>220.91148654504627</c:v>
                </c:pt>
                <c:pt idx="1146">
                  <c:v>221.03334658221377</c:v>
                </c:pt>
                <c:pt idx="1147">
                  <c:v>221.15542052007751</c:v>
                </c:pt>
                <c:pt idx="1148">
                  <c:v>221.27770900668853</c:v>
                </c:pt>
                <c:pt idx="1149">
                  <c:v>221.40021269291395</c:v>
                </c:pt>
                <c:pt idx="1150">
                  <c:v>221.52293223245337</c:v>
                </c:pt>
                <c:pt idx="1151">
                  <c:v>221.64586828185489</c:v>
                </c:pt>
                <c:pt idx="1152">
                  <c:v>221.76902150053166</c:v>
                </c:pt>
                <c:pt idx="1153">
                  <c:v>221.89239255077777</c:v>
                </c:pt>
                <c:pt idx="1154">
                  <c:v>222.0159820977853</c:v>
                </c:pt>
                <c:pt idx="1155">
                  <c:v>222.13979080966044</c:v>
                </c:pt>
                <c:pt idx="1156">
                  <c:v>222.26381935744035</c:v>
                </c:pt>
                <c:pt idx="1157">
                  <c:v>222.38806841511001</c:v>
                </c:pt>
                <c:pt idx="1158">
                  <c:v>222.51253865961951</c:v>
                </c:pt>
                <c:pt idx="1159">
                  <c:v>222.6372307709006</c:v>
                </c:pt>
                <c:pt idx="1160">
                  <c:v>222.76214543188436</c:v>
                </c:pt>
                <c:pt idx="1161">
                  <c:v>222.88728332851784</c:v>
                </c:pt>
                <c:pt idx="1162">
                  <c:v>223.01264514978254</c:v>
                </c:pt>
                <c:pt idx="1163">
                  <c:v>223.13823158771092</c:v>
                </c:pt>
                <c:pt idx="1164">
                  <c:v>223.26404333740476</c:v>
                </c:pt>
                <c:pt idx="1165">
                  <c:v>223.3900810970531</c:v>
                </c:pt>
                <c:pt idx="1166">
                  <c:v>223.51634556794986</c:v>
                </c:pt>
                <c:pt idx="1167">
                  <c:v>223.64283745451118</c:v>
                </c:pt>
                <c:pt idx="1168">
                  <c:v>223.76955746429579</c:v>
                </c:pt>
                <c:pt idx="1169">
                  <c:v>223.89650630802095</c:v>
                </c:pt>
                <c:pt idx="1170">
                  <c:v>224.02368469958259</c:v>
                </c:pt>
                <c:pt idx="1171">
                  <c:v>224.15109335607295</c:v>
                </c:pt>
                <c:pt idx="1172">
                  <c:v>224.27873299780006</c:v>
                </c:pt>
                <c:pt idx="1173">
                  <c:v>224.40660434830605</c:v>
                </c:pt>
                <c:pt idx="1174">
                  <c:v>224.53470813438662</c:v>
                </c:pt>
                <c:pt idx="1175">
                  <c:v>224.66304508610989</c:v>
                </c:pt>
                <c:pt idx="1176">
                  <c:v>224.79161593683565</c:v>
                </c:pt>
                <c:pt idx="1177">
                  <c:v>224.92042142323544</c:v>
                </c:pt>
                <c:pt idx="1178">
                  <c:v>225.04946228531099</c:v>
                </c:pt>
                <c:pt idx="1179">
                  <c:v>225.17873926641545</c:v>
                </c:pt>
                <c:pt idx="1180">
                  <c:v>225.3082531132716</c:v>
                </c:pt>
                <c:pt idx="1181">
                  <c:v>225.43800457599363</c:v>
                </c:pt>
                <c:pt idx="1182">
                  <c:v>225.56799440810585</c:v>
                </c:pt>
                <c:pt idx="1183">
                  <c:v>225.69822336656321</c:v>
                </c:pt>
                <c:pt idx="1184">
                  <c:v>225.82869221177316</c:v>
                </c:pt>
                <c:pt idx="1185">
                  <c:v>225.95940170761449</c:v>
                </c:pt>
                <c:pt idx="1186">
                  <c:v>226.09035262145889</c:v>
                </c:pt>
                <c:pt idx="1187">
                  <c:v>226.22154572419225</c:v>
                </c:pt>
                <c:pt idx="1188">
                  <c:v>226.35298179023502</c:v>
                </c:pt>
                <c:pt idx="1189">
                  <c:v>226.48466159756404</c:v>
                </c:pt>
                <c:pt idx="1190">
                  <c:v>226.61658592773304</c:v>
                </c:pt>
                <c:pt idx="1191">
                  <c:v>226.74875556589598</c:v>
                </c:pt>
                <c:pt idx="1192">
                  <c:v>226.88117130082637</c:v>
                </c:pt>
                <c:pt idx="1193">
                  <c:v>227.01383392494134</c:v>
                </c:pt>
                <c:pt idx="1194">
                  <c:v>227.14674423432234</c:v>
                </c:pt>
                <c:pt idx="1195">
                  <c:v>227.27990302873783</c:v>
                </c:pt>
                <c:pt idx="1196">
                  <c:v>227.41331111166585</c:v>
                </c:pt>
                <c:pt idx="1197">
                  <c:v>227.54696929031593</c:v>
                </c:pt>
                <c:pt idx="1198">
                  <c:v>227.68087837565255</c:v>
                </c:pt>
                <c:pt idx="1199">
                  <c:v>227.81503918241754</c:v>
                </c:pt>
                <c:pt idx="1200">
                  <c:v>227.94945252915329</c:v>
                </c:pt>
                <c:pt idx="1201">
                  <c:v>228.08411923822604</c:v>
                </c:pt>
                <c:pt idx="1202">
                  <c:v>228.21904013584921</c:v>
                </c:pt>
                <c:pt idx="1203">
                  <c:v>228.35421605210715</c:v>
                </c:pt>
                <c:pt idx="1204">
                  <c:v>228.48964782097846</c:v>
                </c:pt>
                <c:pt idx="1205">
                  <c:v>228.62533628036073</c:v>
                </c:pt>
                <c:pt idx="1206">
                  <c:v>228.76128227209421</c:v>
                </c:pt>
                <c:pt idx="1207">
                  <c:v>228.89748664198578</c:v>
                </c:pt>
                <c:pt idx="1208">
                  <c:v>229.0339502398339</c:v>
                </c:pt>
                <c:pt idx="1209">
                  <c:v>229.17067391945383</c:v>
                </c:pt>
                <c:pt idx="1210">
                  <c:v>229.30765853870102</c:v>
                </c:pt>
                <c:pt idx="1211">
                  <c:v>229.44490495949768</c:v>
                </c:pt>
                <c:pt idx="1212">
                  <c:v>229.58241404785736</c:v>
                </c:pt>
                <c:pt idx="1213">
                  <c:v>229.72018667391058</c:v>
                </c:pt>
                <c:pt idx="1214">
                  <c:v>229.85822371193024</c:v>
                </c:pt>
                <c:pt idx="1215">
                  <c:v>229.99652604035765</c:v>
                </c:pt>
                <c:pt idx="1216">
                  <c:v>230.13509454182889</c:v>
                </c:pt>
                <c:pt idx="1217">
                  <c:v>230.27393010320063</c:v>
                </c:pt>
                <c:pt idx="1218">
                  <c:v>230.41303361557675</c:v>
                </c:pt>
                <c:pt idx="1219">
                  <c:v>230.5524059743351</c:v>
                </c:pt>
                <c:pt idx="1220">
                  <c:v>230.69204807915412</c:v>
                </c:pt>
                <c:pt idx="1221">
                  <c:v>230.83196083404053</c:v>
                </c:pt>
                <c:pt idx="1222">
                  <c:v>230.97214514735535</c:v>
                </c:pt>
                <c:pt idx="1223">
                  <c:v>231.11260193184364</c:v>
                </c:pt>
                <c:pt idx="1224">
                  <c:v>231.25333210465979</c:v>
                </c:pt>
                <c:pt idx="1225">
                  <c:v>231.39433658739674</c:v>
                </c:pt>
                <c:pt idx="1226">
                  <c:v>231.53561630611446</c:v>
                </c:pt>
                <c:pt idx="1227">
                  <c:v>231.67717219136742</c:v>
                </c:pt>
                <c:pt idx="1228">
                  <c:v>231.8190051782336</c:v>
                </c:pt>
                <c:pt idx="1229">
                  <c:v>231.96111620634386</c:v>
                </c:pt>
                <c:pt idx="1230">
                  <c:v>232.10350621990992</c:v>
                </c:pt>
                <c:pt idx="1231">
                  <c:v>232.24617616775495</c:v>
                </c:pt>
                <c:pt idx="1232">
                  <c:v>232.38912700334186</c:v>
                </c:pt>
                <c:pt idx="1233">
                  <c:v>232.53235968480362</c:v>
                </c:pt>
                <c:pt idx="1234">
                  <c:v>232.67587517497375</c:v>
                </c:pt>
                <c:pt idx="1235">
                  <c:v>232.81967444141591</c:v>
                </c:pt>
                <c:pt idx="1236">
                  <c:v>232.96375845645423</c:v>
                </c:pt>
                <c:pt idx="1237">
                  <c:v>233.10812819720471</c:v>
                </c:pt>
                <c:pt idx="1238">
                  <c:v>233.25278464560614</c:v>
                </c:pt>
                <c:pt idx="1239">
                  <c:v>233.39772878845062</c:v>
                </c:pt>
                <c:pt idx="1240">
                  <c:v>233.54296161741556</c:v>
                </c:pt>
                <c:pt idx="1241">
                  <c:v>233.68848412909549</c:v>
                </c:pt>
                <c:pt idx="1242">
                  <c:v>233.83429732503342</c:v>
                </c:pt>
                <c:pt idx="1243">
                  <c:v>233.98040221175447</c:v>
                </c:pt>
                <c:pt idx="1244">
                  <c:v>234.12679980079693</c:v>
                </c:pt>
                <c:pt idx="1245">
                  <c:v>234.27349110874528</c:v>
                </c:pt>
                <c:pt idx="1246">
                  <c:v>234.42047715726397</c:v>
                </c:pt>
                <c:pt idx="1247">
                  <c:v>234.56775897312994</c:v>
                </c:pt>
                <c:pt idx="1248">
                  <c:v>234.71533758826692</c:v>
                </c:pt>
                <c:pt idx="1249">
                  <c:v>234.86321403977868</c:v>
                </c:pt>
                <c:pt idx="1250">
                  <c:v>235.01138936998291</c:v>
                </c:pt>
                <c:pt idx="1251">
                  <c:v>235.1598646264471</c:v>
                </c:pt>
                <c:pt idx="1252">
                  <c:v>235.30864086202121</c:v>
                </c:pt>
                <c:pt idx="1253">
                  <c:v>235.45771913487434</c:v>
                </c:pt>
                <c:pt idx="1254">
                  <c:v>235.60710050852876</c:v>
                </c:pt>
                <c:pt idx="1255">
                  <c:v>235.75678605189646</c:v>
                </c:pt>
                <c:pt idx="1256">
                  <c:v>235.90677683931369</c:v>
                </c:pt>
                <c:pt idx="1257">
                  <c:v>236.05707395057931</c:v>
                </c:pt>
                <c:pt idx="1258">
                  <c:v>236.20767847098864</c:v>
                </c:pt>
                <c:pt idx="1259">
                  <c:v>236.3585914913721</c:v>
                </c:pt>
                <c:pt idx="1260">
                  <c:v>236.50981410813085</c:v>
                </c:pt>
                <c:pt idx="1261">
                  <c:v>236.661347423276</c:v>
                </c:pt>
                <c:pt idx="1262">
                  <c:v>236.81319254446387</c:v>
                </c:pt>
                <c:pt idx="1263">
                  <c:v>236.96535058503613</c:v>
                </c:pt>
                <c:pt idx="1264">
                  <c:v>237.11782266405686</c:v>
                </c:pt>
                <c:pt idx="1265">
                  <c:v>237.27060990635172</c:v>
                </c:pt>
                <c:pt idx="1266">
                  <c:v>237.42371344254624</c:v>
                </c:pt>
                <c:pt idx="1267">
                  <c:v>237.57713440910624</c:v>
                </c:pt>
                <c:pt idx="1268">
                  <c:v>237.73087394837603</c:v>
                </c:pt>
                <c:pt idx="1269">
                  <c:v>237.88493320861957</c:v>
                </c:pt>
                <c:pt idx="1270">
                  <c:v>238.03931334405979</c:v>
                </c:pt>
                <c:pt idx="1271">
                  <c:v>238.19401551491984</c:v>
                </c:pt>
                <c:pt idx="1272">
                  <c:v>238.34904088746376</c:v>
                </c:pt>
                <c:pt idx="1273">
                  <c:v>238.50439063403783</c:v>
                </c:pt>
                <c:pt idx="1274">
                  <c:v>238.66006593311235</c:v>
                </c:pt>
                <c:pt idx="1275">
                  <c:v>238.81606796932363</c:v>
                </c:pt>
                <c:pt idx="1276">
                  <c:v>238.97239793351562</c:v>
                </c:pt>
                <c:pt idx="1277">
                  <c:v>239.12905702278414</c:v>
                </c:pt>
                <c:pt idx="1278">
                  <c:v>239.28604644051836</c:v>
                </c:pt>
                <c:pt idx="1279">
                  <c:v>239.44336739644564</c:v>
                </c:pt>
                <c:pt idx="1280">
                  <c:v>239.60102110667435</c:v>
                </c:pt>
                <c:pt idx="1281">
                  <c:v>239.75900879373853</c:v>
                </c:pt>
                <c:pt idx="1282">
                  <c:v>239.91733168664223</c:v>
                </c:pt>
                <c:pt idx="1283">
                  <c:v>240.07599102090506</c:v>
                </c:pt>
                <c:pt idx="1284">
                  <c:v>240.23498803860704</c:v>
                </c:pt>
                <c:pt idx="1285">
                  <c:v>240.39432398843411</c:v>
                </c:pt>
                <c:pt idx="1286">
                  <c:v>240.55400012572508</c:v>
                </c:pt>
                <c:pt idx="1287">
                  <c:v>240.71401771251757</c:v>
                </c:pt>
                <c:pt idx="1288">
                  <c:v>240.87437801759529</c:v>
                </c:pt>
                <c:pt idx="1289">
                  <c:v>241.03508231653524</c:v>
                </c:pt>
                <c:pt idx="1290">
                  <c:v>241.19613189175536</c:v>
                </c:pt>
                <c:pt idx="1291">
                  <c:v>241.35752803256327</c:v>
                </c:pt>
                <c:pt idx="1292">
                  <c:v>241.51927203520376</c:v>
                </c:pt>
                <c:pt idx="1293">
                  <c:v>241.68136520290975</c:v>
                </c:pt>
                <c:pt idx="1294">
                  <c:v>241.84380884594952</c:v>
                </c:pt>
                <c:pt idx="1295">
                  <c:v>242.00660428167836</c:v>
                </c:pt>
                <c:pt idx="1296">
                  <c:v>242.16975283458831</c:v>
                </c:pt>
                <c:pt idx="1297">
                  <c:v>242.33325583635843</c:v>
                </c:pt>
                <c:pt idx="1298">
                  <c:v>242.49711462590699</c:v>
                </c:pt>
                <c:pt idx="1299">
                  <c:v>242.66133054944271</c:v>
                </c:pt>
                <c:pt idx="1300">
                  <c:v>242.82590496051694</c:v>
                </c:pt>
                <c:pt idx="1301">
                  <c:v>242.99083922007617</c:v>
                </c:pt>
                <c:pt idx="1302">
                  <c:v>243.15613469651544</c:v>
                </c:pt>
                <c:pt idx="1303">
                  <c:v>243.3217927657316</c:v>
                </c:pt>
                <c:pt idx="1304">
                  <c:v>243.48781481117774</c:v>
                </c:pt>
                <c:pt idx="1305">
                  <c:v>243.65420222391717</c:v>
                </c:pt>
                <c:pt idx="1306">
                  <c:v>243.82095640267869</c:v>
                </c:pt>
                <c:pt idx="1307">
                  <c:v>243.98807875391284</c:v>
                </c:pt>
                <c:pt idx="1308">
                  <c:v>244.15557069184638</c:v>
                </c:pt>
                <c:pt idx="1309">
                  <c:v>244.32343363854025</c:v>
                </c:pt>
                <c:pt idx="1310">
                  <c:v>244.4916690239458</c:v>
                </c:pt>
                <c:pt idx="1311">
                  <c:v>244.66027828596282</c:v>
                </c:pt>
                <c:pt idx="1312">
                  <c:v>244.8292628704971</c:v>
                </c:pt>
                <c:pt idx="1313">
                  <c:v>244.99862423151939</c:v>
                </c:pt>
                <c:pt idx="1314">
                  <c:v>245.16836383112451</c:v>
                </c:pt>
                <c:pt idx="1315">
                  <c:v>245.33848313959081</c:v>
                </c:pt>
                <c:pt idx="1316">
                  <c:v>245.50898363544098</c:v>
                </c:pt>
                <c:pt idx="1317">
                  <c:v>245.67986680550172</c:v>
                </c:pt>
                <c:pt idx="1318">
                  <c:v>245.85113414496615</c:v>
                </c:pt>
                <c:pt idx="1319">
                  <c:v>246.02278715745524</c:v>
                </c:pt>
                <c:pt idx="1320">
                  <c:v>246.19482735508029</c:v>
                </c:pt>
                <c:pt idx="1321">
                  <c:v>246.36725625850593</c:v>
                </c:pt>
                <c:pt idx="1322">
                  <c:v>246.54007539701371</c:v>
                </c:pt>
                <c:pt idx="1323">
                  <c:v>246.71328630856655</c:v>
                </c:pt>
                <c:pt idx="1324">
                  <c:v>246.88689053987332</c:v>
                </c:pt>
                <c:pt idx="1325">
                  <c:v>247.06088964645411</c:v>
                </c:pt>
                <c:pt idx="1326">
                  <c:v>247.2352851927071</c:v>
                </c:pt>
                <c:pt idx="1327">
                  <c:v>247.41007875197349</c:v>
                </c:pt>
                <c:pt idx="1328">
                  <c:v>247.58527190660624</c:v>
                </c:pt>
                <c:pt idx="1329">
                  <c:v>247.76086624803816</c:v>
                </c:pt>
                <c:pt idx="1330">
                  <c:v>247.93686337684872</c:v>
                </c:pt>
                <c:pt idx="1331">
                  <c:v>248.11326490283471</c:v>
                </c:pt>
                <c:pt idx="1332">
                  <c:v>248.29007244507955</c:v>
                </c:pt>
                <c:pt idx="1333">
                  <c:v>248.4672876320237</c:v>
                </c:pt>
                <c:pt idx="1334">
                  <c:v>248.64491210153585</c:v>
                </c:pt>
                <c:pt idx="1335">
                  <c:v>248.82294750098521</c:v>
                </c:pt>
                <c:pt idx="1336">
                  <c:v>249.00139548731235</c:v>
                </c:pt>
                <c:pt idx="1337">
                  <c:v>249.18025772710484</c:v>
                </c:pt>
                <c:pt idx="1338">
                  <c:v>249.35953589666954</c:v>
                </c:pt>
                <c:pt idx="1339">
                  <c:v>249.53923168210667</c:v>
                </c:pt>
                <c:pt idx="1340">
                  <c:v>249.71934677938665</c:v>
                </c:pt>
                <c:pt idx="1341">
                  <c:v>249.89988289442505</c:v>
                </c:pt>
                <c:pt idx="1342">
                  <c:v>250.08084174315985</c:v>
                </c:pt>
                <c:pt idx="1343">
                  <c:v>250.26222505162843</c:v>
                </c:pt>
                <c:pt idx="1344">
                  <c:v>250.44403455604592</c:v>
                </c:pt>
                <c:pt idx="1345">
                  <c:v>250.62627200288441</c:v>
                </c:pt>
                <c:pt idx="1346">
                  <c:v>250.80893914895276</c:v>
                </c:pt>
                <c:pt idx="1347">
                  <c:v>250.99203776147638</c:v>
                </c:pt>
                <c:pt idx="1348">
                  <c:v>251.17556961817988</c:v>
                </c:pt>
                <c:pt idx="1349">
                  <c:v>251.35953650736712</c:v>
                </c:pt>
                <c:pt idx="1350">
                  <c:v>251.54394022800597</c:v>
                </c:pt>
                <c:pt idx="1351">
                  <c:v>251.7287825898114</c:v>
                </c:pt>
                <c:pt idx="1352">
                  <c:v>251.9140654133291</c:v>
                </c:pt>
                <c:pt idx="1353">
                  <c:v>252.09979053002229</c:v>
                </c:pt>
                <c:pt idx="1354">
                  <c:v>252.28595978235674</c:v>
                </c:pt>
                <c:pt idx="1355">
                  <c:v>252.47257502388823</c:v>
                </c:pt>
                <c:pt idx="1356">
                  <c:v>252.65963811935038</c:v>
                </c:pt>
                <c:pt idx="1357">
                  <c:v>252.84715094474305</c:v>
                </c:pt>
                <c:pt idx="1358">
                  <c:v>253.03511538742302</c:v>
                </c:pt>
                <c:pt idx="1359">
                  <c:v>253.22353334619254</c:v>
                </c:pt>
                <c:pt idx="1360">
                  <c:v>253.41240673139293</c:v>
                </c:pt>
                <c:pt idx="1361">
                  <c:v>253.60173746499547</c:v>
                </c:pt>
                <c:pt idx="1362">
                  <c:v>253.7915274806947</c:v>
                </c:pt>
                <c:pt idx="1363">
                  <c:v>253.98177872400319</c:v>
                </c:pt>
                <c:pt idx="1364">
                  <c:v>254.17249315234608</c:v>
                </c:pt>
                <c:pt idx="1365">
                  <c:v>254.36367273515742</c:v>
                </c:pt>
                <c:pt idx="1366">
                  <c:v>254.55531945397703</c:v>
                </c:pt>
                <c:pt idx="1367">
                  <c:v>254.74743530254881</c:v>
                </c:pt>
                <c:pt idx="1368">
                  <c:v>254.94002228691926</c:v>
                </c:pt>
                <c:pt idx="1369">
                  <c:v>255.1330824255374</c:v>
                </c:pt>
                <c:pt idx="1370">
                  <c:v>255.32661774935627</c:v>
                </c:pt>
                <c:pt idx="1371">
                  <c:v>255.52063030193463</c:v>
                </c:pt>
                <c:pt idx="1372">
                  <c:v>255.71512213954</c:v>
                </c:pt>
                <c:pt idx="1373">
                  <c:v>255.91009533125248</c:v>
                </c:pt>
                <c:pt idx="1374">
                  <c:v>256.10555195907085</c:v>
                </c:pt>
                <c:pt idx="1375">
                  <c:v>256.30149411801744</c:v>
                </c:pt>
                <c:pt idx="1376">
                  <c:v>256.49792391624658</c:v>
                </c:pt>
                <c:pt idx="1377">
                  <c:v>256.69484347515248</c:v>
                </c:pt>
                <c:pt idx="1378">
                  <c:v>256.89225492947867</c:v>
                </c:pt>
                <c:pt idx="1379">
                  <c:v>257.09016042742928</c:v>
                </c:pt>
                <c:pt idx="1380">
                  <c:v>257.28856213077995</c:v>
                </c:pt>
                <c:pt idx="1381">
                  <c:v>257.48746221499175</c:v>
                </c:pt>
                <c:pt idx="1382">
                  <c:v>257.68686286932422</c:v>
                </c:pt>
                <c:pt idx="1383">
                  <c:v>257.8867662969522</c:v>
                </c:pt>
                <c:pt idx="1384">
                  <c:v>258.08717471508021</c:v>
                </c:pt>
                <c:pt idx="1385">
                  <c:v>258.28809035506242</c:v>
                </c:pt>
                <c:pt idx="1386">
                  <c:v>258.48951546252016</c:v>
                </c:pt>
                <c:pt idx="1387">
                  <c:v>258.6914522974626</c:v>
                </c:pt>
                <c:pt idx="1388">
                  <c:v>258.8939031344085</c:v>
                </c:pt>
                <c:pt idx="1389">
                  <c:v>259.09687026250811</c:v>
                </c:pt>
                <c:pt idx="1390">
                  <c:v>259.30035598566826</c:v>
                </c:pt>
                <c:pt idx="1391">
                  <c:v>259.50436262267669</c:v>
                </c:pt>
                <c:pt idx="1392">
                  <c:v>259.70889250732984</c:v>
                </c:pt>
                <c:pt idx="1393">
                  <c:v>259.9139479885601</c:v>
                </c:pt>
                <c:pt idx="1394">
                  <c:v>260.11953143056519</c:v>
                </c:pt>
                <c:pt idx="1395">
                  <c:v>260.32564521293875</c:v>
                </c:pt>
                <c:pt idx="1396">
                  <c:v>260.53229173080405</c:v>
                </c:pt>
                <c:pt idx="1397">
                  <c:v>260.73947339494504</c:v>
                </c:pt>
                <c:pt idx="1398">
                  <c:v>260.94719263194378</c:v>
                </c:pt>
                <c:pt idx="1399">
                  <c:v>261.15545188431486</c:v>
                </c:pt>
                <c:pt idx="1400">
                  <c:v>261.36425361064528</c:v>
                </c:pt>
                <c:pt idx="1401">
                  <c:v>261.57360028573146</c:v>
                </c:pt>
                <c:pt idx="1402">
                  <c:v>261.7834944007231</c:v>
                </c:pt>
                <c:pt idx="1403">
                  <c:v>261.99393846326291</c:v>
                </c:pt>
                <c:pt idx="1404">
                  <c:v>262.20493499763273</c:v>
                </c:pt>
                <c:pt idx="1405">
                  <c:v>262.41648654489711</c:v>
                </c:pt>
                <c:pt idx="1406">
                  <c:v>262.62859566305207</c:v>
                </c:pt>
                <c:pt idx="1407">
                  <c:v>262.84126492717303</c:v>
                </c:pt>
                <c:pt idx="1408">
                  <c:v>263.05449692956591</c:v>
                </c:pt>
                <c:pt idx="1409">
                  <c:v>263.26829427991817</c:v>
                </c:pt>
                <c:pt idx="1410">
                  <c:v>263.48265960545291</c:v>
                </c:pt>
                <c:pt idx="1411">
                  <c:v>263.69759555108487</c:v>
                </c:pt>
                <c:pt idx="1412">
                  <c:v>263.91310477957694</c:v>
                </c:pt>
                <c:pt idx="1413">
                  <c:v>264.12918997169885</c:v>
                </c:pt>
                <c:pt idx="1414">
                  <c:v>264.34585382638835</c:v>
                </c:pt>
                <c:pt idx="1415">
                  <c:v>264.5630990609132</c:v>
                </c:pt>
                <c:pt idx="1416">
                  <c:v>264.78092841103569</c:v>
                </c:pt>
                <c:pt idx="1417">
                  <c:v>264.99934463117842</c:v>
                </c:pt>
                <c:pt idx="1418">
                  <c:v>265.21835049459247</c:v>
                </c:pt>
                <c:pt idx="1419">
                  <c:v>265.43794879352686</c:v>
                </c:pt>
                <c:pt idx="1420">
                  <c:v>265.65814233940057</c:v>
                </c:pt>
                <c:pt idx="1421">
                  <c:v>265.87893396297613</c:v>
                </c:pt>
                <c:pt idx="1422">
                  <c:v>266.10032651453514</c:v>
                </c:pt>
                <c:pt idx="1423">
                  <c:v>266.32232286405565</c:v>
                </c:pt>
                <c:pt idx="1424">
                  <c:v>266.54492590139245</c:v>
                </c:pt>
                <c:pt idx="1425">
                  <c:v>266.76813853645751</c:v>
                </c:pt>
                <c:pt idx="1426">
                  <c:v>266.99196369940535</c:v>
                </c:pt>
                <c:pt idx="1427">
                  <c:v>267.21640434081729</c:v>
                </c:pt>
                <c:pt idx="1428">
                  <c:v>267.44146343189044</c:v>
                </c:pt>
                <c:pt idx="1429">
                  <c:v>267.66714396462692</c:v>
                </c:pt>
                <c:pt idx="1430">
                  <c:v>267.89344895202754</c:v>
                </c:pt>
                <c:pt idx="1431">
                  <c:v>268.12038142828447</c:v>
                </c:pt>
                <c:pt idx="1432">
                  <c:v>268.34794444897921</c:v>
                </c:pt>
                <c:pt idx="1433">
                  <c:v>268.57614109128173</c:v>
                </c:pt>
                <c:pt idx="1434">
                  <c:v>268.80497445415097</c:v>
                </c:pt>
                <c:pt idx="1435">
                  <c:v>269.03444765853931</c:v>
                </c:pt>
                <c:pt idx="1436">
                  <c:v>269.26456384759803</c:v>
                </c:pt>
                <c:pt idx="1437">
                  <c:v>269.49532618688607</c:v>
                </c:pt>
                <c:pt idx="1438">
                  <c:v>269.72673786458108</c:v>
                </c:pt>
                <c:pt idx="1439">
                  <c:v>269.95880209169263</c:v>
                </c:pt>
                <c:pt idx="1440">
                  <c:v>270.19152210227816</c:v>
                </c:pt>
                <c:pt idx="1441">
                  <c:v>270.42490115366121</c:v>
                </c:pt>
                <c:pt idx="1442">
                  <c:v>270.65894252665294</c:v>
                </c:pt>
                <c:pt idx="1443">
                  <c:v>270.89364952577466</c:v>
                </c:pt>
                <c:pt idx="1444">
                  <c:v>271.12902547948619</c:v>
                </c:pt>
                <c:pt idx="1445">
                  <c:v>271.36507374041264</c:v>
                </c:pt>
                <c:pt idx="1446">
                  <c:v>271.60179768557794</c:v>
                </c:pt>
                <c:pt idx="1447">
                  <c:v>271.83920071663766</c:v>
                </c:pt>
                <c:pt idx="1448">
                  <c:v>272.07728626011777</c:v>
                </c:pt>
                <c:pt idx="1449">
                  <c:v>272.31605776765446</c:v>
                </c:pt>
                <c:pt idx="1450">
                  <c:v>272.55551871623618</c:v>
                </c:pt>
                <c:pt idx="1451">
                  <c:v>272.79567260845198</c:v>
                </c:pt>
                <c:pt idx="1452">
                  <c:v>273.03652297273715</c:v>
                </c:pt>
                <c:pt idx="1453">
                  <c:v>273.27807336362878</c:v>
                </c:pt>
                <c:pt idx="1454">
                  <c:v>273.52032736201824</c:v>
                </c:pt>
                <c:pt idx="1455">
                  <c:v>273.76328857541034</c:v>
                </c:pt>
                <c:pt idx="1456">
                  <c:v>274.00696063818509</c:v>
                </c:pt>
                <c:pt idx="1457">
                  <c:v>274.25134721186174</c:v>
                </c:pt>
                <c:pt idx="1458">
                  <c:v>274.49645198536604</c:v>
                </c:pt>
                <c:pt idx="1459">
                  <c:v>274.74227867530288</c:v>
                </c:pt>
                <c:pt idx="1460">
                  <c:v>274.98883102622881</c:v>
                </c:pt>
                <c:pt idx="1461">
                  <c:v>275.23611281093213</c:v>
                </c:pt>
                <c:pt idx="1462">
                  <c:v>275.48412783071177</c:v>
                </c:pt>
                <c:pt idx="1463">
                  <c:v>275.73287991566394</c:v>
                </c:pt>
                <c:pt idx="1464">
                  <c:v>275.98237292497004</c:v>
                </c:pt>
                <c:pt idx="1465">
                  <c:v>276.23261074718795</c:v>
                </c:pt>
                <c:pt idx="1466">
                  <c:v>276.48359730054835</c:v>
                </c:pt>
                <c:pt idx="1467">
                  <c:v>276.73533653325376</c:v>
                </c:pt>
                <c:pt idx="1468">
                  <c:v>276.98783242378192</c:v>
                </c:pt>
                <c:pt idx="1469">
                  <c:v>277.24108898119198</c:v>
                </c:pt>
                <c:pt idx="1470">
                  <c:v>277.49511024543665</c:v>
                </c:pt>
                <c:pt idx="1471">
                  <c:v>277.74990028767581</c:v>
                </c:pt>
                <c:pt idx="1472">
                  <c:v>278.00546321059528</c:v>
                </c:pt>
                <c:pt idx="1473">
                  <c:v>278.26180314873079</c:v>
                </c:pt>
                <c:pt idx="1474">
                  <c:v>278.51892426879334</c:v>
                </c:pt>
                <c:pt idx="1475">
                  <c:v>278.77683077000222</c:v>
                </c:pt>
                <c:pt idx="1476">
                  <c:v>279.03552688441869</c:v>
                </c:pt>
                <c:pt idx="1477">
                  <c:v>279.29501687728686</c:v>
                </c:pt>
                <c:pt idx="1478">
                  <c:v>279.55530504737703</c:v>
                </c:pt>
                <c:pt idx="1479">
                  <c:v>279.81639572733502</c:v>
                </c:pt>
                <c:pt idx="1480">
                  <c:v>280.07829328403517</c:v>
                </c:pt>
                <c:pt idx="1481">
                  <c:v>280.34100211893752</c:v>
                </c:pt>
                <c:pt idx="1482">
                  <c:v>280.60452666845077</c:v>
                </c:pt>
                <c:pt idx="1483">
                  <c:v>280.86887140429911</c:v>
                </c:pt>
                <c:pt idx="1484">
                  <c:v>281.13404083389406</c:v>
                </c:pt>
                <c:pt idx="1485">
                  <c:v>281.40003950071213</c:v>
                </c:pt>
                <c:pt idx="1486">
                  <c:v>281.66687198467565</c:v>
                </c:pt>
                <c:pt idx="1487">
                  <c:v>281.93454290253993</c:v>
                </c:pt>
                <c:pt idx="1488">
                  <c:v>282.20305690828593</c:v>
                </c:pt>
                <c:pt idx="1489">
                  <c:v>282.47241869351694</c:v>
                </c:pt>
                <c:pt idx="1490">
                  <c:v>282.74263298786036</c:v>
                </c:pt>
                <c:pt idx="1491">
                  <c:v>283.01370455937752</c:v>
                </c:pt>
                <c:pt idx="1492">
                  <c:v>283.28563821497517</c:v>
                </c:pt>
                <c:pt idx="1493">
                  <c:v>283.55843880082534</c:v>
                </c:pt>
                <c:pt idx="1494">
                  <c:v>283.83211120279014</c:v>
                </c:pt>
                <c:pt idx="1495">
                  <c:v>284.10666034685102</c:v>
                </c:pt>
                <c:pt idx="1496">
                  <c:v>284.38209119954689</c:v>
                </c:pt>
                <c:pt idx="1497">
                  <c:v>284.65840876841361</c:v>
                </c:pt>
                <c:pt idx="1498">
                  <c:v>284.93561810243415</c:v>
                </c:pt>
                <c:pt idx="1499">
                  <c:v>285.21372429249209</c:v>
                </c:pt>
                <c:pt idx="1500">
                  <c:v>285.49273247183203</c:v>
                </c:pt>
                <c:pt idx="1501">
                  <c:v>285.77264781652667</c:v>
                </c:pt>
                <c:pt idx="1502">
                  <c:v>286.05347554594948</c:v>
                </c:pt>
                <c:pt idx="1503">
                  <c:v>286.33522092325535</c:v>
                </c:pt>
                <c:pt idx="1504">
                  <c:v>286.61788925586592</c:v>
                </c:pt>
                <c:pt idx="1505">
                  <c:v>286.90148589596384</c:v>
                </c:pt>
                <c:pt idx="1506">
                  <c:v>287.18601624099171</c:v>
                </c:pt>
                <c:pt idx="1507">
                  <c:v>287.47148573416013</c:v>
                </c:pt>
                <c:pt idx="1508">
                  <c:v>287.75789986496136</c:v>
                </c:pt>
                <c:pt idx="1509">
                  <c:v>288.04526416969048</c:v>
                </c:pt>
                <c:pt idx="1510">
                  <c:v>288.33358423197427</c:v>
                </c:pt>
                <c:pt idx="1511">
                  <c:v>288.62286568330774</c:v>
                </c:pt>
                <c:pt idx="1512">
                  <c:v>288.91311420359727</c:v>
                </c:pt>
                <c:pt idx="1513">
                  <c:v>289.20433552171261</c:v>
                </c:pt>
                <c:pt idx="1514">
                  <c:v>289.49653541604567</c:v>
                </c:pt>
                <c:pt idx="1515">
                  <c:v>289.78971971507889</c:v>
                </c:pt>
                <c:pt idx="1516">
                  <c:v>290.08389429795955</c:v>
                </c:pt>
                <c:pt idx="1517">
                  <c:v>290.37906509508429</c:v>
                </c:pt>
                <c:pt idx="1518">
                  <c:v>290.67523808869117</c:v>
                </c:pt>
                <c:pt idx="1519">
                  <c:v>290.97241931345997</c:v>
                </c:pt>
                <c:pt idx="1520">
                  <c:v>291.27061485712227</c:v>
                </c:pt>
                <c:pt idx="1521">
                  <c:v>291.56983086107903</c:v>
                </c:pt>
                <c:pt idx="1522">
                  <c:v>291.87007352102904</c:v>
                </c:pt>
                <c:pt idx="1523">
                  <c:v>292.17134908760437</c:v>
                </c:pt>
                <c:pt idx="1524">
                  <c:v>292.47366386701651</c:v>
                </c:pt>
                <c:pt idx="1525">
                  <c:v>292.77702422171171</c:v>
                </c:pt>
                <c:pt idx="1526">
                  <c:v>293.08143657103676</c:v>
                </c:pt>
                <c:pt idx="1527">
                  <c:v>293.38690739191213</c:v>
                </c:pt>
                <c:pt idx="1528">
                  <c:v>293.69344321951911</c:v>
                </c:pt>
                <c:pt idx="1529">
                  <c:v>294.00105064799277</c:v>
                </c:pt>
                <c:pt idx="1530">
                  <c:v>294.30973633112887</c:v>
                </c:pt>
                <c:pt idx="1531">
                  <c:v>294.61950698309937</c:v>
                </c:pt>
                <c:pt idx="1532">
                  <c:v>294.93036937917918</c:v>
                </c:pt>
                <c:pt idx="1533">
                  <c:v>295.2423303564841</c:v>
                </c:pt>
                <c:pt idx="1534">
                  <c:v>295.55539681471964</c:v>
                </c:pt>
                <c:pt idx="1535">
                  <c:v>295.86957571694114</c:v>
                </c:pt>
                <c:pt idx="1536">
                  <c:v>296.18487409032576</c:v>
                </c:pt>
                <c:pt idx="1537">
                  <c:v>296.50129902695642</c:v>
                </c:pt>
                <c:pt idx="1538">
                  <c:v>296.81885768461672</c:v>
                </c:pt>
                <c:pt idx="1539">
                  <c:v>297.13755728759929</c:v>
                </c:pt>
                <c:pt idx="1540">
                  <c:v>297.45740512752548</c:v>
                </c:pt>
                <c:pt idx="1541">
                  <c:v>297.7784085641793</c:v>
                </c:pt>
                <c:pt idx="1542">
                  <c:v>298.10057502635226</c:v>
                </c:pt>
                <c:pt idx="1543">
                  <c:v>298.42391201270243</c:v>
                </c:pt>
                <c:pt idx="1544">
                  <c:v>298.74842709262748</c:v>
                </c:pt>
                <c:pt idx="1545">
                  <c:v>299.07412790715046</c:v>
                </c:pt>
                <c:pt idx="1546">
                  <c:v>299.40102216981887</c:v>
                </c:pt>
                <c:pt idx="1547">
                  <c:v>299.72911766762041</c:v>
                </c:pt>
                <c:pt idx="1548">
                  <c:v>300.05842226190975</c:v>
                </c:pt>
                <c:pt idx="1549">
                  <c:v>300.3889438893533</c:v>
                </c:pt>
                <c:pt idx="1550">
                  <c:v>300.72069056288603</c:v>
                </c:pt>
                <c:pt idx="1551">
                  <c:v>301.05367037268627</c:v>
                </c:pt>
                <c:pt idx="1552">
                  <c:v>301.38789148716398</c:v>
                </c:pt>
                <c:pt idx="1553">
                  <c:v>301.72336215396581</c:v>
                </c:pt>
                <c:pt idx="1554">
                  <c:v>302.0600907009964</c:v>
                </c:pt>
                <c:pt idx="1555">
                  <c:v>302.39808553745598</c:v>
                </c:pt>
                <c:pt idx="1556">
                  <c:v>302.73735515489511</c:v>
                </c:pt>
                <c:pt idx="1557">
                  <c:v>303.07790812828546</c:v>
                </c:pt>
                <c:pt idx="1558">
                  <c:v>303.41975311710962</c:v>
                </c:pt>
                <c:pt idx="1559">
                  <c:v>303.76289886646776</c:v>
                </c:pt>
                <c:pt idx="1560">
                  <c:v>304.10735420820259</c:v>
                </c:pt>
                <c:pt idx="1561">
                  <c:v>304.45312806204328</c:v>
                </c:pt>
                <c:pt idx="1562">
                  <c:v>304.80022943676727</c:v>
                </c:pt>
                <c:pt idx="1563">
                  <c:v>305.1486674313831</c:v>
                </c:pt>
                <c:pt idx="1564">
                  <c:v>305.49845123633077</c:v>
                </c:pt>
                <c:pt idx="1565">
                  <c:v>305.8495901347045</c:v>
                </c:pt>
                <c:pt idx="1566">
                  <c:v>306.20209350349307</c:v>
                </c:pt>
                <c:pt idx="1567">
                  <c:v>306.55597081484456</c:v>
                </c:pt>
                <c:pt idx="1568">
                  <c:v>306.91123163734869</c:v>
                </c:pt>
                <c:pt idx="1569">
                  <c:v>307.26788563734442</c:v>
                </c:pt>
                <c:pt idx="1570">
                  <c:v>307.62594258024643</c:v>
                </c:pt>
                <c:pt idx="1571">
                  <c:v>307.98541233189718</c:v>
                </c:pt>
                <c:pt idx="1572">
                  <c:v>308.34630485994023</c:v>
                </c:pt>
                <c:pt idx="1573">
                  <c:v>308.70863023521696</c:v>
                </c:pt>
                <c:pt idx="1574">
                  <c:v>309.07239863318927</c:v>
                </c:pt>
                <c:pt idx="1575">
                  <c:v>309.43762033538479</c:v>
                </c:pt>
                <c:pt idx="1576">
                  <c:v>309.8043057308679</c:v>
                </c:pt>
                <c:pt idx="1577">
                  <c:v>310.17246531773685</c:v>
                </c:pt>
                <c:pt idx="1578">
                  <c:v>310.54210970464698</c:v>
                </c:pt>
                <c:pt idx="1579">
                  <c:v>310.91324961235892</c:v>
                </c:pt>
                <c:pt idx="1580">
                  <c:v>311.28589587531678</c:v>
                </c:pt>
                <c:pt idx="1581">
                  <c:v>311.66005944325195</c:v>
                </c:pt>
                <c:pt idx="1582">
                  <c:v>312.03575138281678</c:v>
                </c:pt>
                <c:pt idx="1583">
                  <c:v>312.4129828792457</c:v>
                </c:pt>
                <c:pt idx="1584">
                  <c:v>312.79176523804796</c:v>
                </c:pt>
                <c:pt idx="1585">
                  <c:v>313.17210988672946</c:v>
                </c:pt>
                <c:pt idx="1586">
                  <c:v>313.5540283765456</c:v>
                </c:pt>
                <c:pt idx="1587">
                  <c:v>313.93753238428548</c:v>
                </c:pt>
                <c:pt idx="1588">
                  <c:v>314.32263371408959</c:v>
                </c:pt>
                <c:pt idx="1589">
                  <c:v>314.70934429929997</c:v>
                </c:pt>
                <c:pt idx="1590">
                  <c:v>315.09767620434258</c:v>
                </c:pt>
                <c:pt idx="1591">
                  <c:v>315.48764162664673</c:v>
                </c:pt>
                <c:pt idx="1592">
                  <c:v>315.87925289859822</c:v>
                </c:pt>
                <c:pt idx="1593">
                  <c:v>316.2725224895288</c:v>
                </c:pt>
                <c:pt idx="1594">
                  <c:v>316.6674630077427</c:v>
                </c:pt>
                <c:pt idx="1595">
                  <c:v>317.06408720257951</c:v>
                </c:pt>
                <c:pt idx="1596">
                  <c:v>317.4624079665187</c:v>
                </c:pt>
                <c:pt idx="1597">
                  <c:v>317.86243833731947</c:v>
                </c:pt>
                <c:pt idx="1598">
                  <c:v>318.26419150020428</c:v>
                </c:pt>
                <c:pt idx="1599">
                  <c:v>318.66768079008165</c:v>
                </c:pt>
                <c:pt idx="1600">
                  <c:v>319.07291969381083</c:v>
                </c:pt>
                <c:pt idx="1601">
                  <c:v>319.47992185251206</c:v>
                </c:pt>
                <c:pt idx="1602">
                  <c:v>319.88870106391744</c:v>
                </c:pt>
                <c:pt idx="1603">
                  <c:v>320.29927128476965</c:v>
                </c:pt>
                <c:pt idx="1604">
                  <c:v>320.71164663326527</c:v>
                </c:pt>
                <c:pt idx="1605">
                  <c:v>321.12584139154632</c:v>
                </c:pt>
                <c:pt idx="1606">
                  <c:v>321.54187000823828</c:v>
                </c:pt>
                <c:pt idx="1607">
                  <c:v>321.95974710104088</c:v>
                </c:pt>
                <c:pt idx="1608">
                  <c:v>322.37948745936552</c:v>
                </c:pt>
                <c:pt idx="1609">
                  <c:v>322.80110604702759</c:v>
                </c:pt>
                <c:pt idx="1610">
                  <c:v>323.22461800499042</c:v>
                </c:pt>
                <c:pt idx="1611">
                  <c:v>323.65003865416327</c:v>
                </c:pt>
                <c:pt idx="1612">
                  <c:v>324.07738349825576</c:v>
                </c:pt>
                <c:pt idx="1613">
                  <c:v>324.5066682266895</c:v>
                </c:pt>
                <c:pt idx="1614">
                  <c:v>324.93790871756596</c:v>
                </c:pt>
                <c:pt idx="1615">
                  <c:v>325.37112104069672</c:v>
                </c:pt>
                <c:pt idx="1616">
                  <c:v>325.80632146069274</c:v>
                </c:pt>
                <c:pt idx="1617">
                  <c:v>326.24352644011788</c:v>
                </c:pt>
                <c:pt idx="1618">
                  <c:v>326.68275264270551</c:v>
                </c:pt>
                <c:pt idx="1619">
                  <c:v>327.12401693664088</c:v>
                </c:pt>
                <c:pt idx="1620">
                  <c:v>327.56733639791207</c:v>
                </c:pt>
                <c:pt idx="1621">
                  <c:v>328.01272831372847</c:v>
                </c:pt>
                <c:pt idx="1622">
                  <c:v>328.46021018601158</c:v>
                </c:pt>
                <c:pt idx="1623">
                  <c:v>328.90979973495678</c:v>
                </c:pt>
                <c:pt idx="1624">
                  <c:v>329.36151490267065</c:v>
                </c:pt>
                <c:pt idx="1625">
                  <c:v>329.81537385688392</c:v>
                </c:pt>
                <c:pt idx="1626">
                  <c:v>330.27139499474339</c:v>
                </c:pt>
                <c:pt idx="1627">
                  <c:v>330.72959694668322</c:v>
                </c:pt>
                <c:pt idx="1628">
                  <c:v>331.1899985803787</c:v>
                </c:pt>
                <c:pt idx="1629">
                  <c:v>331.6526190047843</c:v>
                </c:pt>
                <c:pt idx="1630">
                  <c:v>332.11747757425923</c:v>
                </c:pt>
                <c:pt idx="1631">
                  <c:v>332.58459389277982</c:v>
                </c:pt>
                <c:pt idx="1632">
                  <c:v>333.05398781824482</c:v>
                </c:pt>
                <c:pt idx="1633">
                  <c:v>333.52567946687356</c:v>
                </c:pt>
                <c:pt idx="1634">
                  <c:v>333.99968921769943</c:v>
                </c:pt>
                <c:pt idx="1635">
                  <c:v>334.47603771716274</c:v>
                </c:pt>
                <c:pt idx="1636">
                  <c:v>334.95474588380455</c:v>
                </c:pt>
                <c:pt idx="1637">
                  <c:v>335.4358349130631</c:v>
                </c:pt>
                <c:pt idx="1638">
                  <c:v>335.91932628217859</c:v>
                </c:pt>
                <c:pt idx="1639">
                  <c:v>336.40524175520591</c:v>
                </c:pt>
                <c:pt idx="1640">
                  <c:v>336.89360338814038</c:v>
                </c:pt>
                <c:pt idx="1641">
                  <c:v>337.38443353415863</c:v>
                </c:pt>
                <c:pt idx="1642">
                  <c:v>337.87775484897895</c:v>
                </c:pt>
                <c:pt idx="1643">
                  <c:v>338.37359029634172</c:v>
                </c:pt>
                <c:pt idx="1644">
                  <c:v>338.87196315361621</c:v>
                </c:pt>
                <c:pt idx="1645">
                  <c:v>339.37289701753633</c:v>
                </c:pt>
                <c:pt idx="1646">
                  <c:v>339.8764158100675</c:v>
                </c:pt>
                <c:pt idx="1647">
                  <c:v>340.38254378440979</c:v>
                </c:pt>
                <c:pt idx="1648">
                  <c:v>340.89130553114131</c:v>
                </c:pt>
                <c:pt idx="1649">
                  <c:v>341.40272598450417</c:v>
                </c:pt>
                <c:pt idx="1650">
                  <c:v>341.9168304288396</c:v>
                </c:pt>
                <c:pt idx="1651">
                  <c:v>342.43364450517362</c:v>
                </c:pt>
                <c:pt idx="1652">
                  <c:v>342.95319421795909</c:v>
                </c:pt>
                <c:pt idx="1653">
                  <c:v>343.47550594197946</c:v>
                </c:pt>
                <c:pt idx="1654">
                  <c:v>344.0006064294173</c:v>
                </c:pt>
                <c:pt idx="1655">
                  <c:v>344.52852281709238</c:v>
                </c:pt>
                <c:pt idx="1656">
                  <c:v>345.05928263387631</c:v>
                </c:pt>
                <c:pt idx="1657">
                  <c:v>345.59291380828648</c:v>
                </c:pt>
                <c:pt idx="1658">
                  <c:v>346.12944467626505</c:v>
                </c:pt>
                <c:pt idx="1659">
                  <c:v>346.6689039891512</c:v>
                </c:pt>
                <c:pt idx="1660">
                  <c:v>347.21132092184752</c:v>
                </c:pt>
                <c:pt idx="1661">
                  <c:v>347.75672508119038</c:v>
                </c:pt>
                <c:pt idx="1662">
                  <c:v>348.30514651453007</c:v>
                </c:pt>
                <c:pt idx="1663">
                  <c:v>348.85661571852341</c:v>
                </c:pt>
                <c:pt idx="1664">
                  <c:v>349.41116364815065</c:v>
                </c:pt>
                <c:pt idx="1665">
                  <c:v>349.96882172595912</c:v>
                </c:pt>
                <c:pt idx="1666">
                  <c:v>350.52962185154263</c:v>
                </c:pt>
                <c:pt idx="1667">
                  <c:v>351.09359641126446</c:v>
                </c:pt>
                <c:pt idx="1668">
                  <c:v>351.66077828822813</c:v>
                </c:pt>
                <c:pt idx="1669">
                  <c:v>352.23120087250976</c:v>
                </c:pt>
                <c:pt idx="1670">
                  <c:v>352.80489807165378</c:v>
                </c:pt>
                <c:pt idx="1671">
                  <c:v>353.38190432144302</c:v>
                </c:pt>
                <c:pt idx="1672">
                  <c:v>353.96225459695495</c:v>
                </c:pt>
                <c:pt idx="1673">
                  <c:v>354.54598442390682</c:v>
                </c:pt>
                <c:pt idx="1674">
                  <c:v>355.13312989030385</c:v>
                </c:pt>
                <c:pt idx="1675">
                  <c:v>355.72372765839941</c:v>
                </c:pt>
                <c:pt idx="1676">
                  <c:v>356.31781497697523</c:v>
                </c:pt>
                <c:pt idx="1677">
                  <c:v>356.91542969395539</c:v>
                </c:pt>
                <c:pt idx="1678">
                  <c:v>357.51661026936097</c:v>
                </c:pt>
                <c:pt idx="1679">
                  <c:v>358.12139578862013</c:v>
                </c:pt>
                <c:pt idx="1680">
                  <c:v>358.72982597624468</c:v>
                </c:pt>
                <c:pt idx="1681">
                  <c:v>359.34194120988298</c:v>
                </c:pt>
                <c:pt idx="1682">
                  <c:v>359.9577825347655</c:v>
                </c:pt>
                <c:pt idx="1683">
                  <c:v>360.57739167855243</c:v>
                </c:pt>
                <c:pt idx="1684">
                  <c:v>361.20081106660109</c:v>
                </c:pt>
                <c:pt idx="1685">
                  <c:v>361.82808383766377</c:v>
                </c:pt>
                <c:pt idx="1686">
                  <c:v>362.4592538600329</c:v>
                </c:pt>
                <c:pt idx="1687">
                  <c:v>363.09436574814839</c:v>
                </c:pt>
                <c:pt idx="1688">
                  <c:v>363.73346487968354</c:v>
                </c:pt>
                <c:pt idx="1689">
                  <c:v>364.37659741312581</c:v>
                </c:pt>
                <c:pt idx="1690">
                  <c:v>365.02381030587031</c:v>
                </c:pt>
                <c:pt idx="1691">
                  <c:v>365.6751513328436</c:v>
                </c:pt>
                <c:pt idx="1692">
                  <c:v>366.33066910567692</c:v>
                </c:pt>
                <c:pt idx="1693">
                  <c:v>366.9904130924499</c:v>
                </c:pt>
                <c:pt idx="1694">
                  <c:v>367.65443363802171</c:v>
                </c:pt>
                <c:pt idx="1695">
                  <c:v>368.3227819849763</c:v>
                </c:pt>
                <c:pt idx="1696">
                  <c:v>368.9955102951991</c:v>
                </c:pt>
                <c:pt idx="1697">
                  <c:v>369.67267167211077</c:v>
                </c:pt>
                <c:pt idx="1698">
                  <c:v>370.35432018358341</c:v>
                </c:pt>
                <c:pt idx="1699">
                  <c:v>371.04051088556179</c:v>
                </c:pt>
                <c:pt idx="1700">
                  <c:v>371.73129984641872</c:v>
                </c:pt>
                <c:pt idx="1701">
                  <c:v>372.42674417206928</c:v>
                </c:pt>
                <c:pt idx="1702">
                  <c:v>373.12690203187759</c:v>
                </c:pt>
                <c:pt idx="1703">
                  <c:v>373.83183268538011</c:v>
                </c:pt>
                <c:pt idx="1704">
                  <c:v>374.54159650986242</c:v>
                </c:pt>
                <c:pt idx="1705">
                  <c:v>375.25625502881974</c:v>
                </c:pt>
                <c:pt idx="1706">
                  <c:v>375.97587094133439</c:v>
                </c:pt>
                <c:pt idx="1707">
                  <c:v>376.70050815241234</c:v>
                </c:pt>
                <c:pt idx="1708">
                  <c:v>377.43023180430691</c:v>
                </c:pt>
                <c:pt idx="1709">
                  <c:v>378.16510830887881</c:v>
                </c:pt>
                <c:pt idx="1710">
                  <c:v>378.90520538102857</c:v>
                </c:pt>
                <c:pt idx="1711">
                  <c:v>379.65059207324424</c:v>
                </c:pt>
                <c:pt idx="1712">
                  <c:v>380.40133881131322</c:v>
                </c:pt>
                <c:pt idx="1713">
                  <c:v>381.15751743124326</c:v>
                </c:pt>
                <c:pt idx="1714">
                  <c:v>381.91920121744403</c:v>
                </c:pt>
                <c:pt idx="1715">
                  <c:v>382.68646494221792</c:v>
                </c:pt>
                <c:pt idx="1716">
                  <c:v>383.45938490662206</c:v>
                </c:pt>
                <c:pt idx="1717">
                  <c:v>384.2380389827519</c:v>
                </c:pt>
                <c:pt idx="1718">
                  <c:v>385.02250665751069</c:v>
                </c:pt>
                <c:pt idx="1719">
                  <c:v>385.81286907792821</c:v>
                </c:pt>
                <c:pt idx="1720">
                  <c:v>386.60920909809397</c:v>
                </c:pt>
                <c:pt idx="1721">
                  <c:v>387.41161132777694</c:v>
                </c:pt>
                <c:pt idx="1722">
                  <c:v>388.22016218280379</c:v>
                </c:pt>
                <c:pt idx="1723">
                  <c:v>389.03494993727458</c:v>
                </c:pt>
                <c:pt idx="1724">
                  <c:v>389.85606477769642</c:v>
                </c:pt>
                <c:pt idx="1725">
                  <c:v>390.6835988591227</c:v>
                </c:pt>
                <c:pt idx="1726">
                  <c:v>391.51764636338561</c:v>
                </c:pt>
                <c:pt idx="1727">
                  <c:v>392.35830355952072</c:v>
                </c:pt>
                <c:pt idx="1728">
                  <c:v>393.20566886647993</c:v>
                </c:pt>
                <c:pt idx="1729">
                  <c:v>394.05984291824467</c:v>
                </c:pt>
                <c:pt idx="1730">
                  <c:v>394.92092863144285</c:v>
                </c:pt>
                <c:pt idx="1731">
                  <c:v>395.78903127559579</c:v>
                </c:pt>
                <c:pt idx="1732">
                  <c:v>396.66425854611401</c:v>
                </c:pt>
                <c:pt idx="1733">
                  <c:v>397.5467206401741</c:v>
                </c:pt>
                <c:pt idx="1734">
                  <c:v>398.43653033561969</c:v>
                </c:pt>
                <c:pt idx="1735">
                  <c:v>399.33380307302593</c:v>
                </c:pt>
                <c:pt idx="1736">
                  <c:v>400.23865704109022</c:v>
                </c:pt>
                <c:pt idx="1737">
                  <c:v>401.15121326550729</c:v>
                </c:pt>
                <c:pt idx="1738">
                  <c:v>402.07159570150765</c:v>
                </c:pt>
                <c:pt idx="1739">
                  <c:v>402.99993133024003</c:v>
                </c:pt>
                <c:pt idx="1740">
                  <c:v>403.93635025919224</c:v>
                </c:pt>
                <c:pt idx="1741">
                  <c:v>404.88098582686246</c:v>
                </c:pt>
                <c:pt idx="1742">
                  <c:v>405.83397471189431</c:v>
                </c:pt>
                <c:pt idx="1743">
                  <c:v>406.79545704691265</c:v>
                </c:pt>
                <c:pt idx="1744">
                  <c:v>407.76557653730436</c:v>
                </c:pt>
                <c:pt idx="1745">
                  <c:v>408.74448058520937</c:v>
                </c:pt>
                <c:pt idx="1746">
                  <c:v>409.73232041900104</c:v>
                </c:pt>
                <c:pt idx="1747">
                  <c:v>410.72925122854878</c:v>
                </c:pt>
                <c:pt idx="1748">
                  <c:v>411.73543230658555</c:v>
                </c:pt>
                <c:pt idx="1749">
                  <c:v>412.75102719651187</c:v>
                </c:pt>
                <c:pt idx="1750">
                  <c:v>413.77620384699475</c:v>
                </c:pt>
                <c:pt idx="1751">
                  <c:v>414.81113477374822</c:v>
                </c:pt>
                <c:pt idx="1752">
                  <c:v>415.85599722889896</c:v>
                </c:pt>
                <c:pt idx="1753">
                  <c:v>416.91097337837425</c:v>
                </c:pt>
                <c:pt idx="1754">
                  <c:v>417.97625048777576</c:v>
                </c:pt>
                <c:pt idx="1755">
                  <c:v>419.05202111723918</c:v>
                </c:pt>
                <c:pt idx="1756">
                  <c:v>420.13848332580773</c:v>
                </c:pt>
                <c:pt idx="1757">
                  <c:v>421.23584088589058</c:v>
                </c:pt>
                <c:pt idx="1758">
                  <c:v>422.34430350841552</c:v>
                </c:pt>
                <c:pt idx="1759">
                  <c:v>423.46408707932778</c:v>
                </c:pt>
                <c:pt idx="1760">
                  <c:v>424.59541390813723</c:v>
                </c:pt>
                <c:pt idx="1761">
                  <c:v>425.73851298926331</c:v>
                </c:pt>
                <c:pt idx="1762">
                  <c:v>426.89362027699019</c:v>
                </c:pt>
                <c:pt idx="1763">
                  <c:v>428.06097897489497</c:v>
                </c:pt>
                <c:pt idx="1764">
                  <c:v>429.24083984068619</c:v>
                </c:pt>
                <c:pt idx="1765">
                  <c:v>430.43346150746027</c:v>
                </c:pt>
                <c:pt idx="1766">
                  <c:v>431.63911082245653</c:v>
                </c:pt>
                <c:pt idx="1767">
                  <c:v>432.85806320448268</c:v>
                </c:pt>
                <c:pt idx="1768">
                  <c:v>434.09060302127398</c:v>
                </c:pt>
                <c:pt idx="1769">
                  <c:v>435.33702398814557</c:v>
                </c:pt>
                <c:pt idx="1770">
                  <c:v>436.59762958942247</c:v>
                </c:pt>
                <c:pt idx="1771">
                  <c:v>437.87273352423153</c:v>
                </c:pt>
                <c:pt idx="1772">
                  <c:v>439.16266017840024</c:v>
                </c:pt>
                <c:pt idx="1773">
                  <c:v>440.46774512432705</c:v>
                </c:pt>
                <c:pt idx="1774">
                  <c:v>441.78833565086751</c:v>
                </c:pt>
                <c:pt idx="1775">
                  <c:v>443.12479132545195</c:v>
                </c:pt>
                <c:pt idx="1776">
                  <c:v>444.47748459083761</c:v>
                </c:pt>
                <c:pt idx="1777">
                  <c:v>445.84680139912967</c:v>
                </c:pt>
                <c:pt idx="1778">
                  <c:v>447.23314188592195</c:v>
                </c:pt>
                <c:pt idx="1779">
                  <c:v>448.63692108769129</c:v>
                </c:pt>
                <c:pt idx="1780">
                  <c:v>450.05856970585234</c:v>
                </c:pt>
                <c:pt idx="1781">
                  <c:v>451.49853492121269</c:v>
                </c:pt>
                <c:pt idx="1782">
                  <c:v>452.95728126292005</c:v>
                </c:pt>
                <c:pt idx="1783">
                  <c:v>454.43529153639196</c:v>
                </c:pt>
                <c:pt idx="1784">
                  <c:v>455.93306781515855</c:v>
                </c:pt>
                <c:pt idx="1785">
                  <c:v>457.4511325020469</c:v>
                </c:pt>
                <c:pt idx="1786">
                  <c:v>458.99002946567668</c:v>
                </c:pt>
                <c:pt idx="1787">
                  <c:v>460.55032525886384</c:v>
                </c:pt>
                <c:pt idx="1788">
                  <c:v>462.13261042620661</c:v>
                </c:pt>
                <c:pt idx="1789">
                  <c:v>463.73750090891548</c:v>
                </c:pt>
                <c:pt idx="1790">
                  <c:v>465.3656395558076</c:v>
                </c:pt>
                <c:pt idx="1791">
                  <c:v>467.01769775037161</c:v>
                </c:pt>
                <c:pt idx="1792">
                  <c:v>468.69437716492109</c:v>
                </c:pt>
                <c:pt idx="1793">
                  <c:v>470.39641165409375</c:v>
                </c:pt>
                <c:pt idx="1794">
                  <c:v>472.1245693013866</c:v>
                </c:pt>
                <c:pt idx="1795">
                  <c:v>473.87965463401486</c:v>
                </c:pt>
                <c:pt idx="1796">
                  <c:v>475.66251102322519</c:v>
                </c:pt>
                <c:pt idx="1797">
                  <c:v>477.47402328927762</c:v>
                </c:pt>
                <c:pt idx="1798">
                  <c:v>479.31512053270336</c:v>
                </c:pt>
                <c:pt idx="1799">
                  <c:v>481.18677921618428</c:v>
                </c:pt>
                <c:pt idx="1800">
                  <c:v>483.09002652454421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49-49EA-8339-F99704BA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12256"/>
        <c:axId val="653034880"/>
      </c:scatterChart>
      <c:valAx>
        <c:axId val="1828812256"/>
        <c:scaling>
          <c:orientation val="minMax"/>
          <c:max val="1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0.48781806988441673"/>
              <c:y val="0.89387114559204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34880"/>
        <c:crosses val="autoZero"/>
        <c:crossBetween val="midCat"/>
        <c:majorUnit val="2"/>
      </c:valAx>
      <c:valAx>
        <c:axId val="65303488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Current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(A)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81225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300" b="1">
                <a:solidFill>
                  <a:sysClr val="windowText" lastClr="000000"/>
                </a:solidFill>
              </a:rPr>
              <a:t>Supercapacitor</a:t>
            </a:r>
            <a:r>
              <a:rPr lang="en-IN" sz="1300" b="1" baseline="0">
                <a:solidFill>
                  <a:sysClr val="windowText" lastClr="000000"/>
                </a:solidFill>
              </a:rPr>
              <a:t> </a:t>
            </a:r>
            <a:r>
              <a:rPr lang="en-IN" sz="1300" b="1">
                <a:solidFill>
                  <a:sysClr val="windowText" lastClr="000000"/>
                </a:solidFill>
              </a:rPr>
              <a:t>Terminal &amp; Internal Voltage</a:t>
            </a:r>
          </a:p>
        </c:rich>
      </c:tx>
      <c:layout>
        <c:manualLayout>
          <c:xMode val="edge"/>
          <c:yMode val="edge"/>
          <c:x val="0.1654215389428747"/>
          <c:y val="2.9569297370562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08081494289173"/>
          <c:y val="0.13527513741833963"/>
          <c:w val="0.82283035201043331"/>
          <c:h val="0.7117309569128264"/>
        </c:manualLayout>
      </c:layout>
      <c:scatterChart>
        <c:scatterStyle val="smoothMarker"/>
        <c:varyColors val="0"/>
        <c:ser>
          <c:idx val="0"/>
          <c:order val="0"/>
          <c:tx>
            <c:v>Internal Voltage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'Non-ideal model'!$A$8:$A$1808</c:f>
              <c:numCache>
                <c:formatCode>0.0000</c:formatCode>
                <c:ptCount val="1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</c:numCache>
            </c:numRef>
          </c:xVal>
          <c:yVal>
            <c:numRef>
              <c:f>'Non-ideal model'!$B$8:$B$1808</c:f>
              <c:numCache>
                <c:formatCode>0.0000</c:formatCode>
                <c:ptCount val="1801"/>
                <c:pt idx="0">
                  <c:v>175</c:v>
                </c:pt>
                <c:pt idx="1">
                  <c:v>174.96159778416694</c:v>
                </c:pt>
                <c:pt idx="2">
                  <c:v>174.92318649406576</c:v>
                </c:pt>
                <c:pt idx="3">
                  <c:v>174.88476612309691</c:v>
                </c:pt>
                <c:pt idx="4">
                  <c:v>174.84633666465274</c:v>
                </c:pt>
                <c:pt idx="5">
                  <c:v>174.80789811211747</c:v>
                </c:pt>
                <c:pt idx="6">
                  <c:v>174.76945045886714</c:v>
                </c:pt>
                <c:pt idx="7">
                  <c:v>174.73099369826963</c:v>
                </c:pt>
                <c:pt idx="8">
                  <c:v>174.69252782368463</c:v>
                </c:pt>
                <c:pt idx="9">
                  <c:v>174.65405282846365</c:v>
                </c:pt>
                <c:pt idx="10">
                  <c:v>174.61556870595001</c:v>
                </c:pt>
                <c:pt idx="11">
                  <c:v>174.57707544947877</c:v>
                </c:pt>
                <c:pt idx="12">
                  <c:v>174.53857305237676</c:v>
                </c:pt>
                <c:pt idx="13">
                  <c:v>174.50006150796258</c:v>
                </c:pt>
                <c:pt idx="14">
                  <c:v>174.46154080954656</c:v>
                </c:pt>
                <c:pt idx="15">
                  <c:v>174.42301095043072</c:v>
                </c:pt>
                <c:pt idx="16">
                  <c:v>174.38447192390879</c:v>
                </c:pt>
                <c:pt idx="17">
                  <c:v>174.34592372326622</c:v>
                </c:pt>
                <c:pt idx="18">
                  <c:v>174.30736634178012</c:v>
                </c:pt>
                <c:pt idx="19">
                  <c:v>174.26879977271923</c:v>
                </c:pt>
                <c:pt idx="20">
                  <c:v>174.230224009344</c:v>
                </c:pt>
                <c:pt idx="21">
                  <c:v>174.19163904490645</c:v>
                </c:pt>
                <c:pt idx="22">
                  <c:v>174.15304487265027</c:v>
                </c:pt>
                <c:pt idx="23">
                  <c:v>174.11444148581069</c:v>
                </c:pt>
                <c:pt idx="24">
                  <c:v>174.07582887761455</c:v>
                </c:pt>
                <c:pt idx="25">
                  <c:v>174.03720704128031</c:v>
                </c:pt>
                <c:pt idx="26">
                  <c:v>173.99857597001795</c:v>
                </c:pt>
                <c:pt idx="27">
                  <c:v>173.95993565702898</c:v>
                </c:pt>
                <c:pt idx="28">
                  <c:v>173.92128609550642</c:v>
                </c:pt>
                <c:pt idx="29">
                  <c:v>173.88262727863486</c:v>
                </c:pt>
                <c:pt idx="30">
                  <c:v>173.84395919959036</c:v>
                </c:pt>
                <c:pt idx="31">
                  <c:v>173.80528185154046</c:v>
                </c:pt>
                <c:pt idx="32">
                  <c:v>173.76659522764419</c:v>
                </c:pt>
                <c:pt idx="33">
                  <c:v>173.72789932105198</c:v>
                </c:pt>
                <c:pt idx="34">
                  <c:v>173.68919412490575</c:v>
                </c:pt>
                <c:pt idx="35">
                  <c:v>173.65047963233883</c:v>
                </c:pt>
                <c:pt idx="36">
                  <c:v>173.61175583647591</c:v>
                </c:pt>
                <c:pt idx="37">
                  <c:v>173.57302273043314</c:v>
                </c:pt>
                <c:pt idx="38">
                  <c:v>173.53428030731803</c:v>
                </c:pt>
                <c:pt idx="39">
                  <c:v>173.49552856022942</c:v>
                </c:pt>
                <c:pt idx="40">
                  <c:v>173.4567674822575</c:v>
                </c:pt>
                <c:pt idx="41">
                  <c:v>173.41799706648385</c:v>
                </c:pt>
                <c:pt idx="42">
                  <c:v>173.37921730598129</c:v>
                </c:pt>
                <c:pt idx="43">
                  <c:v>173.34042819381398</c:v>
                </c:pt>
                <c:pt idx="44">
                  <c:v>173.30162972303734</c:v>
                </c:pt>
                <c:pt idx="45">
                  <c:v>173.26282188669808</c:v>
                </c:pt>
                <c:pt idx="46">
                  <c:v>173.22400467783416</c:v>
                </c:pt>
                <c:pt idx="47">
                  <c:v>173.18517808947479</c:v>
                </c:pt>
                <c:pt idx="48">
                  <c:v>173.14634211464036</c:v>
                </c:pt>
                <c:pt idx="49">
                  <c:v>173.10749674634252</c:v>
                </c:pt>
                <c:pt idx="50">
                  <c:v>173.06864197758406</c:v>
                </c:pt>
                <c:pt idx="51">
                  <c:v>173.02977780135899</c:v>
                </c:pt>
                <c:pt idx="52">
                  <c:v>172.99090421065242</c:v>
                </c:pt>
                <c:pt idx="53">
                  <c:v>172.95202119844066</c:v>
                </c:pt>
                <c:pt idx="54">
                  <c:v>172.91312875769114</c:v>
                </c:pt>
                <c:pt idx="55">
                  <c:v>172.8742268813624</c:v>
                </c:pt>
                <c:pt idx="56">
                  <c:v>172.83531556240405</c:v>
                </c:pt>
                <c:pt idx="57">
                  <c:v>172.79639479375678</c:v>
                </c:pt>
                <c:pt idx="58">
                  <c:v>172.75746456835239</c:v>
                </c:pt>
                <c:pt idx="59">
                  <c:v>172.71852487911369</c:v>
                </c:pt>
                <c:pt idx="60">
                  <c:v>172.67957571895451</c:v>
                </c:pt>
                <c:pt idx="61">
                  <c:v>172.64061708077975</c:v>
                </c:pt>
                <c:pt idx="62">
                  <c:v>172.60164895748525</c:v>
                </c:pt>
                <c:pt idx="63">
                  <c:v>172.56267134195787</c:v>
                </c:pt>
                <c:pt idx="64">
                  <c:v>172.52368422707542</c:v>
                </c:pt>
                <c:pt idx="65">
                  <c:v>172.48468760570665</c:v>
                </c:pt>
                <c:pt idx="66">
                  <c:v>172.44568147071129</c:v>
                </c:pt>
                <c:pt idx="67">
                  <c:v>172.40666581493997</c:v>
                </c:pt>
                <c:pt idx="68">
                  <c:v>172.36764063123417</c:v>
                </c:pt>
                <c:pt idx="69">
                  <c:v>172.32860591242633</c:v>
                </c:pt>
                <c:pt idx="70">
                  <c:v>172.28956165133971</c:v>
                </c:pt>
                <c:pt idx="71">
                  <c:v>172.25050784078846</c:v>
                </c:pt>
                <c:pt idx="72">
                  <c:v>172.21144447357753</c:v>
                </c:pt>
                <c:pt idx="73">
                  <c:v>172.1723715425027</c:v>
                </c:pt>
                <c:pt idx="74">
                  <c:v>172.13328904035058</c:v>
                </c:pt>
                <c:pt idx="75">
                  <c:v>172.09419695989854</c:v>
                </c:pt>
                <c:pt idx="76">
                  <c:v>172.05509529391472</c:v>
                </c:pt>
                <c:pt idx="77">
                  <c:v>172.015984035158</c:v>
                </c:pt>
                <c:pt idx="78">
                  <c:v>171.97686317637806</c:v>
                </c:pt>
                <c:pt idx="79">
                  <c:v>171.93773271031523</c:v>
                </c:pt>
                <c:pt idx="80">
                  <c:v>171.89859262970054</c:v>
                </c:pt>
                <c:pt idx="81">
                  <c:v>171.85944292725577</c:v>
                </c:pt>
                <c:pt idx="82">
                  <c:v>171.82028359569333</c:v>
                </c:pt>
                <c:pt idx="83">
                  <c:v>171.78111462771628</c:v>
                </c:pt>
                <c:pt idx="84">
                  <c:v>171.74193601601831</c:v>
                </c:pt>
                <c:pt idx="85">
                  <c:v>171.70274775328375</c:v>
                </c:pt>
                <c:pt idx="86">
                  <c:v>171.6635498321875</c:v>
                </c:pt>
                <c:pt idx="87">
                  <c:v>171.6243422453951</c:v>
                </c:pt>
                <c:pt idx="88">
                  <c:v>171.58512498556257</c:v>
                </c:pt>
                <c:pt idx="89">
                  <c:v>171.54589804533657</c:v>
                </c:pt>
                <c:pt idx="90">
                  <c:v>171.50666141735425</c:v>
                </c:pt>
                <c:pt idx="91">
                  <c:v>171.46741509424325</c:v>
                </c:pt>
                <c:pt idx="92">
                  <c:v>171.42815906862174</c:v>
                </c:pt>
                <c:pt idx="93">
                  <c:v>171.38889333309839</c:v>
                </c:pt>
                <c:pt idx="94">
                  <c:v>171.34961788027229</c:v>
                </c:pt>
                <c:pt idx="95">
                  <c:v>171.31033270273301</c:v>
                </c:pt>
                <c:pt idx="96">
                  <c:v>171.27103779306049</c:v>
                </c:pt>
                <c:pt idx="97">
                  <c:v>171.23173314382515</c:v>
                </c:pt>
                <c:pt idx="98">
                  <c:v>171.19241874758779</c:v>
                </c:pt>
                <c:pt idx="99">
                  <c:v>171.15309459689956</c:v>
                </c:pt>
                <c:pt idx="100">
                  <c:v>171.11376068430198</c:v>
                </c:pt>
                <c:pt idx="101">
                  <c:v>171.07441700232692</c:v>
                </c:pt>
                <c:pt idx="102">
                  <c:v>171.03506354349656</c:v>
                </c:pt>
                <c:pt idx="103">
                  <c:v>170.99570030032336</c:v>
                </c:pt>
                <c:pt idx="104">
                  <c:v>170.95632726531011</c:v>
                </c:pt>
                <c:pt idx="105">
                  <c:v>170.91694443094985</c:v>
                </c:pt>
                <c:pt idx="106">
                  <c:v>170.87755178972591</c:v>
                </c:pt>
                <c:pt idx="107">
                  <c:v>170.83814933411179</c:v>
                </c:pt>
                <c:pt idx="108">
                  <c:v>170.79873705657121</c:v>
                </c:pt>
                <c:pt idx="109">
                  <c:v>170.75931494955816</c:v>
                </c:pt>
                <c:pt idx="110">
                  <c:v>170.71988300551672</c:v>
                </c:pt>
                <c:pt idx="111">
                  <c:v>170.68044121688118</c:v>
                </c:pt>
                <c:pt idx="112">
                  <c:v>170.64098957607598</c:v>
                </c:pt>
                <c:pt idx="113">
                  <c:v>170.60152807551566</c:v>
                </c:pt>
                <c:pt idx="114">
                  <c:v>170.56205670760488</c:v>
                </c:pt>
                <c:pt idx="115">
                  <c:v>170.52257546473837</c:v>
                </c:pt>
                <c:pt idx="116">
                  <c:v>170.48308433930094</c:v>
                </c:pt>
                <c:pt idx="117">
                  <c:v>170.4435833236675</c:v>
                </c:pt>
                <c:pt idx="118">
                  <c:v>170.4040724102029</c:v>
                </c:pt>
                <c:pt idx="119">
                  <c:v>170.36455159126209</c:v>
                </c:pt>
                <c:pt idx="120">
                  <c:v>170.32502085918995</c:v>
                </c:pt>
                <c:pt idx="121">
                  <c:v>170.28548020632138</c:v>
                </c:pt>
                <c:pt idx="122">
                  <c:v>170.24592962498124</c:v>
                </c:pt>
                <c:pt idx="123">
                  <c:v>170.20636910748431</c:v>
                </c:pt>
                <c:pt idx="124">
                  <c:v>170.16679864613528</c:v>
                </c:pt>
                <c:pt idx="125">
                  <c:v>170.1272182332288</c:v>
                </c:pt>
                <c:pt idx="126">
                  <c:v>170.08762786104936</c:v>
                </c:pt>
                <c:pt idx="127">
                  <c:v>170.04802752187129</c:v>
                </c:pt>
                <c:pt idx="128">
                  <c:v>170.00841720795881</c:v>
                </c:pt>
                <c:pt idx="129">
                  <c:v>169.96879691156599</c:v>
                </c:pt>
                <c:pt idx="130">
                  <c:v>169.92916662493664</c:v>
                </c:pt>
                <c:pt idx="131">
                  <c:v>169.88952634030443</c:v>
                </c:pt>
                <c:pt idx="132">
                  <c:v>169.84987604989274</c:v>
                </c:pt>
                <c:pt idx="133">
                  <c:v>169.81021574591475</c:v>
                </c:pt>
                <c:pt idx="134">
                  <c:v>169.77054542057331</c:v>
                </c:pt>
                <c:pt idx="135">
                  <c:v>169.73086506606109</c:v>
                </c:pt>
                <c:pt idx="136">
                  <c:v>169.69117467456033</c:v>
                </c:pt>
                <c:pt idx="137">
                  <c:v>169.65147423824303</c:v>
                </c:pt>
                <c:pt idx="138">
                  <c:v>169.61176374927081</c:v>
                </c:pt>
                <c:pt idx="139">
                  <c:v>169.57204319979496</c:v>
                </c:pt>
                <c:pt idx="140">
                  <c:v>169.53231258195635</c:v>
                </c:pt>
                <c:pt idx="141">
                  <c:v>169.49257188788545</c:v>
                </c:pt>
                <c:pt idx="142">
                  <c:v>169.45282110970234</c:v>
                </c:pt>
                <c:pt idx="143">
                  <c:v>169.41306023951662</c:v>
                </c:pt>
                <c:pt idx="144">
                  <c:v>169.37328926942746</c:v>
                </c:pt>
                <c:pt idx="145">
                  <c:v>169.33350819152352</c:v>
                </c:pt>
                <c:pt idx="146">
                  <c:v>169.293716997883</c:v>
                </c:pt>
                <c:pt idx="147">
                  <c:v>169.25391568057353</c:v>
                </c:pt>
                <c:pt idx="148">
                  <c:v>169.21410423165224</c:v>
                </c:pt>
                <c:pt idx="149">
                  <c:v>169.17428264316567</c:v>
                </c:pt>
                <c:pt idx="150">
                  <c:v>169.13445090714981</c:v>
                </c:pt>
                <c:pt idx="151">
                  <c:v>169.09460901563003</c:v>
                </c:pt>
                <c:pt idx="152">
                  <c:v>169.05475696062106</c:v>
                </c:pt>
                <c:pt idx="153">
                  <c:v>169.01489473412707</c:v>
                </c:pt>
                <c:pt idx="154">
                  <c:v>168.97502232814148</c:v>
                </c:pt>
                <c:pt idx="155">
                  <c:v>168.93513973464707</c:v>
                </c:pt>
                <c:pt idx="156">
                  <c:v>168.8952469456159</c:v>
                </c:pt>
                <c:pt idx="157">
                  <c:v>168.85534395300934</c:v>
                </c:pt>
                <c:pt idx="158">
                  <c:v>168.815430748778</c:v>
                </c:pt>
                <c:pt idx="159">
                  <c:v>168.77550732486176</c:v>
                </c:pt>
                <c:pt idx="160">
                  <c:v>168.73557367318966</c:v>
                </c:pt>
                <c:pt idx="161">
                  <c:v>168.69562978567998</c:v>
                </c:pt>
                <c:pt idx="162">
                  <c:v>168.65567565424018</c:v>
                </c:pt>
                <c:pt idx="163">
                  <c:v>168.61571127076687</c:v>
                </c:pt>
                <c:pt idx="164">
                  <c:v>168.57573662714577</c:v>
                </c:pt>
                <c:pt idx="165">
                  <c:v>168.53575171525173</c:v>
                </c:pt>
                <c:pt idx="166">
                  <c:v>168.49575652694872</c:v>
                </c:pt>
                <c:pt idx="167">
                  <c:v>168.45575105408977</c:v>
                </c:pt>
                <c:pt idx="168">
                  <c:v>168.41573528851697</c:v>
                </c:pt>
                <c:pt idx="169">
                  <c:v>168.37570922206143</c:v>
                </c:pt>
                <c:pt idx="170">
                  <c:v>168.33567284654328</c:v>
                </c:pt>
                <c:pt idx="171">
                  <c:v>168.29562615377162</c:v>
                </c:pt>
                <c:pt idx="172">
                  <c:v>168.25556913554453</c:v>
                </c:pt>
                <c:pt idx="173">
                  <c:v>168.21550178364907</c:v>
                </c:pt>
                <c:pt idx="174">
                  <c:v>168.17542408986122</c:v>
                </c:pt>
                <c:pt idx="175">
                  <c:v>168.13533604594582</c:v>
                </c:pt>
                <c:pt idx="176">
                  <c:v>168.09523764365665</c:v>
                </c:pt>
                <c:pt idx="177">
                  <c:v>168.05512887473631</c:v>
                </c:pt>
                <c:pt idx="178">
                  <c:v>168.01500973091629</c:v>
                </c:pt>
                <c:pt idx="179">
                  <c:v>167.97488020391685</c:v>
                </c:pt>
                <c:pt idx="180">
                  <c:v>167.93474028544711</c:v>
                </c:pt>
                <c:pt idx="181">
                  <c:v>167.89458996720489</c:v>
                </c:pt>
                <c:pt idx="182">
                  <c:v>167.85442924087687</c:v>
                </c:pt>
                <c:pt idx="183">
                  <c:v>167.81425809813837</c:v>
                </c:pt>
                <c:pt idx="184">
                  <c:v>167.77407653065347</c:v>
                </c:pt>
                <c:pt idx="185">
                  <c:v>167.73388453007493</c:v>
                </c:pt>
                <c:pt idx="186">
                  <c:v>167.6936820880442</c:v>
                </c:pt>
                <c:pt idx="187">
                  <c:v>167.65346919619137</c:v>
                </c:pt>
                <c:pt idx="188">
                  <c:v>167.61324584613513</c:v>
                </c:pt>
                <c:pt idx="189">
                  <c:v>167.57301202948281</c:v>
                </c:pt>
                <c:pt idx="190">
                  <c:v>167.53276773783031</c:v>
                </c:pt>
                <c:pt idx="191">
                  <c:v>167.49251296276211</c:v>
                </c:pt>
                <c:pt idx="192">
                  <c:v>167.45224769585118</c:v>
                </c:pt>
                <c:pt idx="193">
                  <c:v>167.41197192865909</c:v>
                </c:pt>
                <c:pt idx="194">
                  <c:v>167.37168565273581</c:v>
                </c:pt>
                <c:pt idx="195">
                  <c:v>167.33138885961984</c:v>
                </c:pt>
                <c:pt idx="196">
                  <c:v>167.29108154083809</c:v>
                </c:pt>
                <c:pt idx="197">
                  <c:v>167.25076368790596</c:v>
                </c:pt>
                <c:pt idx="198">
                  <c:v>167.21043529232722</c:v>
                </c:pt>
                <c:pt idx="199">
                  <c:v>167.170096345594</c:v>
                </c:pt>
                <c:pt idx="200">
                  <c:v>167.12974683918682</c:v>
                </c:pt>
                <c:pt idx="201">
                  <c:v>167.08938676457456</c:v>
                </c:pt>
                <c:pt idx="202">
                  <c:v>167.04901611321435</c:v>
                </c:pt>
                <c:pt idx="203">
                  <c:v>167.00863487655167</c:v>
                </c:pt>
                <c:pt idx="204">
                  <c:v>166.96824304602023</c:v>
                </c:pt>
                <c:pt idx="205">
                  <c:v>166.92784061304206</c:v>
                </c:pt>
                <c:pt idx="206">
                  <c:v>166.88742756902732</c:v>
                </c:pt>
                <c:pt idx="207">
                  <c:v>166.84700390537444</c:v>
                </c:pt>
                <c:pt idx="208">
                  <c:v>166.80656961346997</c:v>
                </c:pt>
                <c:pt idx="209">
                  <c:v>166.76612468468866</c:v>
                </c:pt>
                <c:pt idx="210">
                  <c:v>166.7256691103934</c:v>
                </c:pt>
                <c:pt idx="211">
                  <c:v>166.68520288193517</c:v>
                </c:pt>
                <c:pt idx="212">
                  <c:v>166.644725990653</c:v>
                </c:pt>
                <c:pt idx="213">
                  <c:v>166.60423842787407</c:v>
                </c:pt>
                <c:pt idx="214">
                  <c:v>166.56374018491351</c:v>
                </c:pt>
                <c:pt idx="215">
                  <c:v>166.52323125307453</c:v>
                </c:pt>
                <c:pt idx="216">
                  <c:v>166.4827116236483</c:v>
                </c:pt>
                <c:pt idx="217">
                  <c:v>166.44218128791397</c:v>
                </c:pt>
                <c:pt idx="218">
                  <c:v>166.40164023713862</c:v>
                </c:pt>
                <c:pt idx="219">
                  <c:v>166.36108846257727</c:v>
                </c:pt>
                <c:pt idx="220">
                  <c:v>166.32052595547285</c:v>
                </c:pt>
                <c:pt idx="221">
                  <c:v>166.27995270705614</c:v>
                </c:pt>
                <c:pt idx="222">
                  <c:v>166.23936870854578</c:v>
                </c:pt>
                <c:pt idx="223">
                  <c:v>166.19877395114824</c:v>
                </c:pt>
                <c:pt idx="224">
                  <c:v>166.15816842605778</c:v>
                </c:pt>
                <c:pt idx="225">
                  <c:v>166.11755212445647</c:v>
                </c:pt>
                <c:pt idx="226">
                  <c:v>166.07692503751409</c:v>
                </c:pt>
                <c:pt idx="227">
                  <c:v>166.03628715638817</c:v>
                </c:pt>
                <c:pt idx="228">
                  <c:v>165.99563847222399</c:v>
                </c:pt>
                <c:pt idx="229">
                  <c:v>165.95497897615445</c:v>
                </c:pt>
                <c:pt idx="230">
                  <c:v>165.91430865930013</c:v>
                </c:pt>
                <c:pt idx="231">
                  <c:v>165.87362751276925</c:v>
                </c:pt>
                <c:pt idx="232">
                  <c:v>165.83293552765764</c:v>
                </c:pt>
                <c:pt idx="233">
                  <c:v>165.79223269504871</c:v>
                </c:pt>
                <c:pt idx="234">
                  <c:v>165.75151900601344</c:v>
                </c:pt>
                <c:pt idx="235">
                  <c:v>165.71079445161033</c:v>
                </c:pt>
                <c:pt idx="236">
                  <c:v>165.6700590228854</c:v>
                </c:pt>
                <c:pt idx="237">
                  <c:v>165.62931271087217</c:v>
                </c:pt>
                <c:pt idx="238">
                  <c:v>165.5885555065916</c:v>
                </c:pt>
                <c:pt idx="239">
                  <c:v>165.54778740105212</c:v>
                </c:pt>
                <c:pt idx="240">
                  <c:v>165.50700838524952</c:v>
                </c:pt>
                <c:pt idx="241">
                  <c:v>165.46621845016702</c:v>
                </c:pt>
                <c:pt idx="242">
                  <c:v>165.42541758677515</c:v>
                </c:pt>
                <c:pt idx="243">
                  <c:v>165.38460578603187</c:v>
                </c:pt>
                <c:pt idx="244">
                  <c:v>165.34378303888235</c:v>
                </c:pt>
                <c:pt idx="245">
                  <c:v>165.30294933625913</c:v>
                </c:pt>
                <c:pt idx="246">
                  <c:v>165.26210466908196</c:v>
                </c:pt>
                <c:pt idx="247">
                  <c:v>165.22124902825783</c:v>
                </c:pt>
                <c:pt idx="248">
                  <c:v>165.18038240468096</c:v>
                </c:pt>
                <c:pt idx="249">
                  <c:v>165.13950478923275</c:v>
                </c:pt>
                <c:pt idx="250">
                  <c:v>165.09861617278173</c:v>
                </c:pt>
                <c:pt idx="251">
                  <c:v>165.05771654618363</c:v>
                </c:pt>
                <c:pt idx="252">
                  <c:v>165.01680590028121</c:v>
                </c:pt>
                <c:pt idx="253">
                  <c:v>164.97588422590437</c:v>
                </c:pt>
                <c:pt idx="254">
                  <c:v>164.93495151387003</c:v>
                </c:pt>
                <c:pt idx="255">
                  <c:v>164.89400775498217</c:v>
                </c:pt>
                <c:pt idx="256">
                  <c:v>164.85305294003177</c:v>
                </c:pt>
                <c:pt idx="257">
                  <c:v>164.81208705979677</c:v>
                </c:pt>
                <c:pt idx="258">
                  <c:v>164.77111010504206</c:v>
                </c:pt>
                <c:pt idx="259">
                  <c:v>164.73012206651947</c:v>
                </c:pt>
                <c:pt idx="260">
                  <c:v>164.68912293496774</c:v>
                </c:pt>
                <c:pt idx="261">
                  <c:v>164.64811270111247</c:v>
                </c:pt>
                <c:pt idx="262">
                  <c:v>164.60709135566611</c:v>
                </c:pt>
                <c:pt idx="263">
                  <c:v>164.56605888932793</c:v>
                </c:pt>
                <c:pt idx="264">
                  <c:v>164.52501529278402</c:v>
                </c:pt>
                <c:pt idx="265">
                  <c:v>164.48396055670716</c:v>
                </c:pt>
                <c:pt idx="266">
                  <c:v>164.44289467175696</c:v>
                </c:pt>
                <c:pt idx="267">
                  <c:v>164.40181762857972</c:v>
                </c:pt>
                <c:pt idx="268">
                  <c:v>164.36072941780839</c:v>
                </c:pt>
                <c:pt idx="269">
                  <c:v>164.31963003006263</c:v>
                </c:pt>
                <c:pt idx="270">
                  <c:v>164.2785194559487</c:v>
                </c:pt>
                <c:pt idx="271">
                  <c:v>164.23739768605947</c:v>
                </c:pt>
                <c:pt idx="272">
                  <c:v>164.19626471097442</c:v>
                </c:pt>
                <c:pt idx="273">
                  <c:v>164.15512052125953</c:v>
                </c:pt>
                <c:pt idx="274">
                  <c:v>164.11396510746738</c:v>
                </c:pt>
                <c:pt idx="275">
                  <c:v>164.07279846013697</c:v>
                </c:pt>
                <c:pt idx="276">
                  <c:v>164.0316205697938</c:v>
                </c:pt>
                <c:pt idx="277">
                  <c:v>163.99043142694987</c:v>
                </c:pt>
                <c:pt idx="278">
                  <c:v>163.9492310221035</c:v>
                </c:pt>
                <c:pt idx="279">
                  <c:v>163.90801934573946</c:v>
                </c:pt>
                <c:pt idx="280">
                  <c:v>163.86679638832885</c:v>
                </c:pt>
                <c:pt idx="281">
                  <c:v>163.82556214032914</c:v>
                </c:pt>
                <c:pt idx="282">
                  <c:v>163.78431659218407</c:v>
                </c:pt>
                <c:pt idx="283">
                  <c:v>163.74305973432368</c:v>
                </c:pt>
                <c:pt idx="284">
                  <c:v>163.70179155716426</c:v>
                </c:pt>
                <c:pt idx="285">
                  <c:v>163.66051205110827</c:v>
                </c:pt>
                <c:pt idx="286">
                  <c:v>163.61922120654444</c:v>
                </c:pt>
                <c:pt idx="287">
                  <c:v>163.57791901384763</c:v>
                </c:pt>
                <c:pt idx="288">
                  <c:v>163.53660546337883</c:v>
                </c:pt>
                <c:pt idx="289">
                  <c:v>163.49528054548514</c:v>
                </c:pt>
                <c:pt idx="290">
                  <c:v>163.45394425049975</c:v>
                </c:pt>
                <c:pt idx="291">
                  <c:v>163.41259656874189</c:v>
                </c:pt>
                <c:pt idx="292">
                  <c:v>163.37123749051685</c:v>
                </c:pt>
                <c:pt idx="293">
                  <c:v>163.32986700611585</c:v>
                </c:pt>
                <c:pt idx="294">
                  <c:v>163.28848510581614</c:v>
                </c:pt>
                <c:pt idx="295">
                  <c:v>163.24709177988086</c:v>
                </c:pt>
                <c:pt idx="296">
                  <c:v>163.20568701855908</c:v>
                </c:pt>
                <c:pt idx="297">
                  <c:v>163.16427081208576</c:v>
                </c:pt>
                <c:pt idx="298">
                  <c:v>163.12284315068169</c:v>
                </c:pt>
                <c:pt idx="299">
                  <c:v>163.08140402455348</c:v>
                </c:pt>
                <c:pt idx="300">
                  <c:v>163.03995342389354</c:v>
                </c:pt>
                <c:pt idx="301">
                  <c:v>162.99849133888006</c:v>
                </c:pt>
                <c:pt idx="302">
                  <c:v>162.95701775967694</c:v>
                </c:pt>
                <c:pt idx="303">
                  <c:v>162.9155326764338</c:v>
                </c:pt>
                <c:pt idx="304">
                  <c:v>162.8740360792859</c:v>
                </c:pt>
                <c:pt idx="305">
                  <c:v>162.83252795835421</c:v>
                </c:pt>
                <c:pt idx="306">
                  <c:v>162.79100830374526</c:v>
                </c:pt>
                <c:pt idx="307">
                  <c:v>162.74947710555116</c:v>
                </c:pt>
                <c:pt idx="308">
                  <c:v>162.70793435384965</c:v>
                </c:pt>
                <c:pt idx="309">
                  <c:v>162.66638003870392</c:v>
                </c:pt>
                <c:pt idx="310">
                  <c:v>162.62481415016268</c:v>
                </c:pt>
                <c:pt idx="311">
                  <c:v>162.58323667826011</c:v>
                </c:pt>
                <c:pt idx="312">
                  <c:v>162.54164761301581</c:v>
                </c:pt>
                <c:pt idx="313">
                  <c:v>162.50004694443484</c:v>
                </c:pt>
                <c:pt idx="314">
                  <c:v>162.45843466250756</c:v>
                </c:pt>
                <c:pt idx="315">
                  <c:v>162.41681075720973</c:v>
                </c:pt>
                <c:pt idx="316">
                  <c:v>162.37517521850242</c:v>
                </c:pt>
                <c:pt idx="317">
                  <c:v>162.33352803633196</c:v>
                </c:pt>
                <c:pt idx="318">
                  <c:v>162.29186920062995</c:v>
                </c:pt>
                <c:pt idx="319">
                  <c:v>162.2501987013132</c:v>
                </c:pt>
                <c:pt idx="320">
                  <c:v>162.20851652828375</c:v>
                </c:pt>
                <c:pt idx="321">
                  <c:v>162.16682267142875</c:v>
                </c:pt>
                <c:pt idx="322">
                  <c:v>162.1251171206205</c:v>
                </c:pt>
                <c:pt idx="323">
                  <c:v>162.08339986571644</c:v>
                </c:pt>
                <c:pt idx="324">
                  <c:v>162.04167089655903</c:v>
                </c:pt>
                <c:pt idx="325">
                  <c:v>161.99993020297578</c:v>
                </c:pt>
                <c:pt idx="326">
                  <c:v>161.95817777477919</c:v>
                </c:pt>
                <c:pt idx="327">
                  <c:v>161.91641360176678</c:v>
                </c:pt>
                <c:pt idx="328">
                  <c:v>161.87463767372097</c:v>
                </c:pt>
                <c:pt idx="329">
                  <c:v>161.83284998040909</c:v>
                </c:pt>
                <c:pt idx="330">
                  <c:v>161.79105051158342</c:v>
                </c:pt>
                <c:pt idx="331">
                  <c:v>161.74923925698101</c:v>
                </c:pt>
                <c:pt idx="332">
                  <c:v>161.70741620632376</c:v>
                </c:pt>
                <c:pt idx="333">
                  <c:v>161.66558134931833</c:v>
                </c:pt>
                <c:pt idx="334">
                  <c:v>161.62373467565618</c:v>
                </c:pt>
                <c:pt idx="335">
                  <c:v>161.58187617501343</c:v>
                </c:pt>
                <c:pt idx="336">
                  <c:v>161.54000583705096</c:v>
                </c:pt>
                <c:pt idx="337">
                  <c:v>161.49812365141426</c:v>
                </c:pt>
                <c:pt idx="338">
                  <c:v>161.45622960773343</c:v>
                </c:pt>
                <c:pt idx="339">
                  <c:v>161.41432369562324</c:v>
                </c:pt>
                <c:pt idx="340">
                  <c:v>161.37240590468292</c:v>
                </c:pt>
                <c:pt idx="341">
                  <c:v>161.33047622449629</c:v>
                </c:pt>
                <c:pt idx="342">
                  <c:v>161.28853464463165</c:v>
                </c:pt>
                <c:pt idx="343">
                  <c:v>161.24658115464175</c:v>
                </c:pt>
                <c:pt idx="344">
                  <c:v>161.20461574406377</c:v>
                </c:pt>
                <c:pt idx="345">
                  <c:v>161.16263840241933</c:v>
                </c:pt>
                <c:pt idx="346">
                  <c:v>161.12064911921436</c:v>
                </c:pt>
                <c:pt idx="347">
                  <c:v>161.07864788393914</c:v>
                </c:pt>
                <c:pt idx="348">
                  <c:v>161.03663468606823</c:v>
                </c:pt>
                <c:pt idx="349">
                  <c:v>160.99460951506046</c:v>
                </c:pt>
                <c:pt idx="350">
                  <c:v>160.95257236035894</c:v>
                </c:pt>
                <c:pt idx="351">
                  <c:v>160.91052321139091</c:v>
                </c:pt>
                <c:pt idx="352">
                  <c:v>160.8684620575678</c:v>
                </c:pt>
                <c:pt idx="353">
                  <c:v>160.82638888828515</c:v>
                </c:pt>
                <c:pt idx="354">
                  <c:v>160.78430369292263</c:v>
                </c:pt>
                <c:pt idx="355">
                  <c:v>160.74220646084396</c:v>
                </c:pt>
                <c:pt idx="356">
                  <c:v>160.70009718139687</c:v>
                </c:pt>
                <c:pt idx="357">
                  <c:v>160.65797584391311</c:v>
                </c:pt>
                <c:pt idx="358">
                  <c:v>160.61584243770835</c:v>
                </c:pt>
                <c:pt idx="359">
                  <c:v>160.57369695208223</c:v>
                </c:pt>
                <c:pt idx="360">
                  <c:v>160.53153937631828</c:v>
                </c:pt>
                <c:pt idx="361">
                  <c:v>160.48936969968383</c:v>
                </c:pt>
                <c:pt idx="362">
                  <c:v>160.44718791143009</c:v>
                </c:pt>
                <c:pt idx="363">
                  <c:v>160.40499400079204</c:v>
                </c:pt>
                <c:pt idx="364">
                  <c:v>160.36278795698843</c:v>
                </c:pt>
                <c:pt idx="365">
                  <c:v>160.32056976922169</c:v>
                </c:pt>
                <c:pt idx="366">
                  <c:v>160.27833942667795</c:v>
                </c:pt>
                <c:pt idx="367">
                  <c:v>160.23609691852698</c:v>
                </c:pt>
                <c:pt idx="368">
                  <c:v>160.19384223392223</c:v>
                </c:pt>
                <c:pt idx="369">
                  <c:v>160.15157536200061</c:v>
                </c:pt>
                <c:pt idx="370">
                  <c:v>160.10929629188269</c:v>
                </c:pt>
                <c:pt idx="371">
                  <c:v>160.06700501267244</c:v>
                </c:pt>
                <c:pt idx="372">
                  <c:v>160.02470151345742</c:v>
                </c:pt>
                <c:pt idx="373">
                  <c:v>159.9823857833085</c:v>
                </c:pt>
                <c:pt idx="374">
                  <c:v>159.94005781128004</c:v>
                </c:pt>
                <c:pt idx="375">
                  <c:v>159.89771758640975</c:v>
                </c:pt>
                <c:pt idx="376">
                  <c:v>159.85536509771865</c:v>
                </c:pt>
                <c:pt idx="377">
                  <c:v>159.81300033421107</c:v>
                </c:pt>
                <c:pt idx="378">
                  <c:v>159.77062328487457</c:v>
                </c:pt>
                <c:pt idx="379">
                  <c:v>159.72823393867995</c:v>
                </c:pt>
                <c:pt idx="380">
                  <c:v>159.68583228458121</c:v>
                </c:pt>
                <c:pt idx="381">
                  <c:v>159.64341831151546</c:v>
                </c:pt>
                <c:pt idx="382">
                  <c:v>159.60099200840295</c:v>
                </c:pt>
                <c:pt idx="383">
                  <c:v>159.55855336414703</c:v>
                </c:pt>
                <c:pt idx="384">
                  <c:v>159.51610236763401</c:v>
                </c:pt>
                <c:pt idx="385">
                  <c:v>159.47363900773328</c:v>
                </c:pt>
                <c:pt idx="386">
                  <c:v>159.43116327329716</c:v>
                </c:pt>
                <c:pt idx="387">
                  <c:v>159.38867515316088</c:v>
                </c:pt>
                <c:pt idx="388">
                  <c:v>159.34617463614259</c:v>
                </c:pt>
                <c:pt idx="389">
                  <c:v>159.30366171104333</c:v>
                </c:pt>
                <c:pt idx="390">
                  <c:v>159.26113636664687</c:v>
                </c:pt>
                <c:pt idx="391">
                  <c:v>159.2185985917198</c:v>
                </c:pt>
                <c:pt idx="392">
                  <c:v>159.17604837501148</c:v>
                </c:pt>
                <c:pt idx="393">
                  <c:v>159.13348570525392</c:v>
                </c:pt>
                <c:pt idx="394">
                  <c:v>159.09091057116183</c:v>
                </c:pt>
                <c:pt idx="395">
                  <c:v>159.04832296143255</c:v>
                </c:pt>
                <c:pt idx="396">
                  <c:v>159.00572286474602</c:v>
                </c:pt>
                <c:pt idx="397">
                  <c:v>158.96311026976468</c:v>
                </c:pt>
                <c:pt idx="398">
                  <c:v>158.92048516513353</c:v>
                </c:pt>
                <c:pt idx="399">
                  <c:v>158.87784753948003</c:v>
                </c:pt>
                <c:pt idx="400">
                  <c:v>158.83519738141408</c:v>
                </c:pt>
                <c:pt idx="401">
                  <c:v>158.79253467952799</c:v>
                </c:pt>
                <c:pt idx="402">
                  <c:v>158.74985942239641</c:v>
                </c:pt>
                <c:pt idx="403">
                  <c:v>158.70717159857634</c:v>
                </c:pt>
                <c:pt idx="404">
                  <c:v>158.66447119660702</c:v>
                </c:pt>
                <c:pt idx="405">
                  <c:v>158.62175820500997</c:v>
                </c:pt>
                <c:pt idx="406">
                  <c:v>158.5790326122889</c:v>
                </c:pt>
                <c:pt idx="407">
                  <c:v>158.5362944069297</c:v>
                </c:pt>
                <c:pt idx="408">
                  <c:v>158.49354357740035</c:v>
                </c:pt>
                <c:pt idx="409">
                  <c:v>158.45078011215097</c:v>
                </c:pt>
                <c:pt idx="410">
                  <c:v>158.4080039996137</c:v>
                </c:pt>
                <c:pt idx="411">
                  <c:v>158.36521522820266</c:v>
                </c:pt>
                <c:pt idx="412">
                  <c:v>158.32241378631397</c:v>
                </c:pt>
                <c:pt idx="413">
                  <c:v>158.27959966232572</c:v>
                </c:pt>
                <c:pt idx="414">
                  <c:v>158.23677284459779</c:v>
                </c:pt>
                <c:pt idx="415">
                  <c:v>158.193933321472</c:v>
                </c:pt>
                <c:pt idx="416">
                  <c:v>158.15108108127191</c:v>
                </c:pt>
                <c:pt idx="417">
                  <c:v>158.1082161123029</c:v>
                </c:pt>
                <c:pt idx="418">
                  <c:v>158.06533840285203</c:v>
                </c:pt>
                <c:pt idx="419">
                  <c:v>158.02244794118809</c:v>
                </c:pt>
                <c:pt idx="420">
                  <c:v>157.9795447155615</c:v>
                </c:pt>
                <c:pt idx="421">
                  <c:v>157.93662871420429</c:v>
                </c:pt>
                <c:pt idx="422">
                  <c:v>157.89369992533003</c:v>
                </c:pt>
                <c:pt idx="423">
                  <c:v>157.85075833713384</c:v>
                </c:pt>
                <c:pt idx="424">
                  <c:v>157.80780393779233</c:v>
                </c:pt>
                <c:pt idx="425">
                  <c:v>157.76483671546353</c:v>
                </c:pt>
                <c:pt idx="426">
                  <c:v>157.72185665828687</c:v>
                </c:pt>
                <c:pt idx="427">
                  <c:v>157.67886375438314</c:v>
                </c:pt>
                <c:pt idx="428">
                  <c:v>157.63585799185449</c:v>
                </c:pt>
                <c:pt idx="429">
                  <c:v>157.59283935878426</c:v>
                </c:pt>
                <c:pt idx="430">
                  <c:v>157.54980784323712</c:v>
                </c:pt>
                <c:pt idx="431">
                  <c:v>157.50676343325884</c:v>
                </c:pt>
                <c:pt idx="432">
                  <c:v>157.46370611687641</c:v>
                </c:pt>
                <c:pt idx="433">
                  <c:v>157.42063588209788</c:v>
                </c:pt>
                <c:pt idx="434">
                  <c:v>157.37755271691242</c:v>
                </c:pt>
                <c:pt idx="435">
                  <c:v>157.33445660929016</c:v>
                </c:pt>
                <c:pt idx="436">
                  <c:v>157.29134754718226</c:v>
                </c:pt>
                <c:pt idx="437">
                  <c:v>157.24822551852077</c:v>
                </c:pt>
                <c:pt idx="438">
                  <c:v>157.20509051121866</c:v>
                </c:pt>
                <c:pt idx="439">
                  <c:v>157.16194251316978</c:v>
                </c:pt>
                <c:pt idx="440">
                  <c:v>157.11878151224875</c:v>
                </c:pt>
                <c:pt idx="441">
                  <c:v>157.07560749631094</c:v>
                </c:pt>
                <c:pt idx="442">
                  <c:v>157.03242045319249</c:v>
                </c:pt>
                <c:pt idx="443">
                  <c:v>156.9892203707102</c:v>
                </c:pt>
                <c:pt idx="444">
                  <c:v>156.9460072366615</c:v>
                </c:pt>
                <c:pt idx="445">
                  <c:v>156.90278103882443</c:v>
                </c:pt>
                <c:pt idx="446">
                  <c:v>156.85954176495753</c:v>
                </c:pt>
                <c:pt idx="447">
                  <c:v>156.81628940279987</c:v>
                </c:pt>
                <c:pt idx="448">
                  <c:v>156.773023940071</c:v>
                </c:pt>
                <c:pt idx="449">
                  <c:v>156.72974536447089</c:v>
                </c:pt>
                <c:pt idx="450">
                  <c:v>156.68645366367983</c:v>
                </c:pt>
                <c:pt idx="451">
                  <c:v>156.64314882535848</c:v>
                </c:pt>
                <c:pt idx="452">
                  <c:v>156.59983083714775</c:v>
                </c:pt>
                <c:pt idx="453">
                  <c:v>156.55649968666884</c:v>
                </c:pt>
                <c:pt idx="454">
                  <c:v>156.51315536152308</c:v>
                </c:pt>
                <c:pt idx="455">
                  <c:v>156.46979784929198</c:v>
                </c:pt>
                <c:pt idx="456">
                  <c:v>156.42642713753716</c:v>
                </c:pt>
                <c:pt idx="457">
                  <c:v>156.38304321380028</c:v>
                </c:pt>
                <c:pt idx="458">
                  <c:v>156.33964606560301</c:v>
                </c:pt>
                <c:pt idx="459">
                  <c:v>156.29623568044698</c:v>
                </c:pt>
                <c:pt idx="460">
                  <c:v>156.25281204581378</c:v>
                </c:pt>
                <c:pt idx="461">
                  <c:v>156.20937514916483</c:v>
                </c:pt>
                <c:pt idx="462">
                  <c:v>156.16592497794142</c:v>
                </c:pt>
                <c:pt idx="463">
                  <c:v>156.12246151956455</c:v>
                </c:pt>
                <c:pt idx="464">
                  <c:v>156.07898476143504</c:v>
                </c:pt>
                <c:pt idx="465">
                  <c:v>156.03549469093338</c:v>
                </c:pt>
                <c:pt idx="466">
                  <c:v>155.99199129541964</c:v>
                </c:pt>
                <c:pt idx="467">
                  <c:v>155.94847456223357</c:v>
                </c:pt>
                <c:pt idx="468">
                  <c:v>155.90494447869443</c:v>
                </c:pt>
                <c:pt idx="469">
                  <c:v>155.86140103210099</c:v>
                </c:pt>
                <c:pt idx="470">
                  <c:v>155.81784420973148</c:v>
                </c:pt>
                <c:pt idx="471">
                  <c:v>155.77427399884351</c:v>
                </c:pt>
                <c:pt idx="472">
                  <c:v>155.7306903866741</c:v>
                </c:pt>
                <c:pt idx="473">
                  <c:v>155.68709336043955</c:v>
                </c:pt>
                <c:pt idx="474">
                  <c:v>155.64348290733543</c:v>
                </c:pt>
                <c:pt idx="475">
                  <c:v>155.59985901453652</c:v>
                </c:pt>
                <c:pt idx="476">
                  <c:v>155.55622166919682</c:v>
                </c:pt>
                <c:pt idx="477">
                  <c:v>155.51257085844941</c:v>
                </c:pt>
                <c:pt idx="478">
                  <c:v>155.46890656940644</c:v>
                </c:pt>
                <c:pt idx="479">
                  <c:v>155.42522878915912</c:v>
                </c:pt>
                <c:pt idx="480">
                  <c:v>155.38153750477761</c:v>
                </c:pt>
                <c:pt idx="481">
                  <c:v>155.33783270331102</c:v>
                </c:pt>
                <c:pt idx="482">
                  <c:v>155.29411437178732</c:v>
                </c:pt>
                <c:pt idx="483">
                  <c:v>155.25038249721331</c:v>
                </c:pt>
                <c:pt idx="484">
                  <c:v>155.20663706657459</c:v>
                </c:pt>
                <c:pt idx="485">
                  <c:v>155.16287806683548</c:v>
                </c:pt>
                <c:pt idx="486">
                  <c:v>155.11910548493898</c:v>
                </c:pt>
                <c:pt idx="487">
                  <c:v>155.07531930780678</c:v>
                </c:pt>
                <c:pt idx="488">
                  <c:v>155.03151952233907</c:v>
                </c:pt>
                <c:pt idx="489">
                  <c:v>154.98770611541462</c:v>
                </c:pt>
                <c:pt idx="490">
                  <c:v>154.94387907389071</c:v>
                </c:pt>
                <c:pt idx="491">
                  <c:v>154.90003838460299</c:v>
                </c:pt>
                <c:pt idx="492">
                  <c:v>154.85618403436555</c:v>
                </c:pt>
                <c:pt idx="493">
                  <c:v>154.8123160099708</c:v>
                </c:pt>
                <c:pt idx="494">
                  <c:v>154.76843429818942</c:v>
                </c:pt>
                <c:pt idx="495">
                  <c:v>154.72453888577033</c:v>
                </c:pt>
                <c:pt idx="496">
                  <c:v>154.68062975944065</c:v>
                </c:pt>
                <c:pt idx="497">
                  <c:v>154.63670690590561</c:v>
                </c:pt>
                <c:pt idx="498">
                  <c:v>154.59277031184851</c:v>
                </c:pt>
                <c:pt idx="499">
                  <c:v>154.54881996393073</c:v>
                </c:pt>
                <c:pt idx="500">
                  <c:v>154.50485584879155</c:v>
                </c:pt>
                <c:pt idx="501">
                  <c:v>154.46087795304825</c:v>
                </c:pt>
                <c:pt idx="502">
                  <c:v>154.41688626329596</c:v>
                </c:pt>
                <c:pt idx="503">
                  <c:v>154.37288076610761</c:v>
                </c:pt>
                <c:pt idx="504">
                  <c:v>154.3288614480339</c:v>
                </c:pt>
                <c:pt idx="505">
                  <c:v>154.28482829560329</c:v>
                </c:pt>
                <c:pt idx="506">
                  <c:v>154.24078129532188</c:v>
                </c:pt>
                <c:pt idx="507">
                  <c:v>154.19672043367336</c:v>
                </c:pt>
                <c:pt idx="508">
                  <c:v>154.152645697119</c:v>
                </c:pt>
                <c:pt idx="509">
                  <c:v>154.1085570720976</c:v>
                </c:pt>
                <c:pt idx="510">
                  <c:v>154.06445454502537</c:v>
                </c:pt>
                <c:pt idx="511">
                  <c:v>154.02033810229594</c:v>
                </c:pt>
                <c:pt idx="512">
                  <c:v>153.97620773028029</c:v>
                </c:pt>
                <c:pt idx="513">
                  <c:v>153.93206341532672</c:v>
                </c:pt>
                <c:pt idx="514">
                  <c:v>153.88790514376072</c:v>
                </c:pt>
                <c:pt idx="515">
                  <c:v>153.84373290188501</c:v>
                </c:pt>
                <c:pt idx="516">
                  <c:v>153.7995466759794</c:v>
                </c:pt>
                <c:pt idx="517">
                  <c:v>153.75534645230078</c:v>
                </c:pt>
                <c:pt idx="518">
                  <c:v>153.71113221708313</c:v>
                </c:pt>
                <c:pt idx="519">
                  <c:v>153.66690395653731</c:v>
                </c:pt>
                <c:pt idx="520">
                  <c:v>153.62266165685116</c:v>
                </c:pt>
                <c:pt idx="521">
                  <c:v>153.57840530418935</c:v>
                </c:pt>
                <c:pt idx="522">
                  <c:v>153.53413488469334</c:v>
                </c:pt>
                <c:pt idx="523">
                  <c:v>153.4898503844814</c:v>
                </c:pt>
                <c:pt idx="524">
                  <c:v>153.44555178964842</c:v>
                </c:pt>
                <c:pt idx="525">
                  <c:v>153.40123908626595</c:v>
                </c:pt>
                <c:pt idx="526">
                  <c:v>153.35691226038213</c:v>
                </c:pt>
                <c:pt idx="527">
                  <c:v>153.31257129802165</c:v>
                </c:pt>
                <c:pt idx="528">
                  <c:v>153.26821618518565</c:v>
                </c:pt>
                <c:pt idx="529">
                  <c:v>153.22384690785165</c:v>
                </c:pt>
                <c:pt idx="530">
                  <c:v>153.17946345197359</c:v>
                </c:pt>
                <c:pt idx="531">
                  <c:v>153.13506580348167</c:v>
                </c:pt>
                <c:pt idx="532">
                  <c:v>153.09065394828232</c:v>
                </c:pt>
                <c:pt idx="533">
                  <c:v>153.04622787225821</c:v>
                </c:pt>
                <c:pt idx="534">
                  <c:v>153.00178756126809</c:v>
                </c:pt>
                <c:pt idx="535">
                  <c:v>152.95733300114682</c:v>
                </c:pt>
                <c:pt idx="536">
                  <c:v>152.91286417770525</c:v>
                </c:pt>
                <c:pt idx="537">
                  <c:v>152.86838107673017</c:v>
                </c:pt>
                <c:pt idx="538">
                  <c:v>152.82388368398432</c:v>
                </c:pt>
                <c:pt idx="539">
                  <c:v>152.77937198520627</c:v>
                </c:pt>
                <c:pt idx="540">
                  <c:v>152.73484596611033</c:v>
                </c:pt>
                <c:pt idx="541">
                  <c:v>152.69030561238657</c:v>
                </c:pt>
                <c:pt idx="542">
                  <c:v>152.64575090970072</c:v>
                </c:pt>
                <c:pt idx="543">
                  <c:v>152.60118184369412</c:v>
                </c:pt>
                <c:pt idx="544">
                  <c:v>152.55659839998364</c:v>
                </c:pt>
                <c:pt idx="545">
                  <c:v>152.51200056416167</c:v>
                </c:pt>
                <c:pt idx="546">
                  <c:v>152.46738832179599</c:v>
                </c:pt>
                <c:pt idx="547">
                  <c:v>152.42276165842981</c:v>
                </c:pt>
                <c:pt idx="548">
                  <c:v>152.37812055958156</c:v>
                </c:pt>
                <c:pt idx="549">
                  <c:v>152.33346501074502</c:v>
                </c:pt>
                <c:pt idx="550">
                  <c:v>152.28879499738909</c:v>
                </c:pt>
                <c:pt idx="551">
                  <c:v>152.24411050495786</c:v>
                </c:pt>
                <c:pt idx="552">
                  <c:v>152.19941151887042</c:v>
                </c:pt>
                <c:pt idx="553">
                  <c:v>152.15469802452091</c:v>
                </c:pt>
                <c:pt idx="554">
                  <c:v>152.10997000727843</c:v>
                </c:pt>
                <c:pt idx="555">
                  <c:v>152.06522745248694</c:v>
                </c:pt>
                <c:pt idx="556">
                  <c:v>152.02047034546521</c:v>
                </c:pt>
                <c:pt idx="557">
                  <c:v>151.97569867150685</c:v>
                </c:pt>
                <c:pt idx="558">
                  <c:v>151.93091241588007</c:v>
                </c:pt>
                <c:pt idx="559">
                  <c:v>151.88611156382782</c:v>
                </c:pt>
                <c:pt idx="560">
                  <c:v>151.84129610056755</c:v>
                </c:pt>
                <c:pt idx="561">
                  <c:v>151.79646601129127</c:v>
                </c:pt>
                <c:pt idx="562">
                  <c:v>151.75162128116546</c:v>
                </c:pt>
                <c:pt idx="563">
                  <c:v>151.70676189533091</c:v>
                </c:pt>
                <c:pt idx="564">
                  <c:v>151.66188783890283</c:v>
                </c:pt>
                <c:pt idx="565">
                  <c:v>151.61699909697066</c:v>
                </c:pt>
                <c:pt idx="566">
                  <c:v>151.57209565459803</c:v>
                </c:pt>
                <c:pt idx="567">
                  <c:v>151.52717749682273</c:v>
                </c:pt>
                <c:pt idx="568">
                  <c:v>151.48224460865663</c:v>
                </c:pt>
                <c:pt idx="569">
                  <c:v>151.43729697508559</c:v>
                </c:pt>
                <c:pt idx="570">
                  <c:v>151.39233458106941</c:v>
                </c:pt>
                <c:pt idx="571">
                  <c:v>151.34735741154179</c:v>
                </c:pt>
                <c:pt idx="572">
                  <c:v>151.30236545141028</c:v>
                </c:pt>
                <c:pt idx="573">
                  <c:v>151.25735868555614</c:v>
                </c:pt>
                <c:pt idx="574">
                  <c:v>151.21233709883433</c:v>
                </c:pt>
                <c:pt idx="575">
                  <c:v>151.16730067607341</c:v>
                </c:pt>
                <c:pt idx="576">
                  <c:v>151.12224940207557</c:v>
                </c:pt>
                <c:pt idx="577">
                  <c:v>151.07718326161643</c:v>
                </c:pt>
                <c:pt idx="578">
                  <c:v>151.03210223944507</c:v>
                </c:pt>
                <c:pt idx="579">
                  <c:v>150.98700632028391</c:v>
                </c:pt>
                <c:pt idx="580">
                  <c:v>150.94189548882869</c:v>
                </c:pt>
                <c:pt idx="581">
                  <c:v>150.89676972974834</c:v>
                </c:pt>
                <c:pt idx="582">
                  <c:v>150.85162902768499</c:v>
                </c:pt>
                <c:pt idx="583">
                  <c:v>150.80647336725389</c:v>
                </c:pt>
                <c:pt idx="584">
                  <c:v>150.76130273304324</c:v>
                </c:pt>
                <c:pt idx="585">
                  <c:v>150.71611710961426</c:v>
                </c:pt>
                <c:pt idx="586">
                  <c:v>150.67091648150105</c:v>
                </c:pt>
                <c:pt idx="587">
                  <c:v>150.62570083321054</c:v>
                </c:pt>
                <c:pt idx="588">
                  <c:v>150.58047014922244</c:v>
                </c:pt>
                <c:pt idx="589">
                  <c:v>150.53522441398908</c:v>
                </c:pt>
                <c:pt idx="590">
                  <c:v>150.48996361193551</c:v>
                </c:pt>
                <c:pt idx="591">
                  <c:v>150.44468772745927</c:v>
                </c:pt>
                <c:pt idx="592">
                  <c:v>150.39939674493039</c:v>
                </c:pt>
                <c:pt idx="593">
                  <c:v>150.35409064869134</c:v>
                </c:pt>
                <c:pt idx="594">
                  <c:v>150.3087694230569</c:v>
                </c:pt>
                <c:pt idx="595">
                  <c:v>150.26343305231418</c:v>
                </c:pt>
                <c:pt idx="596">
                  <c:v>150.21808152072248</c:v>
                </c:pt>
                <c:pt idx="597">
                  <c:v>150.17271481251319</c:v>
                </c:pt>
                <c:pt idx="598">
                  <c:v>150.12733291188985</c:v>
                </c:pt>
                <c:pt idx="599">
                  <c:v>150.08193580302793</c:v>
                </c:pt>
                <c:pt idx="600">
                  <c:v>150.03652347007485</c:v>
                </c:pt>
                <c:pt idx="601">
                  <c:v>149.9910958971499</c:v>
                </c:pt>
                <c:pt idx="602">
                  <c:v>149.94565306834417</c:v>
                </c:pt>
                <c:pt idx="603">
                  <c:v>149.90019496772041</c:v>
                </c:pt>
                <c:pt idx="604">
                  <c:v>149.85472157931304</c:v>
                </c:pt>
                <c:pt idx="605">
                  <c:v>149.80923288712805</c:v>
                </c:pt>
                <c:pt idx="606">
                  <c:v>149.76372887514296</c:v>
                </c:pt>
                <c:pt idx="607">
                  <c:v>149.71820952730667</c:v>
                </c:pt>
                <c:pt idx="608">
                  <c:v>149.67267482753945</c:v>
                </c:pt>
                <c:pt idx="609">
                  <c:v>149.62712475973288</c:v>
                </c:pt>
                <c:pt idx="610">
                  <c:v>149.5815593077497</c:v>
                </c:pt>
                <c:pt idx="611">
                  <c:v>149.53597845542384</c:v>
                </c:pt>
                <c:pt idx="612">
                  <c:v>149.49038218656025</c:v>
                </c:pt>
                <c:pt idx="613">
                  <c:v>149.44477048493488</c:v>
                </c:pt>
                <c:pt idx="614">
                  <c:v>149.39914333429459</c:v>
                </c:pt>
                <c:pt idx="615">
                  <c:v>149.35350071835708</c:v>
                </c:pt>
                <c:pt idx="616">
                  <c:v>149.30784262081085</c:v>
                </c:pt>
                <c:pt idx="617">
                  <c:v>149.26216902531505</c:v>
                </c:pt>
                <c:pt idx="618">
                  <c:v>149.21647991549946</c:v>
                </c:pt>
                <c:pt idx="619">
                  <c:v>149.1707752749644</c:v>
                </c:pt>
                <c:pt idx="620">
                  <c:v>149.12505508728066</c:v>
                </c:pt>
                <c:pt idx="621">
                  <c:v>149.07931933598942</c:v>
                </c:pt>
                <c:pt idx="622">
                  <c:v>149.03356800460222</c:v>
                </c:pt>
                <c:pt idx="623">
                  <c:v>148.98780107660073</c:v>
                </c:pt>
                <c:pt idx="624">
                  <c:v>148.94201853543689</c:v>
                </c:pt>
                <c:pt idx="625">
                  <c:v>148.89622036453267</c:v>
                </c:pt>
                <c:pt idx="626">
                  <c:v>148.85040654728004</c:v>
                </c:pt>
                <c:pt idx="627">
                  <c:v>148.80457706704098</c:v>
                </c:pt>
                <c:pt idx="628">
                  <c:v>148.75873190714722</c:v>
                </c:pt>
                <c:pt idx="629">
                  <c:v>148.71287105090033</c:v>
                </c:pt>
                <c:pt idx="630">
                  <c:v>148.66699448157155</c:v>
                </c:pt>
                <c:pt idx="631">
                  <c:v>148.62110218240176</c:v>
                </c:pt>
                <c:pt idx="632">
                  <c:v>148.57519413660137</c:v>
                </c:pt>
                <c:pt idx="633">
                  <c:v>148.52927032735028</c:v>
                </c:pt>
                <c:pt idx="634">
                  <c:v>148.48333073779773</c:v>
                </c:pt>
                <c:pt idx="635">
                  <c:v>148.43737535106229</c:v>
                </c:pt>
                <c:pt idx="636">
                  <c:v>148.39140415023175</c:v>
                </c:pt>
                <c:pt idx="637">
                  <c:v>148.34541711836306</c:v>
                </c:pt>
                <c:pt idx="638">
                  <c:v>148.29941423848223</c:v>
                </c:pt>
                <c:pt idx="639">
                  <c:v>148.25339549358424</c:v>
                </c:pt>
                <c:pt idx="640">
                  <c:v>148.20736086663297</c:v>
                </c:pt>
                <c:pt idx="641">
                  <c:v>148.16131034056116</c:v>
                </c:pt>
                <c:pt idx="642">
                  <c:v>148.11524389827028</c:v>
                </c:pt>
                <c:pt idx="643">
                  <c:v>148.06916152263042</c:v>
                </c:pt>
                <c:pt idx="644">
                  <c:v>148.02306319648031</c:v>
                </c:pt>
                <c:pt idx="645">
                  <c:v>147.97694890262713</c:v>
                </c:pt>
                <c:pt idx="646">
                  <c:v>147.93081862384651</c:v>
                </c:pt>
                <c:pt idx="647">
                  <c:v>147.8846723428824</c:v>
                </c:pt>
                <c:pt idx="648">
                  <c:v>147.83851004244701</c:v>
                </c:pt>
                <c:pt idx="649">
                  <c:v>147.79233170522068</c:v>
                </c:pt>
                <c:pt idx="650">
                  <c:v>147.74613731385188</c:v>
                </c:pt>
                <c:pt idx="651">
                  <c:v>147.69992685095704</c:v>
                </c:pt>
                <c:pt idx="652">
                  <c:v>147.65370029912054</c:v>
                </c:pt>
                <c:pt idx="653">
                  <c:v>147.60745764089458</c:v>
                </c:pt>
                <c:pt idx="654">
                  <c:v>147.56119885879912</c:v>
                </c:pt>
                <c:pt idx="655">
                  <c:v>147.51492393532175</c:v>
                </c:pt>
                <c:pt idx="656">
                  <c:v>147.46863285291764</c:v>
                </c:pt>
                <c:pt idx="657">
                  <c:v>147.42232559400949</c:v>
                </c:pt>
                <c:pt idx="658">
                  <c:v>147.3760021409874</c:v>
                </c:pt>
                <c:pt idx="659">
                  <c:v>147.32966247620874</c:v>
                </c:pt>
                <c:pt idx="660">
                  <c:v>147.28330658199815</c:v>
                </c:pt>
                <c:pt idx="661">
                  <c:v>147.23693444064745</c:v>
                </c:pt>
                <c:pt idx="662">
                  <c:v>147.19054603441546</c:v>
                </c:pt>
                <c:pt idx="663">
                  <c:v>147.144141345528</c:v>
                </c:pt>
                <c:pt idx="664">
                  <c:v>147.0977203561778</c:v>
                </c:pt>
                <c:pt idx="665">
                  <c:v>147.05128304852434</c:v>
                </c:pt>
                <c:pt idx="666">
                  <c:v>147.00482940469385</c:v>
                </c:pt>
                <c:pt idx="667">
                  <c:v>146.95835940677918</c:v>
                </c:pt>
                <c:pt idx="668">
                  <c:v>146.91187303683967</c:v>
                </c:pt>
                <c:pt idx="669">
                  <c:v>146.86537027690116</c:v>
                </c:pt>
                <c:pt idx="670">
                  <c:v>146.81885110895581</c:v>
                </c:pt>
                <c:pt idx="671">
                  <c:v>146.77231551496206</c:v>
                </c:pt>
                <c:pt idx="672">
                  <c:v>146.72576347684452</c:v>
                </c:pt>
                <c:pt idx="673">
                  <c:v>146.6791949764939</c:v>
                </c:pt>
                <c:pt idx="674">
                  <c:v>146.6326099957669</c:v>
                </c:pt>
                <c:pt idx="675">
                  <c:v>146.58600851648609</c:v>
                </c:pt>
                <c:pt idx="676">
                  <c:v>146.53939052043989</c:v>
                </c:pt>
                <c:pt idx="677">
                  <c:v>146.49275598938243</c:v>
                </c:pt>
                <c:pt idx="678">
                  <c:v>146.44610490503348</c:v>
                </c:pt>
                <c:pt idx="679">
                  <c:v>146.39943724907832</c:v>
                </c:pt>
                <c:pt idx="680">
                  <c:v>146.35275300316769</c:v>
                </c:pt>
                <c:pt idx="681">
                  <c:v>146.3060521489177</c:v>
                </c:pt>
                <c:pt idx="682">
                  <c:v>146.25933466790971</c:v>
                </c:pt>
                <c:pt idx="683">
                  <c:v>146.21260054169022</c:v>
                </c:pt>
                <c:pt idx="684">
                  <c:v>146.16584975177085</c:v>
                </c:pt>
                <c:pt idx="685">
                  <c:v>146.11908227962815</c:v>
                </c:pt>
                <c:pt idx="686">
                  <c:v>146.07229810670356</c:v>
                </c:pt>
                <c:pt idx="687">
                  <c:v>146.02549721440334</c:v>
                </c:pt>
                <c:pt idx="688">
                  <c:v>145.97867958409844</c:v>
                </c:pt>
                <c:pt idx="689">
                  <c:v>145.93184519712437</c:v>
                </c:pt>
                <c:pt idx="690">
                  <c:v>145.88499403478119</c:v>
                </c:pt>
                <c:pt idx="691">
                  <c:v>145.83812607833332</c:v>
                </c:pt>
                <c:pt idx="692">
                  <c:v>145.79124130900951</c:v>
                </c:pt>
                <c:pt idx="693">
                  <c:v>145.74433970800274</c:v>
                </c:pt>
                <c:pt idx="694">
                  <c:v>145.69742125647011</c:v>
                </c:pt>
                <c:pt idx="695">
                  <c:v>145.65048593553271</c:v>
                </c:pt>
                <c:pt idx="696">
                  <c:v>145.60353372627557</c:v>
                </c:pt>
                <c:pt idx="697">
                  <c:v>145.55656460974754</c:v>
                </c:pt>
                <c:pt idx="698">
                  <c:v>145.50957856696118</c:v>
                </c:pt>
                <c:pt idx="699">
                  <c:v>145.46257557889268</c:v>
                </c:pt>
                <c:pt idx="700">
                  <c:v>145.41555562648179</c:v>
                </c:pt>
                <c:pt idx="701">
                  <c:v>145.36851869063165</c:v>
                </c:pt>
                <c:pt idx="702">
                  <c:v>145.32146475220873</c:v>
                </c:pt>
                <c:pt idx="703">
                  <c:v>145.27439379204273</c:v>
                </c:pt>
                <c:pt idx="704">
                  <c:v>145.22730579092649</c:v>
                </c:pt>
                <c:pt idx="705">
                  <c:v>145.18020072961588</c:v>
                </c:pt>
                <c:pt idx="706">
                  <c:v>145.13307858882968</c:v>
                </c:pt>
                <c:pt idx="707">
                  <c:v>145.08593934924949</c:v>
                </c:pt>
                <c:pt idx="708">
                  <c:v>145.03878299151964</c:v>
                </c:pt>
                <c:pt idx="709">
                  <c:v>144.99160949624707</c:v>
                </c:pt>
                <c:pt idx="710">
                  <c:v>144.94441884400123</c:v>
                </c:pt>
                <c:pt idx="711">
                  <c:v>144.89721101531401</c:v>
                </c:pt>
                <c:pt idx="712">
                  <c:v>144.84998599067956</c:v>
                </c:pt>
                <c:pt idx="713">
                  <c:v>144.80274375055427</c:v>
                </c:pt>
                <c:pt idx="714">
                  <c:v>144.75548427535665</c:v>
                </c:pt>
                <c:pt idx="715">
                  <c:v>144.70820754546716</c:v>
                </c:pt>
                <c:pt idx="716">
                  <c:v>144.66091354122818</c:v>
                </c:pt>
                <c:pt idx="717">
                  <c:v>144.6136022429439</c:v>
                </c:pt>
                <c:pt idx="718">
                  <c:v>144.56627363088012</c:v>
                </c:pt>
                <c:pt idx="719">
                  <c:v>144.51892768526426</c:v>
                </c:pt>
                <c:pt idx="720">
                  <c:v>144.47156438628519</c:v>
                </c:pt>
                <c:pt idx="721">
                  <c:v>144.42418371409318</c:v>
                </c:pt>
                <c:pt idx="722">
                  <c:v>144.37678564879968</c:v>
                </c:pt>
                <c:pt idx="723">
                  <c:v>144.32937017047738</c:v>
                </c:pt>
                <c:pt idx="724">
                  <c:v>144.28193725915992</c:v>
                </c:pt>
                <c:pt idx="725">
                  <c:v>144.23448689484192</c:v>
                </c:pt>
                <c:pt idx="726">
                  <c:v>144.18701905747881</c:v>
                </c:pt>
                <c:pt idx="727">
                  <c:v>144.13953372698668</c:v>
                </c:pt>
                <c:pt idx="728">
                  <c:v>144.09203088324233</c:v>
                </c:pt>
                <c:pt idx="729">
                  <c:v>144.04451050608296</c:v>
                </c:pt>
                <c:pt idx="730">
                  <c:v>143.99697257530619</c:v>
                </c:pt>
                <c:pt idx="731">
                  <c:v>143.94941707066988</c:v>
                </c:pt>
                <c:pt idx="732">
                  <c:v>143.90184397189211</c:v>
                </c:pt>
                <c:pt idx="733">
                  <c:v>143.85425325865091</c:v>
                </c:pt>
                <c:pt idx="734">
                  <c:v>143.80664491058437</c:v>
                </c:pt>
                <c:pt idx="735">
                  <c:v>143.75901890729028</c:v>
                </c:pt>
                <c:pt idx="736">
                  <c:v>143.7113752283262</c:v>
                </c:pt>
                <c:pt idx="737">
                  <c:v>143.66371385320932</c:v>
                </c:pt>
                <c:pt idx="738">
                  <c:v>143.61603476141622</c:v>
                </c:pt>
                <c:pt idx="739">
                  <c:v>143.56833793238292</c:v>
                </c:pt>
                <c:pt idx="740">
                  <c:v>143.5206233455047</c:v>
                </c:pt>
                <c:pt idx="741">
                  <c:v>143.47289098013593</c:v>
                </c:pt>
                <c:pt idx="742">
                  <c:v>143.42514081559005</c:v>
                </c:pt>
                <c:pt idx="743">
                  <c:v>143.37737283113938</c:v>
                </c:pt>
                <c:pt idx="744">
                  <c:v>143.32958700601503</c:v>
                </c:pt>
                <c:pt idx="745">
                  <c:v>143.2817833194068</c:v>
                </c:pt>
                <c:pt idx="746">
                  <c:v>143.23396175046304</c:v>
                </c:pt>
                <c:pt idx="747">
                  <c:v>143.18612227829055</c:v>
                </c:pt>
                <c:pt idx="748">
                  <c:v>143.13826488195446</c:v>
                </c:pt>
                <c:pt idx="749">
                  <c:v>143.09038954047807</c:v>
                </c:pt>
                <c:pt idx="750">
                  <c:v>143.04249623284281</c:v>
                </c:pt>
                <c:pt idx="751">
                  <c:v>142.99458493798801</c:v>
                </c:pt>
                <c:pt idx="752">
                  <c:v>142.94665563481092</c:v>
                </c:pt>
                <c:pt idx="753">
                  <c:v>142.89870830216648</c:v>
                </c:pt>
                <c:pt idx="754">
                  <c:v>142.85074291886724</c:v>
                </c:pt>
                <c:pt idx="755">
                  <c:v>142.80275946368326</c:v>
                </c:pt>
                <c:pt idx="756">
                  <c:v>142.75475791534191</c:v>
                </c:pt>
                <c:pt idx="757">
                  <c:v>142.70673825252783</c:v>
                </c:pt>
                <c:pt idx="758">
                  <c:v>142.6587004538828</c:v>
                </c:pt>
                <c:pt idx="759">
                  <c:v>142.61064449800557</c:v>
                </c:pt>
                <c:pt idx="760">
                  <c:v>142.56257036345175</c:v>
                </c:pt>
                <c:pt idx="761">
                  <c:v>142.51447802873375</c:v>
                </c:pt>
                <c:pt idx="762">
                  <c:v>142.46636747232054</c:v>
                </c:pt>
                <c:pt idx="763">
                  <c:v>142.41823867263764</c:v>
                </c:pt>
                <c:pt idx="764">
                  <c:v>142.37009160806693</c:v>
                </c:pt>
                <c:pt idx="765">
                  <c:v>142.32192625694651</c:v>
                </c:pt>
                <c:pt idx="766">
                  <c:v>142.27374259757067</c:v>
                </c:pt>
                <c:pt idx="767">
                  <c:v>142.22554060818965</c:v>
                </c:pt>
                <c:pt idx="768">
                  <c:v>142.17732026700955</c:v>
                </c:pt>
                <c:pt idx="769">
                  <c:v>142.12908155219222</c:v>
                </c:pt>
                <c:pt idx="770">
                  <c:v>142.08082444185516</c:v>
                </c:pt>
                <c:pt idx="771">
                  <c:v>142.0325489140713</c:v>
                </c:pt>
                <c:pt idx="772">
                  <c:v>141.98425494686896</c:v>
                </c:pt>
                <c:pt idx="773">
                  <c:v>141.93594251823168</c:v>
                </c:pt>
                <c:pt idx="774">
                  <c:v>141.88761160609812</c:v>
                </c:pt>
                <c:pt idx="775">
                  <c:v>141.83926218836186</c:v>
                </c:pt>
                <c:pt idx="776">
                  <c:v>141.79089424287136</c:v>
                </c:pt>
                <c:pt idx="777">
                  <c:v>141.74250774742976</c:v>
                </c:pt>
                <c:pt idx="778">
                  <c:v>141.69410267979478</c:v>
                </c:pt>
                <c:pt idx="779">
                  <c:v>141.64567901767856</c:v>
                </c:pt>
                <c:pt idx="780">
                  <c:v>141.5972367387476</c:v>
                </c:pt>
                <c:pt idx="781">
                  <c:v>141.5487758206225</c:v>
                </c:pt>
                <c:pt idx="782">
                  <c:v>141.50029624087796</c:v>
                </c:pt>
                <c:pt idx="783">
                  <c:v>141.45179797704253</c:v>
                </c:pt>
                <c:pt idx="784">
                  <c:v>141.4032810065986</c:v>
                </c:pt>
                <c:pt idx="785">
                  <c:v>141.35474530698215</c:v>
                </c:pt>
                <c:pt idx="786">
                  <c:v>141.30619085558266</c:v>
                </c:pt>
                <c:pt idx="787">
                  <c:v>141.25761762974298</c:v>
                </c:pt>
                <c:pt idx="788">
                  <c:v>141.20902560675918</c:v>
                </c:pt>
                <c:pt idx="789">
                  <c:v>141.16041476388042</c:v>
                </c:pt>
                <c:pt idx="790">
                  <c:v>141.1117850783088</c:v>
                </c:pt>
                <c:pt idx="791">
                  <c:v>141.06313652719925</c:v>
                </c:pt>
                <c:pt idx="792">
                  <c:v>141.01446908765936</c:v>
                </c:pt>
                <c:pt idx="793">
                  <c:v>140.96578273674928</c:v>
                </c:pt>
                <c:pt idx="794">
                  <c:v>140.9170774514815</c:v>
                </c:pt>
                <c:pt idx="795">
                  <c:v>140.86835320882079</c:v>
                </c:pt>
                <c:pt idx="796">
                  <c:v>140.81960998568402</c:v>
                </c:pt>
                <c:pt idx="797">
                  <c:v>140.77084775894005</c:v>
                </c:pt>
                <c:pt idx="798">
                  <c:v>140.72206650540954</c:v>
                </c:pt>
                <c:pt idx="799">
                  <c:v>140.67326620186483</c:v>
                </c:pt>
                <c:pt idx="800">
                  <c:v>140.62444682502982</c:v>
                </c:pt>
                <c:pt idx="801">
                  <c:v>140.5756083515798</c:v>
                </c:pt>
                <c:pt idx="802">
                  <c:v>140.5267507581413</c:v>
                </c:pt>
                <c:pt idx="803">
                  <c:v>140.47787402129197</c:v>
                </c:pt>
                <c:pt idx="804">
                  <c:v>140.4289781175604</c:v>
                </c:pt>
                <c:pt idx="805">
                  <c:v>140.380063023426</c:v>
                </c:pt>
                <c:pt idx="806">
                  <c:v>140.33112871531884</c:v>
                </c:pt>
                <c:pt idx="807">
                  <c:v>140.28217516961953</c:v>
                </c:pt>
                <c:pt idx="808">
                  <c:v>140.23320236265906</c:v>
                </c:pt>
                <c:pt idx="809">
                  <c:v>140.18421027071858</c:v>
                </c:pt>
                <c:pt idx="810">
                  <c:v>140.13519887002937</c:v>
                </c:pt>
                <c:pt idx="811">
                  <c:v>140.08616813677261</c:v>
                </c:pt>
                <c:pt idx="812">
                  <c:v>140.03711804707925</c:v>
                </c:pt>
                <c:pt idx="813">
                  <c:v>139.98804857702987</c:v>
                </c:pt>
                <c:pt idx="814">
                  <c:v>139.93895970265453</c:v>
                </c:pt>
                <c:pt idx="815">
                  <c:v>139.88985139993258</c:v>
                </c:pt>
                <c:pt idx="816">
                  <c:v>139.84072364479258</c:v>
                </c:pt>
                <c:pt idx="817">
                  <c:v>139.79157641311204</c:v>
                </c:pt>
                <c:pt idx="818">
                  <c:v>139.7424096807174</c:v>
                </c:pt>
                <c:pt idx="819">
                  <c:v>139.69322342338376</c:v>
                </c:pt>
                <c:pt idx="820">
                  <c:v>139.64401761683473</c:v>
                </c:pt>
                <c:pt idx="821">
                  <c:v>139.59479223674239</c:v>
                </c:pt>
                <c:pt idx="822">
                  <c:v>139.54554725872703</c:v>
                </c:pt>
                <c:pt idx="823">
                  <c:v>139.49628265835699</c:v>
                </c:pt>
                <c:pt idx="824">
                  <c:v>139.44699841114857</c:v>
                </c:pt>
                <c:pt idx="825">
                  <c:v>139.39769449256579</c:v>
                </c:pt>
                <c:pt idx="826">
                  <c:v>139.34837087802032</c:v>
                </c:pt>
                <c:pt idx="827">
                  <c:v>139.29902754287124</c:v>
                </c:pt>
                <c:pt idx="828">
                  <c:v>139.24966446242496</c:v>
                </c:pt>
                <c:pt idx="829">
                  <c:v>139.20028161193497</c:v>
                </c:pt>
                <c:pt idx="830">
                  <c:v>139.15087896660174</c:v>
                </c:pt>
                <c:pt idx="831">
                  <c:v>139.10145650157253</c:v>
                </c:pt>
                <c:pt idx="832">
                  <c:v>139.05201419194125</c:v>
                </c:pt>
                <c:pt idx="833">
                  <c:v>139.00255201274828</c:v>
                </c:pt>
                <c:pt idx="834">
                  <c:v>138.95306993898032</c:v>
                </c:pt>
                <c:pt idx="835">
                  <c:v>138.90356794557019</c:v>
                </c:pt>
                <c:pt idx="836">
                  <c:v>138.8540460073967</c:v>
                </c:pt>
                <c:pt idx="837">
                  <c:v>138.80450409928451</c:v>
                </c:pt>
                <c:pt idx="838">
                  <c:v>138.7549421960039</c:v>
                </c:pt>
                <c:pt idx="839">
                  <c:v>138.70536027227061</c:v>
                </c:pt>
                <c:pt idx="840">
                  <c:v>138.65575830274574</c:v>
                </c:pt>
                <c:pt idx="841">
                  <c:v>138.60613626203548</c:v>
                </c:pt>
                <c:pt idx="842">
                  <c:v>138.55649412469103</c:v>
                </c:pt>
                <c:pt idx="843">
                  <c:v>138.5068318652084</c:v>
                </c:pt>
                <c:pt idx="844">
                  <c:v>138.45714945802823</c:v>
                </c:pt>
                <c:pt idx="845">
                  <c:v>138.40744687753559</c:v>
                </c:pt>
                <c:pt idx="846">
                  <c:v>138.35772409805989</c:v>
                </c:pt>
                <c:pt idx="847">
                  <c:v>138.30798109387464</c:v>
                </c:pt>
                <c:pt idx="848">
                  <c:v>138.25821783919727</c:v>
                </c:pt>
                <c:pt idx="849">
                  <c:v>138.208434308189</c:v>
                </c:pt>
                <c:pt idx="850">
                  <c:v>138.15863047495466</c:v>
                </c:pt>
                <c:pt idx="851">
                  <c:v>138.10880631354249</c:v>
                </c:pt>
                <c:pt idx="852">
                  <c:v>138.05896179794394</c:v>
                </c:pt>
                <c:pt idx="853">
                  <c:v>138.00909690209357</c:v>
                </c:pt>
                <c:pt idx="854">
                  <c:v>137.95921159986881</c:v>
                </c:pt>
                <c:pt idx="855">
                  <c:v>137.90930586508981</c:v>
                </c:pt>
                <c:pt idx="856">
                  <c:v>137.85937967151924</c:v>
                </c:pt>
                <c:pt idx="857">
                  <c:v>137.80943299286216</c:v>
                </c:pt>
                <c:pt idx="858">
                  <c:v>137.75946580276573</c:v>
                </c:pt>
                <c:pt idx="859">
                  <c:v>137.70947807481917</c:v>
                </c:pt>
                <c:pt idx="860">
                  <c:v>137.65946978255346</c:v>
                </c:pt>
                <c:pt idx="861">
                  <c:v>137.60944089944121</c:v>
                </c:pt>
                <c:pt idx="862">
                  <c:v>137.55939139889648</c:v>
                </c:pt>
                <c:pt idx="863">
                  <c:v>137.5093212542746</c:v>
                </c:pt>
                <c:pt idx="864">
                  <c:v>137.45923043887197</c:v>
                </c:pt>
                <c:pt idx="865">
                  <c:v>137.40911892592587</c:v>
                </c:pt>
                <c:pt idx="866">
                  <c:v>137.35898668861424</c:v>
                </c:pt>
                <c:pt idx="867">
                  <c:v>137.30883370005557</c:v>
                </c:pt>
                <c:pt idx="868">
                  <c:v>137.25865993330871</c:v>
                </c:pt>
                <c:pt idx="869">
                  <c:v>137.20846536137256</c:v>
                </c:pt>
                <c:pt idx="870">
                  <c:v>137.15824995718603</c:v>
                </c:pt>
                <c:pt idx="871">
                  <c:v>137.10801369362775</c:v>
                </c:pt>
                <c:pt idx="872">
                  <c:v>137.05775654351592</c:v>
                </c:pt>
                <c:pt idx="873">
                  <c:v>137.00747847960812</c:v>
                </c:pt>
                <c:pt idx="874">
                  <c:v>136.95717947460113</c:v>
                </c:pt>
                <c:pt idx="875">
                  <c:v>136.90685950113067</c:v>
                </c:pt>
                <c:pt idx="876">
                  <c:v>136.85651853177126</c:v>
                </c:pt>
                <c:pt idx="877">
                  <c:v>136.80615653903601</c:v>
                </c:pt>
                <c:pt idx="878">
                  <c:v>136.75577349537645</c:v>
                </c:pt>
                <c:pt idx="879">
                  <c:v>136.70536937318229</c:v>
                </c:pt>
                <c:pt idx="880">
                  <c:v>136.6549441447813</c:v>
                </c:pt>
                <c:pt idx="881">
                  <c:v>136.60449778243895</c:v>
                </c:pt>
                <c:pt idx="882">
                  <c:v>136.55403025835841</c:v>
                </c:pt>
                <c:pt idx="883">
                  <c:v>136.50354154468019</c:v>
                </c:pt>
                <c:pt idx="884">
                  <c:v>136.45303161348207</c:v>
                </c:pt>
                <c:pt idx="885">
                  <c:v>136.40250043677875</c:v>
                </c:pt>
                <c:pt idx="886">
                  <c:v>136.35194798652182</c:v>
                </c:pt>
                <c:pt idx="887">
                  <c:v>136.30137423459939</c:v>
                </c:pt>
                <c:pt idx="888">
                  <c:v>136.250779152836</c:v>
                </c:pt>
                <c:pt idx="889">
                  <c:v>136.20016271299238</c:v>
                </c:pt>
                <c:pt idx="890">
                  <c:v>136.14952488676519</c:v>
                </c:pt>
                <c:pt idx="891">
                  <c:v>136.09886564578693</c:v>
                </c:pt>
                <c:pt idx="892">
                  <c:v>136.04818496162562</c:v>
                </c:pt>
                <c:pt idx="893">
                  <c:v>135.99748280578467</c:v>
                </c:pt>
                <c:pt idx="894">
                  <c:v>135.94675914970261</c:v>
                </c:pt>
                <c:pt idx="895">
                  <c:v>135.89601396475291</c:v>
                </c:pt>
                <c:pt idx="896">
                  <c:v>135.84524722224376</c:v>
                </c:pt>
                <c:pt idx="897">
                  <c:v>135.79445889341784</c:v>
                </c:pt>
                <c:pt idx="898">
                  <c:v>135.74364894945219</c:v>
                </c:pt>
                <c:pt idx="899">
                  <c:v>135.69281736145788</c:v>
                </c:pt>
                <c:pt idx="900">
                  <c:v>135.6419641004799</c:v>
                </c:pt>
                <c:pt idx="901">
                  <c:v>135.59108913749682</c:v>
                </c:pt>
                <c:pt idx="902">
                  <c:v>135.54019244342072</c:v>
                </c:pt>
                <c:pt idx="903">
                  <c:v>135.48927398909683</c:v>
                </c:pt>
                <c:pt idx="904">
                  <c:v>135.43833374530345</c:v>
                </c:pt>
                <c:pt idx="905">
                  <c:v>135.38737168275159</c:v>
                </c:pt>
                <c:pt idx="906">
                  <c:v>135.33638777208489</c:v>
                </c:pt>
                <c:pt idx="907">
                  <c:v>135.28538198387926</c:v>
                </c:pt>
                <c:pt idx="908">
                  <c:v>135.23435428864275</c:v>
                </c:pt>
                <c:pt idx="909">
                  <c:v>135.18330465681532</c:v>
                </c:pt>
                <c:pt idx="910">
                  <c:v>135.13223305876858</c:v>
                </c:pt>
                <c:pt idx="911">
                  <c:v>135.08113946480557</c:v>
                </c:pt>
                <c:pt idx="912">
                  <c:v>135.03002384516057</c:v>
                </c:pt>
                <c:pt idx="913">
                  <c:v>134.97888616999884</c:v>
                </c:pt>
                <c:pt idx="914">
                  <c:v>134.92772640941638</c:v>
                </c:pt>
                <c:pt idx="915">
                  <c:v>134.87654453343976</c:v>
                </c:pt>
                <c:pt idx="916">
                  <c:v>134.82534051202578</c:v>
                </c:pt>
                <c:pt idx="917">
                  <c:v>134.77411431506138</c:v>
                </c:pt>
                <c:pt idx="918">
                  <c:v>134.72286591236329</c:v>
                </c:pt>
                <c:pt idx="919">
                  <c:v>134.67159527367787</c:v>
                </c:pt>
                <c:pt idx="920">
                  <c:v>134.62030236868083</c:v>
                </c:pt>
                <c:pt idx="921">
                  <c:v>134.568987166977</c:v>
                </c:pt>
                <c:pt idx="922">
                  <c:v>134.51764963810015</c:v>
                </c:pt>
                <c:pt idx="923">
                  <c:v>134.46628975151268</c:v>
                </c:pt>
                <c:pt idx="924">
                  <c:v>134.41490747660541</c:v>
                </c:pt>
                <c:pt idx="925">
                  <c:v>134.36350278269731</c:v>
                </c:pt>
                <c:pt idx="926">
                  <c:v>134.31207563903536</c:v>
                </c:pt>
                <c:pt idx="927">
                  <c:v>134.26062601479418</c:v>
                </c:pt>
                <c:pt idx="928">
                  <c:v>134.2091538790759</c:v>
                </c:pt>
                <c:pt idx="929">
                  <c:v>134.15765920090979</c:v>
                </c:pt>
                <c:pt idx="930">
                  <c:v>134.10614194925213</c:v>
                </c:pt>
                <c:pt idx="931">
                  <c:v>134.05460209298593</c:v>
                </c:pt>
                <c:pt idx="932">
                  <c:v>134.00303960092066</c:v>
                </c:pt>
                <c:pt idx="933">
                  <c:v>133.95145444179198</c:v>
                </c:pt>
                <c:pt idx="934">
                  <c:v>133.89984658426161</c:v>
                </c:pt>
                <c:pt idx="935">
                  <c:v>133.84821599691691</c:v>
                </c:pt>
                <c:pt idx="936">
                  <c:v>133.79656264827076</c:v>
                </c:pt>
                <c:pt idx="937">
                  <c:v>133.7448865067613</c:v>
                </c:pt>
                <c:pt idx="938">
                  <c:v>133.69318754075155</c:v>
                </c:pt>
                <c:pt idx="939">
                  <c:v>133.6414657185293</c:v>
                </c:pt>
                <c:pt idx="940">
                  <c:v>133.58972100830681</c:v>
                </c:pt>
                <c:pt idx="941">
                  <c:v>133.53795337822049</c:v>
                </c:pt>
                <c:pt idx="942">
                  <c:v>133.48616279633075</c:v>
                </c:pt>
                <c:pt idx="943">
                  <c:v>133.43434923062165</c:v>
                </c:pt>
                <c:pt idx="944">
                  <c:v>133.38251264900069</c:v>
                </c:pt>
                <c:pt idx="945">
                  <c:v>133.33065301929852</c:v>
                </c:pt>
                <c:pt idx="946">
                  <c:v>133.27877030926871</c:v>
                </c:pt>
                <c:pt idx="947">
                  <c:v>133.22686448658743</c:v>
                </c:pt>
                <c:pt idx="948">
                  <c:v>133.17493551885323</c:v>
                </c:pt>
                <c:pt idx="949">
                  <c:v>133.12298337358681</c:v>
                </c:pt>
                <c:pt idx="950">
                  <c:v>133.07100801823066</c:v>
                </c:pt>
                <c:pt idx="951">
                  <c:v>133.01900942014885</c:v>
                </c:pt>
                <c:pt idx="952">
                  <c:v>132.96698754662674</c:v>
                </c:pt>
                <c:pt idx="953">
                  <c:v>132.91494236487074</c:v>
                </c:pt>
                <c:pt idx="954">
                  <c:v>132.86287384200801</c:v>
                </c:pt>
                <c:pt idx="955">
                  <c:v>132.81078194508618</c:v>
                </c:pt>
                <c:pt idx="956">
                  <c:v>132.75866664107306</c:v>
                </c:pt>
                <c:pt idx="957">
                  <c:v>132.70652789685647</c:v>
                </c:pt>
                <c:pt idx="958">
                  <c:v>132.6543656792438</c:v>
                </c:pt>
                <c:pt idx="959">
                  <c:v>132.60217995496185</c:v>
                </c:pt>
                <c:pt idx="960">
                  <c:v>132.54997069065655</c:v>
                </c:pt>
                <c:pt idx="961">
                  <c:v>132.49773785289258</c:v>
                </c:pt>
                <c:pt idx="962">
                  <c:v>132.4454814081532</c:v>
                </c:pt>
                <c:pt idx="963">
                  <c:v>132.3932013228399</c:v>
                </c:pt>
                <c:pt idx="964">
                  <c:v>132.34089756327211</c:v>
                </c:pt>
                <c:pt idx="965">
                  <c:v>132.28857009568699</c:v>
                </c:pt>
                <c:pt idx="966">
                  <c:v>132.23621888623904</c:v>
                </c:pt>
                <c:pt idx="967">
                  <c:v>132.1838439009999</c:v>
                </c:pt>
                <c:pt idx="968">
                  <c:v>132.13144510595799</c:v>
                </c:pt>
                <c:pt idx="969">
                  <c:v>132.07902246701826</c:v>
                </c:pt>
                <c:pt idx="970">
                  <c:v>132.02657595000193</c:v>
                </c:pt>
                <c:pt idx="971">
                  <c:v>131.97410552064605</c:v>
                </c:pt>
                <c:pt idx="972">
                  <c:v>131.92161114460342</c:v>
                </c:pt>
                <c:pt idx="973">
                  <c:v>131.86909278744213</c:v>
                </c:pt>
                <c:pt idx="974">
                  <c:v>131.81655041464529</c:v>
                </c:pt>
                <c:pt idx="975">
                  <c:v>131.76398399161079</c:v>
                </c:pt>
                <c:pt idx="976">
                  <c:v>131.71139348365094</c:v>
                </c:pt>
                <c:pt idx="977">
                  <c:v>131.65877885599221</c:v>
                </c:pt>
                <c:pt idx="978">
                  <c:v>131.6061400737749</c:v>
                </c:pt>
                <c:pt idx="979">
                  <c:v>131.5534771020528</c:v>
                </c:pt>
                <c:pt idx="980">
                  <c:v>131.500789905793</c:v>
                </c:pt>
                <c:pt idx="981">
                  <c:v>131.44807844987545</c:v>
                </c:pt>
                <c:pt idx="982">
                  <c:v>131.39534269909271</c:v>
                </c:pt>
                <c:pt idx="983">
                  <c:v>131.34258261814966</c:v>
                </c:pt>
                <c:pt idx="984">
                  <c:v>131.28979817166316</c:v>
                </c:pt>
                <c:pt idx="985">
                  <c:v>131.23698932416175</c:v>
                </c:pt>
                <c:pt idx="986">
                  <c:v>131.1841560400853</c:v>
                </c:pt>
                <c:pt idx="987">
                  <c:v>131.1312982837847</c:v>
                </c:pt>
                <c:pt idx="988">
                  <c:v>131.07841601952163</c:v>
                </c:pt>
                <c:pt idx="989">
                  <c:v>131.02550921146812</c:v>
                </c:pt>
                <c:pt idx="990">
                  <c:v>130.97257782370627</c:v>
                </c:pt>
                <c:pt idx="991">
                  <c:v>130.91962182022797</c:v>
                </c:pt>
                <c:pt idx="992">
                  <c:v>130.86664116493455</c:v>
                </c:pt>
                <c:pt idx="993">
                  <c:v>130.81363582163641</c:v>
                </c:pt>
                <c:pt idx="994">
                  <c:v>130.76060575405276</c:v>
                </c:pt>
                <c:pt idx="995">
                  <c:v>130.70755092581123</c:v>
                </c:pt>
                <c:pt idx="996">
                  <c:v>130.65447130044763</c:v>
                </c:pt>
                <c:pt idx="997">
                  <c:v>130.60136684140548</c:v>
                </c:pt>
                <c:pt idx="998">
                  <c:v>130.54823751203583</c:v>
                </c:pt>
                <c:pt idx="999">
                  <c:v>130.49508327559681</c:v>
                </c:pt>
                <c:pt idx="1000">
                  <c:v>130.44190409525336</c:v>
                </c:pt>
                <c:pt idx="1001">
                  <c:v>130.38869993407687</c:v>
                </c:pt>
                <c:pt idx="1002">
                  <c:v>130.33547075504478</c:v>
                </c:pt>
                <c:pt idx="1003">
                  <c:v>130.28221652104037</c:v>
                </c:pt>
                <c:pt idx="1004">
                  <c:v>130.22893719485231</c:v>
                </c:pt>
                <c:pt idx="1005">
                  <c:v>130.17563273917435</c:v>
                </c:pt>
                <c:pt idx="1006">
                  <c:v>130.12230311660497</c:v>
                </c:pt>
                <c:pt idx="1007">
                  <c:v>130.06894828964704</c:v>
                </c:pt>
                <c:pt idx="1008">
                  <c:v>130.01556822070745</c:v>
                </c:pt>
                <c:pt idx="1009">
                  <c:v>129.9621628720968</c:v>
                </c:pt>
                <c:pt idx="1010">
                  <c:v>129.90873220602901</c:v>
                </c:pt>
                <c:pt idx="1011">
                  <c:v>129.85527618462098</c:v>
                </c:pt>
                <c:pt idx="1012">
                  <c:v>129.80179476989221</c:v>
                </c:pt>
                <c:pt idx="1013">
                  <c:v>129.74828792376451</c:v>
                </c:pt>
                <c:pt idx="1014">
                  <c:v>129.69475560806154</c:v>
                </c:pt>
                <c:pt idx="1015">
                  <c:v>129.64119778450853</c:v>
                </c:pt>
                <c:pt idx="1016">
                  <c:v>129.58761441473189</c:v>
                </c:pt>
                <c:pt idx="1017">
                  <c:v>129.53400546025884</c:v>
                </c:pt>
                <c:pt idx="1018">
                  <c:v>129.48037088251701</c:v>
                </c:pt>
                <c:pt idx="1019">
                  <c:v>129.42671064283417</c:v>
                </c:pt>
                <c:pt idx="1020">
                  <c:v>129.37302470243776</c:v>
                </c:pt>
                <c:pt idx="1021">
                  <c:v>129.31931302245459</c:v>
                </c:pt>
                <c:pt idx="1022">
                  <c:v>129.26557556391037</c:v>
                </c:pt>
                <c:pt idx="1023">
                  <c:v>129.21181228772949</c:v>
                </c:pt>
                <c:pt idx="1024">
                  <c:v>129.15802315473445</c:v>
                </c:pt>
                <c:pt idx="1025">
                  <c:v>129.10420812564564</c:v>
                </c:pt>
                <c:pt idx="1026">
                  <c:v>129.05036716108089</c:v>
                </c:pt>
                <c:pt idx="1027">
                  <c:v>128.99650022155507</c:v>
                </c:pt>
                <c:pt idx="1028">
                  <c:v>128.94260726747979</c:v>
                </c:pt>
                <c:pt idx="1029">
                  <c:v>128.88868825916288</c:v>
                </c:pt>
                <c:pt idx="1030">
                  <c:v>128.83474315680814</c:v>
                </c:pt>
                <c:pt idx="1031">
                  <c:v>128.78077192051487</c:v>
                </c:pt>
                <c:pt idx="1032">
                  <c:v>128.72677451027747</c:v>
                </c:pt>
                <c:pt idx="1033">
                  <c:v>128.67275088598507</c:v>
                </c:pt>
                <c:pt idx="1034">
                  <c:v>128.61870100742118</c:v>
                </c:pt>
                <c:pt idx="1035">
                  <c:v>128.56462483426318</c:v>
                </c:pt>
                <c:pt idx="1036">
                  <c:v>128.51052232608203</c:v>
                </c:pt>
                <c:pt idx="1037">
                  <c:v>128.45639344234178</c:v>
                </c:pt>
                <c:pt idx="1038">
                  <c:v>128.40223814239926</c:v>
                </c:pt>
                <c:pt idx="1039">
                  <c:v>128.34805638550358</c:v>
                </c:pt>
                <c:pt idx="1040">
                  <c:v>128.29384813079582</c:v>
                </c:pt>
                <c:pt idx="1041">
                  <c:v>128.2396133373085</c:v>
                </c:pt>
                <c:pt idx="1042">
                  <c:v>128.18535196396525</c:v>
                </c:pt>
                <c:pt idx="1043">
                  <c:v>128.13106396958037</c:v>
                </c:pt>
                <c:pt idx="1044">
                  <c:v>128.07674931285845</c:v>
                </c:pt>
                <c:pt idx="1045">
                  <c:v>128.02240795239391</c:v>
                </c:pt>
                <c:pt idx="1046">
                  <c:v>127.96803984667056</c:v>
                </c:pt>
                <c:pt idx="1047">
                  <c:v>127.91364495406127</c:v>
                </c:pt>
                <c:pt idx="1048">
                  <c:v>127.85922323282743</c:v>
                </c:pt>
                <c:pt idx="1049">
                  <c:v>127.80477464111861</c:v>
                </c:pt>
                <c:pt idx="1050">
                  <c:v>127.75029913697209</c:v>
                </c:pt>
                <c:pt idx="1051">
                  <c:v>127.69579667831242</c:v>
                </c:pt>
                <c:pt idx="1052">
                  <c:v>127.64126722295103</c:v>
                </c:pt>
                <c:pt idx="1053">
                  <c:v>127.58671072858576</c:v>
                </c:pt>
                <c:pt idx="1054">
                  <c:v>127.53212715280043</c:v>
                </c:pt>
                <c:pt idx="1055">
                  <c:v>127.4775164530644</c:v>
                </c:pt>
                <c:pt idx="1056">
                  <c:v>127.42287858673214</c:v>
                </c:pt>
                <c:pt idx="1057">
                  <c:v>127.36821351104277</c:v>
                </c:pt>
                <c:pt idx="1058">
                  <c:v>127.3135211831196</c:v>
                </c:pt>
                <c:pt idx="1059">
                  <c:v>127.25880155996974</c:v>
                </c:pt>
                <c:pt idx="1060">
                  <c:v>127.20405459848357</c:v>
                </c:pt>
                <c:pt idx="1061">
                  <c:v>127.14928025543433</c:v>
                </c:pt>
                <c:pt idx="1062">
                  <c:v>127.0944784874777</c:v>
                </c:pt>
                <c:pt idx="1063">
                  <c:v>127.03964925115126</c:v>
                </c:pt>
                <c:pt idx="1064">
                  <c:v>126.98479250287407</c:v>
                </c:pt>
                <c:pt idx="1065">
                  <c:v>126.92990819894625</c:v>
                </c:pt>
                <c:pt idx="1066">
                  <c:v>126.87499629554843</c:v>
                </c:pt>
                <c:pt idx="1067">
                  <c:v>126.82005674874135</c:v>
                </c:pt>
                <c:pt idx="1068">
                  <c:v>126.76508951446537</c:v>
                </c:pt>
                <c:pt idx="1069">
                  <c:v>126.71009454853998</c:v>
                </c:pt>
                <c:pt idx="1070">
                  <c:v>126.65507180666334</c:v>
                </c:pt>
                <c:pt idx="1071">
                  <c:v>126.60002124441182</c:v>
                </c:pt>
                <c:pt idx="1072">
                  <c:v>126.54494281723949</c:v>
                </c:pt>
                <c:pt idx="1073">
                  <c:v>126.48983648047766</c:v>
                </c:pt>
                <c:pt idx="1074">
                  <c:v>126.43470218933439</c:v>
                </c:pt>
                <c:pt idx="1075">
                  <c:v>126.37953989889397</c:v>
                </c:pt>
                <c:pt idx="1076">
                  <c:v>126.32434956411649</c:v>
                </c:pt>
                <c:pt idx="1077">
                  <c:v>126.26913113983733</c:v>
                </c:pt>
                <c:pt idx="1078">
                  <c:v>126.21388458076662</c:v>
                </c:pt>
                <c:pt idx="1079">
                  <c:v>126.1586098414888</c:v>
                </c:pt>
                <c:pt idx="1080">
                  <c:v>126.10330687646209</c:v>
                </c:pt>
                <c:pt idx="1081">
                  <c:v>126.047975640018</c:v>
                </c:pt>
                <c:pt idx="1082">
                  <c:v>125.99261608636081</c:v>
                </c:pt>
                <c:pt idx="1083">
                  <c:v>125.93722816956709</c:v>
                </c:pt>
                <c:pt idx="1084">
                  <c:v>125.88181184358515</c:v>
                </c:pt>
                <c:pt idx="1085">
                  <c:v>125.82636706223458</c:v>
                </c:pt>
                <c:pt idx="1086">
                  <c:v>125.77089377920568</c:v>
                </c:pt>
                <c:pt idx="1087">
                  <c:v>125.71539194805896</c:v>
                </c:pt>
                <c:pt idx="1088">
                  <c:v>125.65986152222466</c:v>
                </c:pt>
                <c:pt idx="1089">
                  <c:v>125.60430245500216</c:v>
                </c:pt>
                <c:pt idx="1090">
                  <c:v>125.54871469955948</c:v>
                </c:pt>
                <c:pt idx="1091">
                  <c:v>125.49309820893279</c:v>
                </c:pt>
                <c:pt idx="1092">
                  <c:v>125.43745293602582</c:v>
                </c:pt>
                <c:pt idx="1093">
                  <c:v>125.38177883360935</c:v>
                </c:pt>
                <c:pt idx="1094">
                  <c:v>125.32607585432066</c:v>
                </c:pt>
                <c:pt idx="1095">
                  <c:v>125.27034395066305</c:v>
                </c:pt>
                <c:pt idx="1096">
                  <c:v>125.21458307500518</c:v>
                </c:pt>
                <c:pt idx="1097">
                  <c:v>125.15879317958064</c:v>
                </c:pt>
                <c:pt idx="1098">
                  <c:v>125.10297421648734</c:v>
                </c:pt>
                <c:pt idx="1099">
                  <c:v>125.04712613768696</c:v>
                </c:pt>
                <c:pt idx="1100">
                  <c:v>124.99124889500442</c:v>
                </c:pt>
                <c:pt idx="1101">
                  <c:v>124.9353424401273</c:v>
                </c:pt>
                <c:pt idx="1102">
                  <c:v>124.87940672460527</c:v>
                </c:pt>
                <c:pt idx="1103">
                  <c:v>124.82344169984958</c:v>
                </c:pt>
                <c:pt idx="1104">
                  <c:v>124.76744731713244</c:v>
                </c:pt>
                <c:pt idx="1105">
                  <c:v>124.71142352758643</c:v>
                </c:pt>
                <c:pt idx="1106">
                  <c:v>124.65537028220402</c:v>
                </c:pt>
                <c:pt idx="1107">
                  <c:v>124.59928753183691</c:v>
                </c:pt>
                <c:pt idx="1108">
                  <c:v>124.54317522719546</c:v>
                </c:pt>
                <c:pt idx="1109">
                  <c:v>124.48703331884816</c:v>
                </c:pt>
                <c:pt idx="1110">
                  <c:v>124.43086175722098</c:v>
                </c:pt>
                <c:pt idx="1111">
                  <c:v>124.37466049259683</c:v>
                </c:pt>
                <c:pt idx="1112">
                  <c:v>124.31842947511494</c:v>
                </c:pt>
                <c:pt idx="1113">
                  <c:v>124.26216865477028</c:v>
                </c:pt>
                <c:pt idx="1114">
                  <c:v>124.20587798141295</c:v>
                </c:pt>
                <c:pt idx="1115">
                  <c:v>124.1495574047476</c:v>
                </c:pt>
                <c:pt idx="1116">
                  <c:v>124.09320687433278</c:v>
                </c:pt>
                <c:pt idx="1117">
                  <c:v>124.03682633958039</c:v>
                </c:pt>
                <c:pt idx="1118">
                  <c:v>123.98041574975502</c:v>
                </c:pt>
                <c:pt idx="1119">
                  <c:v>123.92397505397339</c:v>
                </c:pt>
                <c:pt idx="1120">
                  <c:v>123.86750420120366</c:v>
                </c:pt>
                <c:pt idx="1121">
                  <c:v>123.81100314026486</c:v>
                </c:pt>
                <c:pt idx="1122">
                  <c:v>123.75447181982625</c:v>
                </c:pt>
                <c:pt idx="1123">
                  <c:v>123.69791018840671</c:v>
                </c:pt>
                <c:pt idx="1124">
                  <c:v>123.64131819437407</c:v>
                </c:pt>
                <c:pt idx="1125">
                  <c:v>123.58469578594449</c:v>
                </c:pt>
                <c:pt idx="1126">
                  <c:v>123.52804291118187</c:v>
                </c:pt>
                <c:pt idx="1127">
                  <c:v>123.47135951799712</c:v>
                </c:pt>
                <c:pt idx="1128">
                  <c:v>123.41464555414758</c:v>
                </c:pt>
                <c:pt idx="1129">
                  <c:v>123.35790096723636</c:v>
                </c:pt>
                <c:pt idx="1130">
                  <c:v>123.30112570471167</c:v>
                </c:pt>
                <c:pt idx="1131">
                  <c:v>123.24431971386615</c:v>
                </c:pt>
                <c:pt idx="1132">
                  <c:v>123.18748294183627</c:v>
                </c:pt>
                <c:pt idx="1133">
                  <c:v>123.13061533560159</c:v>
                </c:pt>
                <c:pt idx="1134">
                  <c:v>123.07371684198417</c:v>
                </c:pt>
                <c:pt idx="1135">
                  <c:v>123.01678740764781</c:v>
                </c:pt>
                <c:pt idx="1136">
                  <c:v>122.95982697909749</c:v>
                </c:pt>
                <c:pt idx="1137">
                  <c:v>122.90283550267854</c:v>
                </c:pt>
                <c:pt idx="1138">
                  <c:v>122.84581292457612</c:v>
                </c:pt>
                <c:pt idx="1139">
                  <c:v>122.78875919081443</c:v>
                </c:pt>
                <c:pt idx="1140">
                  <c:v>122.73167424725602</c:v>
                </c:pt>
                <c:pt idx="1141">
                  <c:v>122.67455803960117</c:v>
                </c:pt>
                <c:pt idx="1142">
                  <c:v>122.61741051338709</c:v>
                </c:pt>
                <c:pt idx="1143">
                  <c:v>122.56023161398731</c:v>
                </c:pt>
                <c:pt idx="1144">
                  <c:v>122.50302128661095</c:v>
                </c:pt>
                <c:pt idx="1145">
                  <c:v>122.44577947630194</c:v>
                </c:pt>
                <c:pt idx="1146">
                  <c:v>122.3885061279384</c:v>
                </c:pt>
                <c:pt idx="1147">
                  <c:v>122.33120118623189</c:v>
                </c:pt>
                <c:pt idx="1148">
                  <c:v>122.27386459572669</c:v>
                </c:pt>
                <c:pt idx="1149">
                  <c:v>122.21649630079904</c:v>
                </c:pt>
                <c:pt idx="1150">
                  <c:v>122.15909624565643</c:v>
                </c:pt>
                <c:pt idx="1151">
                  <c:v>122.10166437433691</c:v>
                </c:pt>
                <c:pt idx="1152">
                  <c:v>122.04420063070827</c:v>
                </c:pt>
                <c:pt idx="1153">
                  <c:v>121.9867049584674</c:v>
                </c:pt>
                <c:pt idx="1154">
                  <c:v>121.92917730113942</c:v>
                </c:pt>
                <c:pt idx="1155">
                  <c:v>121.87161760207702</c:v>
                </c:pt>
                <c:pt idx="1156">
                  <c:v>121.8140258044597</c:v>
                </c:pt>
                <c:pt idx="1157">
                  <c:v>121.75640185129296</c:v>
                </c:pt>
                <c:pt idx="1158">
                  <c:v>121.69874568540756</c:v>
                </c:pt>
                <c:pt idx="1159">
                  <c:v>121.64105724945877</c:v>
                </c:pt>
                <c:pt idx="1160">
                  <c:v>121.58333648592557</c:v>
                </c:pt>
                <c:pt idx="1161">
                  <c:v>121.52558333710989</c:v>
                </c:pt>
                <c:pt idx="1162">
                  <c:v>121.46779774513583</c:v>
                </c:pt>
                <c:pt idx="1163">
                  <c:v>121.40997965194885</c:v>
                </c:pt>
                <c:pt idx="1164">
                  <c:v>121.352128999315</c:v>
                </c:pt>
                <c:pt idx="1165">
                  <c:v>121.29424572882012</c:v>
                </c:pt>
                <c:pt idx="1166">
                  <c:v>121.23632978186903</c:v>
                </c:pt>
                <c:pt idx="1167">
                  <c:v>121.17838109968474</c:v>
                </c:pt>
                <c:pt idx="1168">
                  <c:v>121.12039962330765</c:v>
                </c:pt>
                <c:pt idx="1169">
                  <c:v>121.06238529359469</c:v>
                </c:pt>
                <c:pt idx="1170">
                  <c:v>121.00433805121854</c:v>
                </c:pt>
                <c:pt idx="1171">
                  <c:v>120.9462578366668</c:v>
                </c:pt>
                <c:pt idx="1172">
                  <c:v>120.88814459024115</c:v>
                </c:pt>
                <c:pt idx="1173">
                  <c:v>120.82999825205654</c:v>
                </c:pt>
                <c:pt idx="1174">
                  <c:v>120.77181876204031</c:v>
                </c:pt>
                <c:pt idx="1175">
                  <c:v>120.71360605993139</c:v>
                </c:pt>
                <c:pt idx="1176">
                  <c:v>120.65536008527944</c:v>
                </c:pt>
                <c:pt idx="1177">
                  <c:v>120.59708077744396</c:v>
                </c:pt>
                <c:pt idx="1178">
                  <c:v>120.5387680755935</c:v>
                </c:pt>
                <c:pt idx="1179">
                  <c:v>120.48042191870471</c:v>
                </c:pt>
                <c:pt idx="1180">
                  <c:v>120.42204224556156</c:v>
                </c:pt>
                <c:pt idx="1181">
                  <c:v>120.36362899475441</c:v>
                </c:pt>
                <c:pt idx="1182">
                  <c:v>120.30518210467915</c:v>
                </c:pt>
                <c:pt idx="1183">
                  <c:v>120.24670151353631</c:v>
                </c:pt>
                <c:pt idx="1184">
                  <c:v>120.18818715933016</c:v>
                </c:pt>
                <c:pt idx="1185">
                  <c:v>120.12963897986785</c:v>
                </c:pt>
                <c:pt idx="1186">
                  <c:v>120.07105691275846</c:v>
                </c:pt>
                <c:pt idx="1187">
                  <c:v>120.01244089541215</c:v>
                </c:pt>
                <c:pt idx="1188">
                  <c:v>119.95379086503921</c:v>
                </c:pt>
                <c:pt idx="1189">
                  <c:v>119.89510675864915</c:v>
                </c:pt>
                <c:pt idx="1190">
                  <c:v>119.83638851304978</c:v>
                </c:pt>
                <c:pt idx="1191">
                  <c:v>119.77763606484629</c:v>
                </c:pt>
                <c:pt idx="1192">
                  <c:v>119.71884935044032</c:v>
                </c:pt>
                <c:pt idx="1193">
                  <c:v>119.66002830602899</c:v>
                </c:pt>
                <c:pt idx="1194">
                  <c:v>119.60117286760401</c:v>
                </c:pt>
                <c:pt idx="1195">
                  <c:v>119.54228297095067</c:v>
                </c:pt>
                <c:pt idx="1196">
                  <c:v>119.48335855164692</c:v>
                </c:pt>
                <c:pt idx="1197">
                  <c:v>119.42439954506241</c:v>
                </c:pt>
                <c:pt idx="1198">
                  <c:v>119.36540588635752</c:v>
                </c:pt>
                <c:pt idx="1199">
                  <c:v>119.30637751048235</c:v>
                </c:pt>
                <c:pt idx="1200">
                  <c:v>119.24731435217579</c:v>
                </c:pt>
                <c:pt idx="1201">
                  <c:v>119.18821634596453</c:v>
                </c:pt>
                <c:pt idx="1202">
                  <c:v>119.12908342616203</c:v>
                </c:pt>
                <c:pt idx="1203">
                  <c:v>119.06991552686755</c:v>
                </c:pt>
                <c:pt idx="1204">
                  <c:v>119.01071258196515</c:v>
                </c:pt>
                <c:pt idx="1205">
                  <c:v>118.95147452512268</c:v>
                </c:pt>
                <c:pt idx="1206">
                  <c:v>118.89220128979073</c:v>
                </c:pt>
                <c:pt idx="1207">
                  <c:v>118.83289280920167</c:v>
                </c:pt>
                <c:pt idx="1208">
                  <c:v>118.77354901636856</c:v>
                </c:pt>
                <c:pt idx="1209">
                  <c:v>118.71416984408417</c:v>
                </c:pt>
                <c:pt idx="1210">
                  <c:v>118.65475522491987</c:v>
                </c:pt>
                <c:pt idx="1211">
                  <c:v>118.59530509122465</c:v>
                </c:pt>
                <c:pt idx="1212">
                  <c:v>118.53581937512403</c:v>
                </c:pt>
                <c:pt idx="1213">
                  <c:v>118.47629800851904</c:v>
                </c:pt>
                <c:pt idx="1214">
                  <c:v>118.41674092308506</c:v>
                </c:pt>
                <c:pt idx="1215">
                  <c:v>118.35714805027085</c:v>
                </c:pt>
                <c:pt idx="1216">
                  <c:v>118.29751932129743</c:v>
                </c:pt>
                <c:pt idx="1217">
                  <c:v>118.23785466715695</c:v>
                </c:pt>
                <c:pt idx="1218">
                  <c:v>118.17815401861168</c:v>
                </c:pt>
                <c:pt idx="1219">
                  <c:v>118.11841730619282</c:v>
                </c:pt>
                <c:pt idx="1220">
                  <c:v>118.05864446019947</c:v>
                </c:pt>
                <c:pt idx="1221">
                  <c:v>117.99883541069747</c:v>
                </c:pt>
                <c:pt idx="1222">
                  <c:v>117.93899008751828</c:v>
                </c:pt>
                <c:pt idx="1223">
                  <c:v>117.87910842025785</c:v>
                </c:pt>
                <c:pt idx="1224">
                  <c:v>117.81919033827552</c:v>
                </c:pt>
                <c:pt idx="1225">
                  <c:v>117.75923577069283</c:v>
                </c:pt>
                <c:pt idx="1226">
                  <c:v>117.69924464639239</c:v>
                </c:pt>
                <c:pt idx="1227">
                  <c:v>117.63921689401673</c:v>
                </c:pt>
                <c:pt idx="1228">
                  <c:v>117.57915244196711</c:v>
                </c:pt>
                <c:pt idx="1229">
                  <c:v>117.51905121840238</c:v>
                </c:pt>
                <c:pt idx="1230">
                  <c:v>117.45891315123778</c:v>
                </c:pt>
                <c:pt idx="1231">
                  <c:v>117.39873816814372</c:v>
                </c:pt>
                <c:pt idx="1232">
                  <c:v>117.33852619654468</c:v>
                </c:pt>
                <c:pt idx="1233">
                  <c:v>117.27827716361789</c:v>
                </c:pt>
                <c:pt idx="1234">
                  <c:v>117.2179909962922</c:v>
                </c:pt>
                <c:pt idx="1235">
                  <c:v>117.15766762124684</c:v>
                </c:pt>
                <c:pt idx="1236">
                  <c:v>117.09730696491017</c:v>
                </c:pt>
                <c:pt idx="1237">
                  <c:v>117.03690895345851</c:v>
                </c:pt>
                <c:pt idx="1238">
                  <c:v>116.97647351281479</c:v>
                </c:pt>
                <c:pt idx="1239">
                  <c:v>116.91600056864742</c:v>
                </c:pt>
                <c:pt idx="1240">
                  <c:v>116.85549004636893</c:v>
                </c:pt>
                <c:pt idx="1241">
                  <c:v>116.79494187113478</c:v>
                </c:pt>
                <c:pt idx="1242">
                  <c:v>116.73435596784205</c:v>
                </c:pt>
                <c:pt idx="1243">
                  <c:v>116.67373226112815</c:v>
                </c:pt>
                <c:pt idx="1244">
                  <c:v>116.61307067536954</c:v>
                </c:pt>
                <c:pt idx="1245">
                  <c:v>116.55237113468044</c:v>
                </c:pt>
                <c:pt idx="1246">
                  <c:v>116.4916335629115</c:v>
                </c:pt>
                <c:pt idx="1247">
                  <c:v>116.43085788364851</c:v>
                </c:pt>
                <c:pt idx="1248">
                  <c:v>116.37004402021104</c:v>
                </c:pt>
                <c:pt idx="1249">
                  <c:v>116.30919189565113</c:v>
                </c:pt>
                <c:pt idx="1250">
                  <c:v>116.24830143275193</c:v>
                </c:pt>
                <c:pt idx="1251">
                  <c:v>116.18737255402638</c:v>
                </c:pt>
                <c:pt idx="1252">
                  <c:v>116.12640518171582</c:v>
                </c:pt>
                <c:pt idx="1253">
                  <c:v>116.06539923778864</c:v>
                </c:pt>
                <c:pt idx="1254">
                  <c:v>116.00435464393885</c:v>
                </c:pt>
                <c:pt idx="1255">
                  <c:v>115.94327132158479</c:v>
                </c:pt>
                <c:pt idx="1256">
                  <c:v>115.88214919186763</c:v>
                </c:pt>
                <c:pt idx="1257">
                  <c:v>115.82098817565003</c:v>
                </c:pt>
                <c:pt idx="1258">
                  <c:v>115.75978819351469</c:v>
                </c:pt>
                <c:pt idx="1259">
                  <c:v>115.69854916576296</c:v>
                </c:pt>
                <c:pt idx="1260">
                  <c:v>115.63727101241334</c:v>
                </c:pt>
                <c:pt idx="1261">
                  <c:v>115.57595365320012</c:v>
                </c:pt>
                <c:pt idx="1262">
                  <c:v>115.51459700757187</c:v>
                </c:pt>
                <c:pt idx="1263">
                  <c:v>115.45320099468996</c:v>
                </c:pt>
                <c:pt idx="1264">
                  <c:v>115.39176553342718</c:v>
                </c:pt>
                <c:pt idx="1265">
                  <c:v>115.33029054236613</c:v>
                </c:pt>
                <c:pt idx="1266">
                  <c:v>115.26877593979782</c:v>
                </c:pt>
                <c:pt idx="1267">
                  <c:v>115.20722164372012</c:v>
                </c:pt>
                <c:pt idx="1268">
                  <c:v>115.14562757183627</c:v>
                </c:pt>
                <c:pt idx="1269">
                  <c:v>115.08399364155336</c:v>
                </c:pt>
                <c:pt idx="1270">
                  <c:v>115.02231976998075</c:v>
                </c:pt>
                <c:pt idx="1271">
                  <c:v>114.96060587392859</c:v>
                </c:pt>
                <c:pt idx="1272">
                  <c:v>114.8988518699062</c:v>
                </c:pt>
                <c:pt idx="1273">
                  <c:v>114.83705767412056</c:v>
                </c:pt>
                <c:pt idx="1274">
                  <c:v>114.77522320247469</c:v>
                </c:pt>
                <c:pt idx="1275">
                  <c:v>114.71334837056611</c:v>
                </c:pt>
                <c:pt idx="1276">
                  <c:v>114.65143309368517</c:v>
                </c:pt>
                <c:pt idx="1277">
                  <c:v>114.58947728681352</c:v>
                </c:pt>
                <c:pt idx="1278">
                  <c:v>114.52748086462243</c:v>
                </c:pt>
                <c:pt idx="1279">
                  <c:v>114.46544374147119</c:v>
                </c:pt>
                <c:pt idx="1280">
                  <c:v>114.40336583140545</c:v>
                </c:pt>
                <c:pt idx="1281">
                  <c:v>114.34124704815558</c:v>
                </c:pt>
                <c:pt idx="1282">
                  <c:v>114.27908730513498</c:v>
                </c:pt>
                <c:pt idx="1283">
                  <c:v>114.21688651543845</c:v>
                </c:pt>
                <c:pt idx="1284">
                  <c:v>114.15464459184044</c:v>
                </c:pt>
                <c:pt idx="1285">
                  <c:v>114.09236144679339</c:v>
                </c:pt>
                <c:pt idx="1286">
                  <c:v>114.03003699242602</c:v>
                </c:pt>
                <c:pt idx="1287">
                  <c:v>113.96767114054157</c:v>
                </c:pt>
                <c:pt idx="1288">
                  <c:v>113.9052638026161</c:v>
                </c:pt>
                <c:pt idx="1289">
                  <c:v>113.84281488979673</c:v>
                </c:pt>
                <c:pt idx="1290">
                  <c:v>113.78032431289985</c:v>
                </c:pt>
                <c:pt idx="1291">
                  <c:v>113.71779198240939</c:v>
                </c:pt>
                <c:pt idx="1292">
                  <c:v>113.65521780847503</c:v>
                </c:pt>
                <c:pt idx="1293">
                  <c:v>113.59260170091035</c:v>
                </c:pt>
                <c:pt idx="1294">
                  <c:v>113.52994356919108</c:v>
                </c:pt>
                <c:pt idx="1295">
                  <c:v>113.46724332245324</c:v>
                </c:pt>
                <c:pt idx="1296">
                  <c:v>113.40450086949133</c:v>
                </c:pt>
                <c:pt idx="1297">
                  <c:v>113.34171611875644</c:v>
                </c:pt>
                <c:pt idx="1298">
                  <c:v>113.27888897835442</c:v>
                </c:pt>
                <c:pt idx="1299">
                  <c:v>113.216019356044</c:v>
                </c:pt>
                <c:pt idx="1300">
                  <c:v>113.15310715923489</c:v>
                </c:pt>
                <c:pt idx="1301">
                  <c:v>113.09015229498587</c:v>
                </c:pt>
                <c:pt idx="1302">
                  <c:v>113.02715467000289</c:v>
                </c:pt>
                <c:pt idx="1303">
                  <c:v>112.96411419063712</c:v>
                </c:pt>
                <c:pt idx="1304">
                  <c:v>112.90103076288304</c:v>
                </c:pt>
                <c:pt idx="1305">
                  <c:v>112.83790429237644</c:v>
                </c:pt>
                <c:pt idx="1306">
                  <c:v>112.77473468439246</c:v>
                </c:pt>
                <c:pt idx="1307">
                  <c:v>112.71152184384361</c:v>
                </c:pt>
                <c:pt idx="1308">
                  <c:v>112.64826567527778</c:v>
                </c:pt>
                <c:pt idx="1309">
                  <c:v>112.58496608287619</c:v>
                </c:pt>
                <c:pt idx="1310">
                  <c:v>112.52162297045139</c:v>
                </c:pt>
                <c:pt idx="1311">
                  <c:v>112.45823624144518</c:v>
                </c:pt>
                <c:pt idx="1312">
                  <c:v>112.3948057989266</c:v>
                </c:pt>
                <c:pt idx="1313">
                  <c:v>112.3313315455898</c:v>
                </c:pt>
                <c:pt idx="1314">
                  <c:v>112.267813383752</c:v>
                </c:pt>
                <c:pt idx="1315">
                  <c:v>112.20425121535133</c:v>
                </c:pt>
                <c:pt idx="1316">
                  <c:v>112.14064494194477</c:v>
                </c:pt>
                <c:pt idx="1317">
                  <c:v>112.07699446470595</c:v>
                </c:pt>
                <c:pt idx="1318">
                  <c:v>112.01329968442305</c:v>
                </c:pt>
                <c:pt idx="1319">
                  <c:v>111.94956050149658</c:v>
                </c:pt>
                <c:pt idx="1320">
                  <c:v>111.88577681593723</c:v>
                </c:pt>
                <c:pt idx="1321">
                  <c:v>111.82194852736369</c:v>
                </c:pt>
                <c:pt idx="1322">
                  <c:v>111.75807553500037</c:v>
                </c:pt>
                <c:pt idx="1323">
                  <c:v>111.69415773767523</c:v>
                </c:pt>
                <c:pt idx="1324">
                  <c:v>111.63019503381744</c:v>
                </c:pt>
                <c:pt idx="1325">
                  <c:v>111.56618732145526</c:v>
                </c:pt>
                <c:pt idx="1326">
                  <c:v>111.50213449821359</c:v>
                </c:pt>
                <c:pt idx="1327">
                  <c:v>111.43803646131178</c:v>
                </c:pt>
                <c:pt idx="1328">
                  <c:v>111.37389310756127</c:v>
                </c:pt>
                <c:pt idx="1329">
                  <c:v>111.30970433336326</c:v>
                </c:pt>
                <c:pt idx="1330">
                  <c:v>111.24547003470636</c:v>
                </c:pt>
                <c:pt idx="1331">
                  <c:v>111.18119010716421</c:v>
                </c:pt>
                <c:pt idx="1332">
                  <c:v>111.11686444589311</c:v>
                </c:pt>
                <c:pt idx="1333">
                  <c:v>111.05249294562958</c:v>
                </c:pt>
                <c:pt idx="1334">
                  <c:v>110.98807550068794</c:v>
                </c:pt>
                <c:pt idx="1335">
                  <c:v>110.92361200495792</c:v>
                </c:pt>
                <c:pt idx="1336">
                  <c:v>110.85910235190211</c:v>
                </c:pt>
                <c:pt idx="1337">
                  <c:v>110.79454643455355</c:v>
                </c:pt>
                <c:pt idx="1338">
                  <c:v>110.72994414551319</c:v>
                </c:pt>
                <c:pt idx="1339">
                  <c:v>110.66529537694738</c:v>
                </c:pt>
                <c:pt idx="1340">
                  <c:v>110.60060002058536</c:v>
                </c:pt>
                <c:pt idx="1341">
                  <c:v>110.53585796771664</c:v>
                </c:pt>
                <c:pt idx="1342">
                  <c:v>110.47106910918845</c:v>
                </c:pt>
                <c:pt idx="1343">
                  <c:v>110.40623333540319</c:v>
                </c:pt>
                <c:pt idx="1344">
                  <c:v>110.34135053631573</c:v>
                </c:pt>
                <c:pt idx="1345">
                  <c:v>110.27642060143083</c:v>
                </c:pt>
                <c:pt idx="1346">
                  <c:v>110.21144341980045</c:v>
                </c:pt>
                <c:pt idx="1347">
                  <c:v>110.14641888002109</c:v>
                </c:pt>
                <c:pt idx="1348">
                  <c:v>110.08134687023107</c:v>
                </c:pt>
                <c:pt idx="1349">
                  <c:v>110.01622727810783</c:v>
                </c:pt>
                <c:pt idx="1350">
                  <c:v>109.95105999086519</c:v>
                </c:pt>
                <c:pt idx="1351">
                  <c:v>109.88584489525053</c:v>
                </c:pt>
                <c:pt idx="1352">
                  <c:v>109.82058187754205</c:v>
                </c:pt>
                <c:pt idx="1353">
                  <c:v>109.755270823546</c:v>
                </c:pt>
                <c:pt idx="1354">
                  <c:v>109.68991161859377</c:v>
                </c:pt>
                <c:pt idx="1355">
                  <c:v>109.62450414753908</c:v>
                </c:pt>
                <c:pt idx="1356">
                  <c:v>109.55904829475512</c:v>
                </c:pt>
                <c:pt idx="1357">
                  <c:v>109.49354394413157</c:v>
                </c:pt>
                <c:pt idx="1358">
                  <c:v>109.42799097907182</c:v>
                </c:pt>
                <c:pt idx="1359">
                  <c:v>109.3623892824899</c:v>
                </c:pt>
                <c:pt idx="1360">
                  <c:v>109.29673873680755</c:v>
                </c:pt>
                <c:pt idx="1361">
                  <c:v>109.23103922395127</c:v>
                </c:pt>
                <c:pt idx="1362">
                  <c:v>109.16529062534923</c:v>
                </c:pt>
                <c:pt idx="1363">
                  <c:v>109.09949282192831</c:v>
                </c:pt>
                <c:pt idx="1364">
                  <c:v>109.03364569411097</c:v>
                </c:pt>
                <c:pt idx="1365">
                  <c:v>108.96774912181222</c:v>
                </c:pt>
                <c:pt idx="1366">
                  <c:v>108.90180298443644</c:v>
                </c:pt>
                <c:pt idx="1367">
                  <c:v>108.8358071608743</c:v>
                </c:pt>
                <c:pt idx="1368">
                  <c:v>108.76976152949956</c:v>
                </c:pt>
                <c:pt idx="1369">
                  <c:v>108.70366596816592</c:v>
                </c:pt>
                <c:pt idx="1370">
                  <c:v>108.63752035420374</c:v>
                </c:pt>
                <c:pt idx="1371">
                  <c:v>108.57132456441687</c:v>
                </c:pt>
                <c:pt idx="1372">
                  <c:v>108.50507847507933</c:v>
                </c:pt>
                <c:pt idx="1373">
                  <c:v>108.43878196193204</c:v>
                </c:pt>
                <c:pt idx="1374">
                  <c:v>108.37243490017948</c:v>
                </c:pt>
                <c:pt idx="1375">
                  <c:v>108.3060371644864</c:v>
                </c:pt>
                <c:pt idx="1376">
                  <c:v>108.23958862897432</c:v>
                </c:pt>
                <c:pt idx="1377">
                  <c:v>108.17308916721825</c:v>
                </c:pt>
                <c:pt idx="1378">
                  <c:v>108.10653865224322</c:v>
                </c:pt>
                <c:pt idx="1379">
                  <c:v>108.03993695652076</c:v>
                </c:pt>
                <c:pt idx="1380">
                  <c:v>107.9732839519655</c:v>
                </c:pt>
                <c:pt idx="1381">
                  <c:v>107.90657950993159</c:v>
                </c:pt>
                <c:pt idx="1382">
                  <c:v>107.83982350120918</c:v>
                </c:pt>
                <c:pt idx="1383">
                  <c:v>107.77301579602084</c:v>
                </c:pt>
                <c:pt idx="1384">
                  <c:v>107.70615626401793</c:v>
                </c:pt>
                <c:pt idx="1385">
                  <c:v>107.63924477427699</c:v>
                </c:pt>
                <c:pt idx="1386">
                  <c:v>107.57228119529604</c:v>
                </c:pt>
                <c:pt idx="1387">
                  <c:v>107.50526539499094</c:v>
                </c:pt>
                <c:pt idx="1388">
                  <c:v>107.43819724069159</c:v>
                </c:pt>
                <c:pt idx="1389">
                  <c:v>107.37107659913823</c:v>
                </c:pt>
                <c:pt idx="1390">
                  <c:v>107.30390333647759</c:v>
                </c:pt>
                <c:pt idx="1391">
                  <c:v>107.23667731825908</c:v>
                </c:pt>
                <c:pt idx="1392">
                  <c:v>107.16939840943098</c:v>
                </c:pt>
                <c:pt idx="1393">
                  <c:v>107.1020664743365</c:v>
                </c:pt>
                <c:pt idx="1394">
                  <c:v>107.03468137670983</c:v>
                </c:pt>
                <c:pt idx="1395">
                  <c:v>106.96724297967228</c:v>
                </c:pt>
                <c:pt idx="1396">
                  <c:v>106.89975114572819</c:v>
                </c:pt>
                <c:pt idx="1397">
                  <c:v>106.83220573676094</c:v>
                </c:pt>
                <c:pt idx="1398">
                  <c:v>106.76460661402892</c:v>
                </c:pt>
                <c:pt idx="1399">
                  <c:v>106.69695363816138</c:v>
                </c:pt>
                <c:pt idx="1400">
                  <c:v>106.62924666915433</c:v>
                </c:pt>
                <c:pt idx="1401">
                  <c:v>106.56148556636639</c:v>
                </c:pt>
                <c:pt idx="1402">
                  <c:v>106.49367018851453</c:v>
                </c:pt>
                <c:pt idx="1403">
                  <c:v>106.4258003936699</c:v>
                </c:pt>
                <c:pt idx="1404">
                  <c:v>106.3578760392535</c:v>
                </c:pt>
                <c:pt idx="1405">
                  <c:v>106.28989698203189</c:v>
                </c:pt>
                <c:pt idx="1406">
                  <c:v>106.22186307811285</c:v>
                </c:pt>
                <c:pt idx="1407">
                  <c:v>106.15377418294095</c:v>
                </c:pt>
                <c:pt idx="1408">
                  <c:v>106.08563015129316</c:v>
                </c:pt>
                <c:pt idx="1409">
                  <c:v>106.01743083727439</c:v>
                </c:pt>
                <c:pt idx="1410">
                  <c:v>105.94917609431293</c:v>
                </c:pt>
                <c:pt idx="1411">
                  <c:v>105.88086577515597</c:v>
                </c:pt>
                <c:pt idx="1412">
                  <c:v>105.81249973186495</c:v>
                </c:pt>
                <c:pt idx="1413">
                  <c:v>105.74407781581098</c:v>
                </c:pt>
                <c:pt idx="1414">
                  <c:v>105.67559987767017</c:v>
                </c:pt>
                <c:pt idx="1415">
                  <c:v>105.60706576741887</c:v>
                </c:pt>
                <c:pt idx="1416">
                  <c:v>105.53847533432901</c:v>
                </c:pt>
                <c:pt idx="1417">
                  <c:v>105.46982842696319</c:v>
                </c:pt>
                <c:pt idx="1418">
                  <c:v>105.40112489316992</c:v>
                </c:pt>
                <c:pt idx="1419">
                  <c:v>105.33236458007873</c:v>
                </c:pt>
                <c:pt idx="1420">
                  <c:v>105.26354733409522</c:v>
                </c:pt>
                <c:pt idx="1421">
                  <c:v>105.19467300089612</c:v>
                </c:pt>
                <c:pt idx="1422">
                  <c:v>105.12574142542424</c:v>
                </c:pt>
                <c:pt idx="1423">
                  <c:v>105.05675245188343</c:v>
                </c:pt>
                <c:pt idx="1424">
                  <c:v>104.98770592373349</c:v>
                </c:pt>
                <c:pt idx="1425">
                  <c:v>104.91860168368498</c:v>
                </c:pt>
                <c:pt idx="1426">
                  <c:v>104.84943957369406</c:v>
                </c:pt>
                <c:pt idx="1427">
                  <c:v>104.78021943495717</c:v>
                </c:pt>
                <c:pt idx="1428">
                  <c:v>104.71094110790585</c:v>
                </c:pt>
                <c:pt idx="1429">
                  <c:v>104.64160443220129</c:v>
                </c:pt>
                <c:pt idx="1430">
                  <c:v>104.57220924672897</c:v>
                </c:pt>
                <c:pt idx="1431">
                  <c:v>104.50275538959326</c:v>
                </c:pt>
                <c:pt idx="1432">
                  <c:v>104.43324269811185</c:v>
                </c:pt>
                <c:pt idx="1433">
                  <c:v>104.36367100881027</c:v>
                </c:pt>
                <c:pt idx="1434">
                  <c:v>104.29404015741623</c:v>
                </c:pt>
                <c:pt idx="1435">
                  <c:v>104.22434997885405</c:v>
                </c:pt>
                <c:pt idx="1436">
                  <c:v>104.15460030723888</c:v>
                </c:pt>
                <c:pt idx="1437">
                  <c:v>104.08479097587099</c:v>
                </c:pt>
                <c:pt idx="1438">
                  <c:v>104.01492181722995</c:v>
                </c:pt>
                <c:pt idx="1439">
                  <c:v>103.94499266296876</c:v>
                </c:pt>
                <c:pt idx="1440">
                  <c:v>103.87500334390795</c:v>
                </c:pt>
                <c:pt idx="1441">
                  <c:v>103.80495369002958</c:v>
                </c:pt>
                <c:pt idx="1442">
                  <c:v>103.73484353047122</c:v>
                </c:pt>
                <c:pt idx="1443">
                  <c:v>103.66467269351988</c:v>
                </c:pt>
                <c:pt idx="1444">
                  <c:v>103.59444100660579</c:v>
                </c:pt>
                <c:pt idx="1445">
                  <c:v>103.52414829629629</c:v>
                </c:pt>
                <c:pt idx="1446">
                  <c:v>103.45379438828951</c:v>
                </c:pt>
                <c:pt idx="1447">
                  <c:v>103.38337910740806</c:v>
                </c:pt>
                <c:pt idx="1448">
                  <c:v>103.31290227759264</c:v>
                </c:pt>
                <c:pt idx="1449">
                  <c:v>103.24236372189557</c:v>
                </c:pt>
                <c:pt idx="1450">
                  <c:v>103.17176326247433</c:v>
                </c:pt>
                <c:pt idx="1451">
                  <c:v>103.10110072058494</c:v>
                </c:pt>
                <c:pt idx="1452">
                  <c:v>103.03037591657534</c:v>
                </c:pt>
                <c:pt idx="1453">
                  <c:v>102.9595886698787</c:v>
                </c:pt>
                <c:pt idx="1454">
                  <c:v>102.88873879900665</c:v>
                </c:pt>
                <c:pt idx="1455">
                  <c:v>102.81782612154242</c:v>
                </c:pt>
                <c:pt idx="1456">
                  <c:v>102.74685045413399</c:v>
                </c:pt>
                <c:pt idx="1457">
                  <c:v>102.67581161248705</c:v>
                </c:pt>
                <c:pt idx="1458">
                  <c:v>102.60470941135806</c:v>
                </c:pt>
                <c:pt idx="1459">
                  <c:v>102.53354366454704</c:v>
                </c:pt>
                <c:pt idx="1460">
                  <c:v>102.46231418489047</c:v>
                </c:pt>
                <c:pt idx="1461">
                  <c:v>102.39102078425404</c:v>
                </c:pt>
                <c:pt idx="1462">
                  <c:v>102.31966327352528</c:v>
                </c:pt>
                <c:pt idx="1463">
                  <c:v>102.2482414626062</c:v>
                </c:pt>
                <c:pt idx="1464">
                  <c:v>102.17675516040585</c:v>
                </c:pt>
                <c:pt idx="1465">
                  <c:v>102.10520417483271</c:v>
                </c:pt>
                <c:pt idx="1466">
                  <c:v>102.03358831278715</c:v>
                </c:pt>
                <c:pt idx="1467">
                  <c:v>101.96190738015368</c:v>
                </c:pt>
                <c:pt idx="1468">
                  <c:v>101.8901611817932</c:v>
                </c:pt>
                <c:pt idx="1469">
                  <c:v>101.81834952153518</c:v>
                </c:pt>
                <c:pt idx="1470">
                  <c:v>101.74647220216968</c:v>
                </c:pt>
                <c:pt idx="1471">
                  <c:v>101.67452902543938</c:v>
                </c:pt>
                <c:pt idx="1472">
                  <c:v>101.60251979203147</c:v>
                </c:pt>
                <c:pt idx="1473">
                  <c:v>101.53044430156946</c:v>
                </c:pt>
                <c:pt idx="1474">
                  <c:v>101.45830235260497</c:v>
                </c:pt>
                <c:pt idx="1475">
                  <c:v>101.38609374260936</c:v>
                </c:pt>
                <c:pt idx="1476">
                  <c:v>101.31381826796529</c:v>
                </c:pt>
                <c:pt idx="1477">
                  <c:v>101.24147572395822</c:v>
                </c:pt>
                <c:pt idx="1478">
                  <c:v>101.16906590476781</c:v>
                </c:pt>
                <c:pt idx="1479">
                  <c:v>101.09658860345922</c:v>
                </c:pt>
                <c:pt idx="1480">
                  <c:v>101.02404361197436</c:v>
                </c:pt>
                <c:pt idx="1481">
                  <c:v>100.95143072112295</c:v>
                </c:pt>
                <c:pt idx="1482">
                  <c:v>100.87874972057359</c:v>
                </c:pt>
                <c:pt idx="1483">
                  <c:v>100.80600039884473</c:v>
                </c:pt>
                <c:pt idx="1484">
                  <c:v>100.73318254329547</c:v>
                </c:pt>
                <c:pt idx="1485">
                  <c:v>100.66029594011631</c:v>
                </c:pt>
                <c:pt idx="1486">
                  <c:v>100.58734037431984</c:v>
                </c:pt>
                <c:pt idx="1487">
                  <c:v>100.51431562973121</c:v>
                </c:pt>
                <c:pt idx="1488">
                  <c:v>100.4412214889787</c:v>
                </c:pt>
                <c:pt idx="1489">
                  <c:v>100.36805773348395</c:v>
                </c:pt>
                <c:pt idx="1490">
                  <c:v>100.2948241434523</c:v>
                </c:pt>
                <c:pt idx="1491">
                  <c:v>100.22152049786285</c:v>
                </c:pt>
                <c:pt idx="1492">
                  <c:v>100.14814657445856</c:v>
                </c:pt>
                <c:pt idx="1493">
                  <c:v>100.07470214973617</c:v>
                </c:pt>
                <c:pt idx="1494">
                  <c:v>100.00118699893595</c:v>
                </c:pt>
                <c:pt idx="1495">
                  <c:v>99.927600896031521</c:v>
                </c:pt>
                <c:pt idx="1496">
                  <c:v>99.85394361371938</c:v>
                </c:pt>
                <c:pt idx="1497">
                  <c:v>99.78021492340838</c:v>
                </c:pt>
                <c:pt idx="1498">
                  <c:v>99.706414595209168</c:v>
                </c:pt>
                <c:pt idx="1499">
                  <c:v>99.632542397923345</c:v>
                </c:pt>
                <c:pt idx="1500">
                  <c:v>99.558598099032693</c:v>
                </c:pt>
                <c:pt idx="1501">
                  <c:v>99.484581464688148</c:v>
                </c:pt>
                <c:pt idx="1502">
                  <c:v>99.410492259698671</c:v>
                </c:pt>
                <c:pt idx="1503">
                  <c:v>99.336330247520095</c:v>
                </c:pt>
                <c:pt idx="1504">
                  <c:v>99.262095190243699</c:v>
                </c:pt>
                <c:pt idx="1505">
                  <c:v>99.187786848584764</c:v>
                </c:pt>
                <c:pt idx="1506">
                  <c:v>99.113404981871</c:v>
                </c:pt>
                <c:pt idx="1507">
                  <c:v>99.038949348030741</c:v>
                </c:pt>
                <c:pt idx="1508">
                  <c:v>98.964419703581143</c:v>
                </c:pt>
                <c:pt idx="1509">
                  <c:v>98.889815803616159</c:v>
                </c:pt>
                <c:pt idx="1510">
                  <c:v>98.815137401794388</c:v>
                </c:pt>
                <c:pt idx="1511">
                  <c:v>98.740384250326841</c:v>
                </c:pt>
                <c:pt idx="1512">
                  <c:v>98.665556099964505</c:v>
                </c:pt>
                <c:pt idx="1513">
                  <c:v>98.590652699985796</c:v>
                </c:pt>
                <c:pt idx="1514">
                  <c:v>98.515673798183869</c:v>
                </c:pt>
                <c:pt idx="1515">
                  <c:v>98.440619140853784</c:v>
                </c:pt>
                <c:pt idx="1516">
                  <c:v>98.365488472779504</c:v>
                </c:pt>
                <c:pt idx="1517">
                  <c:v>98.290281537220778</c:v>
                </c:pt>
                <c:pt idx="1518">
                  <c:v>98.214998075899828</c:v>
                </c:pt>
                <c:pt idx="1519">
                  <c:v>98.139637828987944</c:v>
                </c:pt>
                <c:pt idx="1520">
                  <c:v>98.064200535091857</c:v>
                </c:pt>
                <c:pt idx="1521">
                  <c:v>97.988685931240013</c:v>
                </c:pt>
                <c:pt idx="1522">
                  <c:v>97.913093752868619</c:v>
                </c:pt>
                <c:pt idx="1523">
                  <c:v>97.837423733807611</c:v>
                </c:pt>
                <c:pt idx="1524">
                  <c:v>97.76167560626638</c:v>
                </c:pt>
                <c:pt idx="1525">
                  <c:v>97.685849100819382</c:v>
                </c:pt>
                <c:pt idx="1526">
                  <c:v>97.609943946391525</c:v>
                </c:pt>
                <c:pt idx="1527">
                  <c:v>97.533959870243478</c:v>
                </c:pt>
                <c:pt idx="1528">
                  <c:v>97.45789659795669</c:v>
                </c:pt>
                <c:pt idx="1529">
                  <c:v>97.381753853418303</c:v>
                </c:pt>
                <c:pt idx="1530">
                  <c:v>97.305531358805865</c:v>
                </c:pt>
                <c:pt idx="1531">
                  <c:v>97.22922883457187</c:v>
                </c:pt>
                <c:pt idx="1532">
                  <c:v>97.152845999428109</c:v>
                </c:pt>
                <c:pt idx="1533">
                  <c:v>97.076382570329798</c:v>
                </c:pt>
                <c:pt idx="1534">
                  <c:v>96.999838262459605</c:v>
                </c:pt>
                <c:pt idx="1535">
                  <c:v>96.923212789211348</c:v>
                </c:pt>
                <c:pt idx="1536">
                  <c:v>96.846505862173629</c:v>
                </c:pt>
                <c:pt idx="1537">
                  <c:v>96.769717191113173</c:v>
                </c:pt>
                <c:pt idx="1538">
                  <c:v>96.692846483958036</c:v>
                </c:pt>
                <c:pt idx="1539">
                  <c:v>96.615893446780547</c:v>
                </c:pt>
                <c:pt idx="1540">
                  <c:v>96.53885778378006</c:v>
                </c:pt>
                <c:pt idx="1541">
                  <c:v>96.461739197265516</c:v>
                </c:pt>
                <c:pt idx="1542">
                  <c:v>96.384537387637764</c:v>
                </c:pt>
                <c:pt idx="1543">
                  <c:v>96.30725205337167</c:v>
                </c:pt>
                <c:pt idx="1544">
                  <c:v>96.229882890998013</c:v>
                </c:pt>
                <c:pt idx="1545">
                  <c:v>96.15242959508511</c:v>
                </c:pt>
                <c:pt idx="1546">
                  <c:v>96.074891858220298</c:v>
                </c:pt>
                <c:pt idx="1547">
                  <c:v>95.997269370991091</c:v>
                </c:pt>
                <c:pt idx="1548">
                  <c:v>95.919561821966155</c:v>
                </c:pt>
                <c:pt idx="1549">
                  <c:v>95.841768897676033</c:v>
                </c:pt>
                <c:pt idx="1550">
                  <c:v>95.763890282593607</c:v>
                </c:pt>
                <c:pt idx="1551">
                  <c:v>95.685925659114346</c:v>
                </c:pt>
                <c:pt idx="1552">
                  <c:v>95.60787470753624</c:v>
                </c:pt>
                <c:pt idx="1553">
                  <c:v>95.529737106039562</c:v>
                </c:pt>
                <c:pt idx="1554">
                  <c:v>95.451512530666307</c:v>
                </c:pt>
                <c:pt idx="1555">
                  <c:v>95.373200655299385</c:v>
                </c:pt>
                <c:pt idx="1556">
                  <c:v>95.294801151641522</c:v>
                </c:pt>
                <c:pt idx="1557">
                  <c:v>95.216313689193953</c:v>
                </c:pt>
                <c:pt idx="1558">
                  <c:v>95.137737935234767</c:v>
                </c:pt>
                <c:pt idx="1559">
                  <c:v>95.059073554796996</c:v>
                </c:pt>
                <c:pt idx="1560">
                  <c:v>94.980320210646425</c:v>
                </c:pt>
                <c:pt idx="1561">
                  <c:v>94.901477563259107</c:v>
                </c:pt>
                <c:pt idx="1562">
                  <c:v>94.822545270798571</c:v>
                </c:pt>
                <c:pt idx="1563">
                  <c:v>94.743522989092739</c:v>
                </c:pt>
                <c:pt idx="1564">
                  <c:v>94.664410371610529</c:v>
                </c:pt>
                <c:pt idx="1565">
                  <c:v>94.585207069438141</c:v>
                </c:pt>
                <c:pt idx="1566">
                  <c:v>94.505912731255066</c:v>
                </c:pt>
                <c:pt idx="1567">
                  <c:v>94.426527003309715</c:v>
                </c:pt>
                <c:pt idx="1568">
                  <c:v>94.347049529394752</c:v>
                </c:pt>
                <c:pt idx="1569">
                  <c:v>94.267479950822107</c:v>
                </c:pt>
                <c:pt idx="1570">
                  <c:v>94.187817906397612</c:v>
                </c:pt>
                <c:pt idx="1571">
                  <c:v>94.108063032395322</c:v>
                </c:pt>
                <c:pt idx="1572">
                  <c:v>94.028214962531493</c:v>
                </c:pt>
                <c:pt idx="1573">
                  <c:v>93.948273327938182</c:v>
                </c:pt>
                <c:pt idx="1574">
                  <c:v>93.868237757136455</c:v>
                </c:pt>
                <c:pt idx="1575">
                  <c:v>93.788107876009335</c:v>
                </c:pt>
                <c:pt idx="1576">
                  <c:v>93.707883307774239</c:v>
                </c:pt>
                <c:pt idx="1577">
                  <c:v>93.62756367295512</c:v>
                </c:pt>
                <c:pt idx="1578">
                  <c:v>93.547148589354222</c:v>
                </c:pt>
                <c:pt idx="1579">
                  <c:v>93.466637672023381</c:v>
                </c:pt>
                <c:pt idx="1580">
                  <c:v>93.386030533234987</c:v>
                </c:pt>
                <c:pt idx="1581">
                  <c:v>93.305326782452497</c:v>
                </c:pt>
                <c:pt idx="1582">
                  <c:v>93.224526026300538</c:v>
                </c:pt>
                <c:pt idx="1583">
                  <c:v>93.143627868534622</c:v>
                </c:pt>
                <c:pt idx="1584">
                  <c:v>93.062631910010367</c:v>
                </c:pt>
                <c:pt idx="1585">
                  <c:v>92.981537748652357</c:v>
                </c:pt>
                <c:pt idx="1586">
                  <c:v>92.900344979422471</c:v>
                </c:pt>
                <c:pt idx="1587">
                  <c:v>92.819053194287804</c:v>
                </c:pt>
                <c:pt idx="1588">
                  <c:v>92.737661982188172</c:v>
                </c:pt>
                <c:pt idx="1589">
                  <c:v>92.656170929003039</c:v>
                </c:pt>
                <c:pt idx="1590">
                  <c:v>92.57457961751804</c:v>
                </c:pt>
                <c:pt idx="1591">
                  <c:v>92.492887627390985</c:v>
                </c:pt>
                <c:pt idx="1592">
                  <c:v>92.411094535117414</c:v>
                </c:pt>
                <c:pt idx="1593">
                  <c:v>92.329199913995552</c:v>
                </c:pt>
                <c:pt idx="1594">
                  <c:v>92.247203334090855</c:v>
                </c:pt>
                <c:pt idx="1595">
                  <c:v>92.165104362199955</c:v>
                </c:pt>
                <c:pt idx="1596">
                  <c:v>92.082902561814095</c:v>
                </c:pt>
                <c:pt idx="1597">
                  <c:v>92.00059749308204</c:v>
                </c:pt>
                <c:pt idx="1598">
                  <c:v>91.918188712772363</c:v>
                </c:pt>
                <c:pt idx="1599">
                  <c:v>91.83567577423527</c:v>
                </c:pt>
                <c:pt idx="1600">
                  <c:v>91.753058227363766</c:v>
                </c:pt>
                <c:pt idx="1601">
                  <c:v>91.670335618554262</c:v>
                </c:pt>
                <c:pt idx="1602">
                  <c:v>91.587507490666567</c:v>
                </c:pt>
                <c:pt idx="1603">
                  <c:v>91.504573382983324</c:v>
                </c:pt>
                <c:pt idx="1604">
                  <c:v>91.421532831168747</c:v>
                </c:pt>
                <c:pt idx="1605">
                  <c:v>91.338385367226792</c:v>
                </c:pt>
                <c:pt idx="1606">
                  <c:v>91.255130519458618</c:v>
                </c:pt>
                <c:pt idx="1607">
                  <c:v>91.171767812419446</c:v>
                </c:pt>
                <c:pt idx="1608">
                  <c:v>91.088296766874734</c:v>
                </c:pt>
                <c:pt idx="1609">
                  <c:v>91.004716899755635</c:v>
                </c:pt>
                <c:pt idx="1610">
                  <c:v>90.921027724113813</c:v>
                </c:pt>
                <c:pt idx="1611">
                  <c:v>90.837228749075479</c:v>
                </c:pt>
                <c:pt idx="1612">
                  <c:v>90.753319479794769</c:v>
                </c:pt>
                <c:pt idx="1613">
                  <c:v>90.669299417406336</c:v>
                </c:pt>
                <c:pt idx="1614">
                  <c:v>90.585168058977189</c:v>
                </c:pt>
                <c:pt idx="1615">
                  <c:v>90.500924897457821</c:v>
                </c:pt>
                <c:pt idx="1616">
                  <c:v>90.41656942163246</c:v>
                </c:pt>
                <c:pt idx="1617">
                  <c:v>90.332101116068571</c:v>
                </c:pt>
                <c:pt idx="1618">
                  <c:v>90.247519461065579</c:v>
                </c:pt>
                <c:pt idx="1619">
                  <c:v>90.162823932602649</c:v>
                </c:pt>
                <c:pt idx="1620">
                  <c:v>90.078014002285741</c:v>
                </c:pt>
                <c:pt idx="1621">
                  <c:v>89.993089137293694</c:v>
                </c:pt>
                <c:pt idx="1622">
                  <c:v>89.908048800323471</c:v>
                </c:pt>
                <c:pt idx="1623">
                  <c:v>89.822892449534507</c:v>
                </c:pt>
                <c:pt idx="1624">
                  <c:v>89.737619538492112</c:v>
                </c:pt>
                <c:pt idx="1625">
                  <c:v>89.652229516109941</c:v>
                </c:pt>
                <c:pt idx="1626">
                  <c:v>89.56672182659149</c:v>
                </c:pt>
                <c:pt idx="1627">
                  <c:v>89.481095909370637</c:v>
                </c:pt>
                <c:pt idx="1628">
                  <c:v>89.39535119905112</c:v>
                </c:pt>
                <c:pt idx="1629">
                  <c:v>89.3094871253451</c:v>
                </c:pt>
                <c:pt idx="1630">
                  <c:v>89.223503113010523</c:v>
                </c:pt>
                <c:pt idx="1631">
                  <c:v>89.137398581787565</c:v>
                </c:pt>
                <c:pt idx="1632">
                  <c:v>89.051172946333878</c:v>
                </c:pt>
                <c:pt idx="1633">
                  <c:v>88.964825616158777</c:v>
                </c:pt>
                <c:pt idx="1634">
                  <c:v>88.878355995556248</c:v>
                </c:pt>
                <c:pt idx="1635">
                  <c:v>88.79176348353684</c:v>
                </c:pt>
                <c:pt idx="1636">
                  <c:v>88.705047473758313</c:v>
                </c:pt>
                <c:pt idx="1637">
                  <c:v>88.618207354455109</c:v>
                </c:pt>
                <c:pt idx="1638">
                  <c:v>88.531242508366532</c:v>
                </c:pt>
                <c:pt idx="1639">
                  <c:v>88.444152312663746</c:v>
                </c:pt>
                <c:pt idx="1640">
                  <c:v>88.356936138875355</c:v>
                </c:pt>
                <c:pt idx="1641">
                  <c:v>88.269593352811768</c:v>
                </c:pt>
                <c:pt idx="1642">
                  <c:v>88.182123314488095</c:v>
                </c:pt>
                <c:pt idx="1643">
                  <c:v>88.094525378045773</c:v>
                </c:pt>
                <c:pt idx="1644">
                  <c:v>88.006798891672645</c:v>
                </c:pt>
                <c:pt idx="1645">
                  <c:v>87.918943197521713</c:v>
                </c:pt>
                <c:pt idx="1646">
                  <c:v>87.83095763162828</c:v>
                </c:pt>
                <c:pt idx="1647">
                  <c:v>87.742841523825675</c:v>
                </c:pt>
                <c:pt idx="1648">
                  <c:v>87.65459419765935</c:v>
                </c:pt>
                <c:pt idx="1649">
                  <c:v>87.566214970299427</c:v>
                </c:pt>
                <c:pt idx="1650">
                  <c:v>87.477703152451596</c:v>
                </c:pt>
                <c:pt idx="1651">
                  <c:v>87.389058048266335</c:v>
                </c:pt>
                <c:pt idx="1652">
                  <c:v>87.300278955246469</c:v>
                </c:pt>
                <c:pt idx="1653">
                  <c:v>87.211365164152923</c:v>
                </c:pt>
                <c:pt idx="1654">
                  <c:v>87.1223159589087</c:v>
                </c:pt>
                <c:pt idx="1655">
                  <c:v>87.033130616501069</c:v>
                </c:pt>
                <c:pt idx="1656">
                  <c:v>86.943808406881828</c:v>
                </c:pt>
                <c:pt idx="1657">
                  <c:v>86.854348592865634</c:v>
                </c:pt>
                <c:pt idx="1658">
                  <c:v>86.764750430026453</c:v>
                </c:pt>
                <c:pt idx="1659">
                  <c:v>86.675013166591867</c:v>
                </c:pt>
                <c:pt idx="1660">
                  <c:v>86.585136043335424</c:v>
                </c:pt>
                <c:pt idx="1661">
                  <c:v>86.495118293466803</c:v>
                </c:pt>
                <c:pt idx="1662">
                  <c:v>86.404959142519829</c:v>
                </c:pt>
                <c:pt idx="1663">
                  <c:v>86.31465780823828</c:v>
                </c:pt>
                <c:pt idx="1664">
                  <c:v>86.224213500459399</c:v>
                </c:pt>
                <c:pt idx="1665">
                  <c:v>86.13362542099506</c:v>
                </c:pt>
                <c:pt idx="1666">
                  <c:v>86.042892763510551</c:v>
                </c:pt>
                <c:pt idx="1667">
                  <c:v>85.952014713400885</c:v>
                </c:pt>
                <c:pt idx="1668">
                  <c:v>85.860990447664634</c:v>
                </c:pt>
                <c:pt idx="1669">
                  <c:v>85.769819134775091</c:v>
                </c:pt>
                <c:pt idx="1670">
                  <c:v>85.678499934548881</c:v>
                </c:pt>
                <c:pt idx="1671">
                  <c:v>85.587031998011781</c:v>
                </c:pt>
                <c:pt idx="1672">
                  <c:v>85.495414467261782</c:v>
                </c:pt>
                <c:pt idx="1673">
                  <c:v>85.403646475329239</c:v>
                </c:pt>
                <c:pt idx="1674">
                  <c:v>85.311727146034158</c:v>
                </c:pt>
                <c:pt idx="1675">
                  <c:v>85.219655593840372</c:v>
                </c:pt>
                <c:pt idx="1676">
                  <c:v>85.127430923706711</c:v>
                </c:pt>
                <c:pt idx="1677">
                  <c:v>85.035052230934909</c:v>
                </c:pt>
                <c:pt idx="1678">
                  <c:v>84.942518601014257</c:v>
                </c:pt>
                <c:pt idx="1679">
                  <c:v>84.849829109462945</c:v>
                </c:pt>
                <c:pt idx="1680">
                  <c:v>84.7569828216659</c:v>
                </c:pt>
                <c:pt idx="1681">
                  <c:v>84.663978792709102</c:v>
                </c:pt>
                <c:pt idx="1682">
                  <c:v>84.570816067210245</c:v>
                </c:pt>
                <c:pt idx="1683">
                  <c:v>84.477493679145681</c:v>
                </c:pt>
                <c:pt idx="1684">
                  <c:v>84.384010651673464</c:v>
                </c:pt>
                <c:pt idx="1685">
                  <c:v>84.290365996952488</c:v>
                </c:pt>
                <c:pt idx="1686">
                  <c:v>84.196558715957536</c:v>
                </c:pt>
                <c:pt idx="1687">
                  <c:v>84.102587798290116</c:v>
                </c:pt>
                <c:pt idx="1688">
                  <c:v>84.008452221985038</c:v>
                </c:pt>
                <c:pt idx="1689">
                  <c:v>83.914150953312529</c:v>
                </c:pt>
                <c:pt idx="1690">
                  <c:v>83.819682946575796</c:v>
                </c:pt>
                <c:pt idx="1691">
                  <c:v>83.725047143903907</c:v>
                </c:pt>
                <c:pt idx="1692">
                  <c:v>83.630242475039836</c:v>
                </c:pt>
                <c:pt idx="1693">
                  <c:v>83.535267857123543</c:v>
                </c:pt>
                <c:pt idx="1694">
                  <c:v>83.44012219446995</c:v>
                </c:pt>
                <c:pt idx="1695">
                  <c:v>83.344804378341578</c:v>
                </c:pt>
                <c:pt idx="1696">
                  <c:v>83.249313286715847</c:v>
                </c:pt>
                <c:pt idx="1697">
                  <c:v>83.153647784046726</c:v>
                </c:pt>
                <c:pt idx="1698">
                  <c:v>83.057806721020626</c:v>
                </c:pt>
                <c:pt idx="1699">
                  <c:v>82.961788934306369</c:v>
                </c:pt>
                <c:pt idx="1700">
                  <c:v>82.865593246298999</c:v>
                </c:pt>
                <c:pt idx="1701">
                  <c:v>82.769218464857332</c:v>
                </c:pt>
                <c:pt idx="1702">
                  <c:v>82.672663383034944</c:v>
                </c:pt>
                <c:pt idx="1703">
                  <c:v>82.575926778804458</c:v>
                </c:pt>
                <c:pt idx="1704">
                  <c:v>82.479007414774912</c:v>
                </c:pt>
                <c:pt idx="1705">
                  <c:v>82.38190403790199</c:v>
                </c:pt>
                <c:pt idx="1706">
                  <c:v>82.284615379190811</c:v>
                </c:pt>
                <c:pt idx="1707">
                  <c:v>82.187140153391212</c:v>
                </c:pt>
                <c:pt idx="1708">
                  <c:v>82.089477058685034</c:v>
                </c:pt>
                <c:pt idx="1709">
                  <c:v>81.991624776365398</c:v>
                </c:pt>
                <c:pt idx="1710">
                  <c:v>81.89358197050754</c:v>
                </c:pt>
                <c:pt idx="1711">
                  <c:v>81.795347287630975</c:v>
                </c:pt>
                <c:pt idx="1712">
                  <c:v>81.696919356352723</c:v>
                </c:pt>
                <c:pt idx="1713">
                  <c:v>81.598296787031273</c:v>
                </c:pt>
                <c:pt idx="1714">
                  <c:v>81.499478171400952</c:v>
                </c:pt>
                <c:pt idx="1715">
                  <c:v>81.400462082196427</c:v>
                </c:pt>
                <c:pt idx="1716">
                  <c:v>81.301247072766969</c:v>
                </c:pt>
                <c:pt idx="1717">
                  <c:v>81.201831676680072</c:v>
                </c:pt>
                <c:pt idx="1718">
                  <c:v>81.102214407314179</c:v>
                </c:pt>
                <c:pt idx="1719">
                  <c:v>81.002393757440004</c:v>
                </c:pt>
                <c:pt idx="1720">
                  <c:v>80.902368198790171</c:v>
                </c:pt>
                <c:pt idx="1721">
                  <c:v>80.802136181616589</c:v>
                </c:pt>
                <c:pt idx="1722">
                  <c:v>80.70169613423532</c:v>
                </c:pt>
                <c:pt idx="1723">
                  <c:v>80.601046462558301</c:v>
                </c:pt>
                <c:pt idx="1724">
                  <c:v>80.500185549611601</c:v>
                </c:pt>
                <c:pt idx="1725">
                  <c:v>80.399111755039598</c:v>
                </c:pt>
                <c:pt idx="1726">
                  <c:v>80.297823414594646</c:v>
                </c:pt>
                <c:pt idx="1727">
                  <c:v>80.19631883961155</c:v>
                </c:pt>
                <c:pt idx="1728">
                  <c:v>80.094596316466493</c:v>
                </c:pt>
                <c:pt idx="1729">
                  <c:v>79.992654106019629</c:v>
                </c:pt>
                <c:pt idx="1730">
                  <c:v>79.890490443040818</c:v>
                </c:pt>
                <c:pt idx="1731">
                  <c:v>79.78810353561785</c:v>
                </c:pt>
                <c:pt idx="1732">
                  <c:v>79.685491564546396</c:v>
                </c:pt>
                <c:pt idx="1733">
                  <c:v>79.582652682701109</c:v>
                </c:pt>
                <c:pt idx="1734">
                  <c:v>79.479585014386984</c:v>
                </c:pt>
                <c:pt idx="1735">
                  <c:v>79.376286654670338</c:v>
                </c:pt>
                <c:pt idx="1736">
                  <c:v>79.272755668688447</c:v>
                </c:pt>
                <c:pt idx="1737">
                  <c:v>79.168990090937058</c:v>
                </c:pt>
                <c:pt idx="1738">
                  <c:v>79.06498792453489</c:v>
                </c:pt>
                <c:pt idx="1739">
                  <c:v>78.960747140464122</c:v>
                </c:pt>
                <c:pt idx="1740">
                  <c:v>78.85626567678591</c:v>
                </c:pt>
                <c:pt idx="1741">
                  <c:v>78.751541437829829</c:v>
                </c:pt>
                <c:pt idx="1742">
                  <c:v>78.646572293356201</c:v>
                </c:pt>
                <c:pt idx="1743">
                  <c:v>78.541356077690153</c:v>
                </c:pt>
                <c:pt idx="1744">
                  <c:v>78.43589058882614</c:v>
                </c:pt>
                <c:pt idx="1745">
                  <c:v>78.330173587501648</c:v>
                </c:pt>
                <c:pt idx="1746">
                  <c:v>78.224202796238814</c:v>
                </c:pt>
                <c:pt idx="1747">
                  <c:v>78.117975898352412</c:v>
                </c:pt>
                <c:pt idx="1748">
                  <c:v>78.011490536922793</c:v>
                </c:pt>
                <c:pt idx="1749">
                  <c:v>77.904744313732195</c:v>
                </c:pt>
                <c:pt idx="1750">
                  <c:v>77.797734788162728</c:v>
                </c:pt>
                <c:pt idx="1751">
                  <c:v>77.690459476054244</c:v>
                </c:pt>
                <c:pt idx="1752">
                  <c:v>77.582915848520315</c:v>
                </c:pt>
                <c:pt idx="1753">
                  <c:v>77.475101330720236</c:v>
                </c:pt>
                <c:pt idx="1754">
                  <c:v>77.3670133005851</c:v>
                </c:pt>
                <c:pt idx="1755">
                  <c:v>77.258649087495684</c:v>
                </c:pt>
                <c:pt idx="1756">
                  <c:v>77.150005970909731</c:v>
                </c:pt>
                <c:pt idx="1757">
                  <c:v>77.041081178936381</c:v>
                </c:pt>
                <c:pt idx="1758">
                  <c:v>76.93187188685485</c:v>
                </c:pt>
                <c:pt idx="1759">
                  <c:v>76.822375215574894</c:v>
                </c:pt>
                <c:pt idx="1760">
                  <c:v>76.712588230035806</c:v>
                </c:pt>
                <c:pt idx="1761">
                  <c:v>76.602507937541105</c:v>
                </c:pt>
                <c:pt idx="1762">
                  <c:v>76.492131286025369</c:v>
                </c:pt>
                <c:pt idx="1763">
                  <c:v>76.38145516224985</c:v>
                </c:pt>
                <c:pt idx="1764">
                  <c:v>76.270476389923019</c:v>
                </c:pt>
                <c:pt idx="1765">
                  <c:v>76.159191727742098</c:v>
                </c:pt>
                <c:pt idx="1766">
                  <c:v>76.047597867351271</c:v>
                </c:pt>
                <c:pt idx="1767">
                  <c:v>75.935691431212121</c:v>
                </c:pt>
                <c:pt idx="1768">
                  <c:v>75.823468970381327</c:v>
                </c:pt>
                <c:pt idx="1769">
                  <c:v>75.710926962190626</c:v>
                </c:pt>
                <c:pt idx="1770">
                  <c:v>75.598061807823328</c:v>
                </c:pt>
                <c:pt idx="1771">
                  <c:v>75.48486982978163</c:v>
                </c:pt>
                <c:pt idx="1772">
                  <c:v>75.371347269238314</c:v>
                </c:pt>
                <c:pt idx="1773">
                  <c:v>75.257490283266137</c:v>
                </c:pt>
                <c:pt idx="1774">
                  <c:v>75.143294941937611</c:v>
                </c:pt>
                <c:pt idx="1775">
                  <c:v>75.028757225287393</c:v>
                </c:pt>
                <c:pt idx="1776">
                  <c:v>74.913873020128946</c:v>
                </c:pt>
                <c:pt idx="1777">
                  <c:v>74.798638116716504</c:v>
                </c:pt>
                <c:pt idx="1778">
                  <c:v>74.683048205242656</c:v>
                </c:pt>
                <c:pt idx="1779">
                  <c:v>74.567098872161125</c:v>
                </c:pt>
                <c:pt idx="1780">
                  <c:v>74.45078559632357</c:v>
                </c:pt>
                <c:pt idx="1781">
                  <c:v>74.334103744918352</c:v>
                </c:pt>
                <c:pt idx="1782">
                  <c:v>74.217048569198042</c:v>
                </c:pt>
                <c:pt idx="1783">
                  <c:v>74.099615199981727</c:v>
                </c:pt>
                <c:pt idx="1784">
                  <c:v>73.981798642916743</c:v>
                </c:pt>
                <c:pt idx="1785">
                  <c:v>73.863593773483188</c:v>
                </c:pt>
                <c:pt idx="1786">
                  <c:v>73.744995331723402</c:v>
                </c:pt>
                <c:pt idx="1787">
                  <c:v>73.625997916676738</c:v>
                </c:pt>
                <c:pt idx="1788">
                  <c:v>73.506595980498517</c:v>
                </c:pt>
                <c:pt idx="1789">
                  <c:v>73.386783822239877</c:v>
                </c:pt>
                <c:pt idx="1790">
                  <c:v>73.266555581263489</c:v>
                </c:pt>
                <c:pt idx="1791">
                  <c:v>73.145905230267545</c:v>
                </c:pt>
                <c:pt idx="1792">
                  <c:v>73.024826567887814</c:v>
                </c:pt>
                <c:pt idx="1793">
                  <c:v>72.903313210845056</c:v>
                </c:pt>
                <c:pt idx="1794">
                  <c:v>72.781358585601396</c:v>
                </c:pt>
                <c:pt idx="1795">
                  <c:v>72.658955919486218</c:v>
                </c:pt>
                <c:pt idx="1796">
                  <c:v>72.536098231247763</c:v>
                </c:pt>
                <c:pt idx="1797">
                  <c:v>72.412778320982483</c:v>
                </c:pt>
                <c:pt idx="1798">
                  <c:v>72.288988759388971</c:v>
                </c:pt>
                <c:pt idx="1799">
                  <c:v>72.164721876287899</c:v>
                </c:pt>
                <c:pt idx="1800">
                  <c:v>72.039969748342969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73-4698-8008-1B9ABB0FD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500416"/>
        <c:axId val="652996960"/>
      </c:scatterChart>
      <c:scatterChart>
        <c:scatterStyle val="smoothMarker"/>
        <c:varyColors val="0"/>
        <c:ser>
          <c:idx val="1"/>
          <c:order val="1"/>
          <c:tx>
            <c:v>Terminal Voltage</c:v>
          </c:tx>
          <c:spPr>
            <a:ln w="19050" cap="rnd">
              <a:solidFill>
                <a:srgbClr val="0033CC"/>
              </a:solidFill>
              <a:round/>
            </a:ln>
            <a:effectLst/>
          </c:spPr>
          <c:marker>
            <c:symbol val="none"/>
          </c:marker>
          <c:xVal>
            <c:numRef>
              <c:f>'Non-ideal model'!$A$8:$A$1808</c:f>
              <c:numCache>
                <c:formatCode>0.0000</c:formatCode>
                <c:ptCount val="1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</c:numCache>
            </c:numRef>
          </c:xVal>
          <c:yVal>
            <c:numRef>
              <c:f>'Non-ideal model'!$M$8:$M$1808</c:f>
              <c:numCache>
                <c:formatCode>0.00</c:formatCode>
                <c:ptCount val="1801"/>
                <c:pt idx="0">
                  <c:v>168.77884103504431</c:v>
                </c:pt>
                <c:pt idx="1">
                  <c:v>168.73896878777552</c:v>
                </c:pt>
                <c:pt idx="2">
                  <c:v>168.69908639711369</c:v>
                </c:pt>
                <c:pt idx="3">
                  <c:v>168.65919385514326</c:v>
                </c:pt>
                <c:pt idx="4">
                  <c:v>168.61929115393818</c:v>
                </c:pt>
                <c:pt idx="5">
                  <c:v>168.57937828556211</c:v>
                </c:pt>
                <c:pt idx="6">
                  <c:v>168.5394552420681</c:v>
                </c:pt>
                <c:pt idx="7">
                  <c:v>168.4995220154988</c:v>
                </c:pt>
                <c:pt idx="8">
                  <c:v>168.45957859788635</c:v>
                </c:pt>
                <c:pt idx="9">
                  <c:v>168.41962498125238</c:v>
                </c:pt>
                <c:pt idx="10">
                  <c:v>168.37966115760798</c:v>
                </c:pt>
                <c:pt idx="11">
                  <c:v>168.33968711895372</c:v>
                </c:pt>
                <c:pt idx="12">
                  <c:v>168.29970285727956</c:v>
                </c:pt>
                <c:pt idx="13">
                  <c:v>168.25970836456483</c:v>
                </c:pt>
                <c:pt idx="14">
                  <c:v>168.21970363277839</c:v>
                </c:pt>
                <c:pt idx="15">
                  <c:v>168.17968865387832</c:v>
                </c:pt>
                <c:pt idx="16">
                  <c:v>168.13966341981208</c:v>
                </c:pt>
                <c:pt idx="17">
                  <c:v>168.09962792251653</c:v>
                </c:pt>
                <c:pt idx="18">
                  <c:v>168.05958215391777</c:v>
                </c:pt>
                <c:pt idx="19">
                  <c:v>168.01952610593119</c:v>
                </c:pt>
                <c:pt idx="20">
                  <c:v>167.97945977046152</c:v>
                </c:pt>
                <c:pt idx="21">
                  <c:v>167.93938313940262</c:v>
                </c:pt>
                <c:pt idx="22">
                  <c:v>167.89929620463769</c:v>
                </c:pt>
                <c:pt idx="23">
                  <c:v>167.85919895803909</c:v>
                </c:pt>
                <c:pt idx="24">
                  <c:v>167.81909139146833</c:v>
                </c:pt>
                <c:pt idx="25">
                  <c:v>167.77897349677616</c:v>
                </c:pt>
                <c:pt idx="26">
                  <c:v>167.73884526580244</c:v>
                </c:pt>
                <c:pt idx="27">
                  <c:v>167.69870669037616</c:v>
                </c:pt>
                <c:pt idx="28">
                  <c:v>167.65855776231538</c:v>
                </c:pt>
                <c:pt idx="29">
                  <c:v>167.61839847342731</c:v>
                </c:pt>
                <c:pt idx="30">
                  <c:v>167.57822881550823</c:v>
                </c:pt>
                <c:pt idx="31">
                  <c:v>167.53804878034336</c:v>
                </c:pt>
                <c:pt idx="32">
                  <c:v>167.4978583597071</c:v>
                </c:pt>
                <c:pt idx="33">
                  <c:v>167.45765754536271</c:v>
                </c:pt>
                <c:pt idx="34">
                  <c:v>167.41744632906253</c:v>
                </c:pt>
                <c:pt idx="35">
                  <c:v>167.37722470254781</c:v>
                </c:pt>
                <c:pt idx="36">
                  <c:v>167.33699265754871</c:v>
                </c:pt>
                <c:pt idx="37">
                  <c:v>167.29675018578439</c:v>
                </c:pt>
                <c:pt idx="38">
                  <c:v>167.25649727896288</c:v>
                </c:pt>
                <c:pt idx="39">
                  <c:v>167.21623392878112</c:v>
                </c:pt>
                <c:pt idx="40">
                  <c:v>167.17596012692479</c:v>
                </c:pt>
                <c:pt idx="41">
                  <c:v>167.13567586506852</c:v>
                </c:pt>
                <c:pt idx="42">
                  <c:v>167.09538113487574</c:v>
                </c:pt>
                <c:pt idx="43">
                  <c:v>167.05507592799864</c:v>
                </c:pt>
                <c:pt idx="44">
                  <c:v>167.01476023607819</c:v>
                </c:pt>
                <c:pt idx="45">
                  <c:v>166.97443405074409</c:v>
                </c:pt>
                <c:pt idx="46">
                  <c:v>166.93409736361485</c:v>
                </c:pt>
                <c:pt idx="47">
                  <c:v>166.89375016629762</c:v>
                </c:pt>
                <c:pt idx="48">
                  <c:v>166.85339245038824</c:v>
                </c:pt>
                <c:pt idx="49">
                  <c:v>166.81302420747122</c:v>
                </c:pt>
                <c:pt idx="50">
                  <c:v>166.77264542911976</c:v>
                </c:pt>
                <c:pt idx="51">
                  <c:v>166.73225610689559</c:v>
                </c:pt>
                <c:pt idx="52">
                  <c:v>166.69185623234912</c:v>
                </c:pt>
                <c:pt idx="53">
                  <c:v>166.65144579701933</c:v>
                </c:pt>
                <c:pt idx="54">
                  <c:v>166.61102479243371</c:v>
                </c:pt>
                <c:pt idx="55">
                  <c:v>166.57059321010834</c:v>
                </c:pt>
                <c:pt idx="56">
                  <c:v>166.53015104154778</c:v>
                </c:pt>
                <c:pt idx="57">
                  <c:v>166.4896982782451</c:v>
                </c:pt>
                <c:pt idx="58">
                  <c:v>166.4492349116818</c:v>
                </c:pt>
                <c:pt idx="59">
                  <c:v>166.4087609333279</c:v>
                </c:pt>
                <c:pt idx="60">
                  <c:v>166.36827633464173</c:v>
                </c:pt>
                <c:pt idx="61">
                  <c:v>166.32778110707019</c:v>
                </c:pt>
                <c:pt idx="62">
                  <c:v>166.28727524204842</c:v>
                </c:pt>
                <c:pt idx="63">
                  <c:v>166.24675873099997</c:v>
                </c:pt>
                <c:pt idx="64">
                  <c:v>166.20623156533671</c:v>
                </c:pt>
                <c:pt idx="65">
                  <c:v>166.16569373645879</c:v>
                </c:pt>
                <c:pt idx="66">
                  <c:v>166.12514523575479</c:v>
                </c:pt>
                <c:pt idx="67">
                  <c:v>166.08458605460143</c:v>
                </c:pt>
                <c:pt idx="68">
                  <c:v>166.0440161843637</c:v>
                </c:pt>
                <c:pt idx="69">
                  <c:v>166.00343561639482</c:v>
                </c:pt>
                <c:pt idx="70">
                  <c:v>165.96284434203622</c:v>
                </c:pt>
                <c:pt idx="71">
                  <c:v>165.92224235261756</c:v>
                </c:pt>
                <c:pt idx="72">
                  <c:v>165.88162963945652</c:v>
                </c:pt>
                <c:pt idx="73">
                  <c:v>165.84100619385902</c:v>
                </c:pt>
                <c:pt idx="74">
                  <c:v>165.80037200711911</c:v>
                </c:pt>
                <c:pt idx="75">
                  <c:v>165.75972707051884</c:v>
                </c:pt>
                <c:pt idx="76">
                  <c:v>165.71907137532835</c:v>
                </c:pt>
                <c:pt idx="77">
                  <c:v>165.67840491280589</c:v>
                </c:pt>
                <c:pt idx="78">
                  <c:v>165.63772767419763</c:v>
                </c:pt>
                <c:pt idx="79">
                  <c:v>165.59703965073783</c:v>
                </c:pt>
                <c:pt idx="80">
                  <c:v>165.55634083364859</c:v>
                </c:pt>
                <c:pt idx="81">
                  <c:v>165.51563121414009</c:v>
                </c:pt>
                <c:pt idx="82">
                  <c:v>165.47491078341037</c:v>
                </c:pt>
                <c:pt idx="83">
                  <c:v>165.43417953264543</c:v>
                </c:pt>
                <c:pt idx="84">
                  <c:v>165.39343745301903</c:v>
                </c:pt>
                <c:pt idx="85">
                  <c:v>165.35268453569293</c:v>
                </c:pt>
                <c:pt idx="86">
                  <c:v>165.3119207718166</c:v>
                </c:pt>
                <c:pt idx="87">
                  <c:v>165.27114615252742</c:v>
                </c:pt>
                <c:pt idx="88">
                  <c:v>165.23036066895042</c:v>
                </c:pt>
                <c:pt idx="89">
                  <c:v>165.18956431219854</c:v>
                </c:pt>
                <c:pt idx="90">
                  <c:v>165.14875707337239</c:v>
                </c:pt>
                <c:pt idx="91">
                  <c:v>165.10793894356024</c:v>
                </c:pt>
                <c:pt idx="92">
                  <c:v>165.0671099138381</c:v>
                </c:pt>
                <c:pt idx="93">
                  <c:v>165.02626997526966</c:v>
                </c:pt>
                <c:pt idx="94">
                  <c:v>164.98541911890626</c:v>
                </c:pt>
                <c:pt idx="95">
                  <c:v>164.94455733578678</c:v>
                </c:pt>
                <c:pt idx="96">
                  <c:v>164.90368461693777</c:v>
                </c:pt>
                <c:pt idx="97">
                  <c:v>164.86280095337327</c:v>
                </c:pt>
                <c:pt idx="98">
                  <c:v>164.82190633609497</c:v>
                </c:pt>
                <c:pt idx="99">
                  <c:v>164.781000756092</c:v>
                </c:pt>
                <c:pt idx="100">
                  <c:v>164.740084204341</c:v>
                </c:pt>
                <c:pt idx="101">
                  <c:v>164.69915667180609</c:v>
                </c:pt>
                <c:pt idx="102">
                  <c:v>164.65821814943885</c:v>
                </c:pt>
                <c:pt idx="103">
                  <c:v>164.61726862817821</c:v>
                </c:pt>
                <c:pt idx="104">
                  <c:v>164.57630809895056</c:v>
                </c:pt>
                <c:pt idx="105">
                  <c:v>164.53533655266966</c:v>
                </c:pt>
                <c:pt idx="106">
                  <c:v>164.49435398023664</c:v>
                </c:pt>
                <c:pt idx="107">
                  <c:v>164.45336037253989</c:v>
                </c:pt>
                <c:pt idx="108">
                  <c:v>164.41235572045508</c:v>
                </c:pt>
                <c:pt idx="109">
                  <c:v>164.37134001484529</c:v>
                </c:pt>
                <c:pt idx="110">
                  <c:v>164.33031324656065</c:v>
                </c:pt>
                <c:pt idx="111">
                  <c:v>164.28927540643872</c:v>
                </c:pt>
                <c:pt idx="112">
                  <c:v>164.24822648530406</c:v>
                </c:pt>
                <c:pt idx="113">
                  <c:v>164.20716647396856</c:v>
                </c:pt>
                <c:pt idx="114">
                  <c:v>164.16609536323114</c:v>
                </c:pt>
                <c:pt idx="115">
                  <c:v>164.12501314387791</c:v>
                </c:pt>
                <c:pt idx="116">
                  <c:v>164.08391980668208</c:v>
                </c:pt>
                <c:pt idx="117">
                  <c:v>164.04281534240388</c:v>
                </c:pt>
                <c:pt idx="118">
                  <c:v>164.00169974179062</c:v>
                </c:pt>
                <c:pt idx="119">
                  <c:v>163.9605729955766</c:v>
                </c:pt>
                <c:pt idx="120">
                  <c:v>163.91943509448316</c:v>
                </c:pt>
                <c:pt idx="121">
                  <c:v>163.87828602921857</c:v>
                </c:pt>
                <c:pt idx="122">
                  <c:v>163.83712579047804</c:v>
                </c:pt>
                <c:pt idx="123">
                  <c:v>163.79595436894371</c:v>
                </c:pt>
                <c:pt idx="124">
                  <c:v>163.75477175528459</c:v>
                </c:pt>
                <c:pt idx="125">
                  <c:v>163.71357794015663</c:v>
                </c:pt>
                <c:pt idx="126">
                  <c:v>163.6723729142025</c:v>
                </c:pt>
                <c:pt idx="127">
                  <c:v>163.63115666805174</c:v>
                </c:pt>
                <c:pt idx="128">
                  <c:v>163.58992919232071</c:v>
                </c:pt>
                <c:pt idx="129">
                  <c:v>163.54869047761241</c:v>
                </c:pt>
                <c:pt idx="130">
                  <c:v>163.50744051451676</c:v>
                </c:pt>
                <c:pt idx="131">
                  <c:v>163.4661792936102</c:v>
                </c:pt>
                <c:pt idx="132">
                  <c:v>163.42490680545598</c:v>
                </c:pt>
                <c:pt idx="133">
                  <c:v>163.38362304060391</c:v>
                </c:pt>
                <c:pt idx="134">
                  <c:v>163.34232798959047</c:v>
                </c:pt>
                <c:pt idx="135">
                  <c:v>163.30102164293879</c:v>
                </c:pt>
                <c:pt idx="136">
                  <c:v>163.25970399115849</c:v>
                </c:pt>
                <c:pt idx="137">
                  <c:v>163.21837502474571</c:v>
                </c:pt>
                <c:pt idx="138">
                  <c:v>163.17703473418325</c:v>
                </c:pt>
                <c:pt idx="139">
                  <c:v>163.13568310994029</c:v>
                </c:pt>
                <c:pt idx="140">
                  <c:v>163.09432014247247</c:v>
                </c:pt>
                <c:pt idx="141">
                  <c:v>163.05294582222194</c:v>
                </c:pt>
                <c:pt idx="142">
                  <c:v>163.01156013961722</c:v>
                </c:pt>
                <c:pt idx="143">
                  <c:v>162.97016308507321</c:v>
                </c:pt>
                <c:pt idx="144">
                  <c:v>162.92875464899112</c:v>
                </c:pt>
                <c:pt idx="145">
                  <c:v>162.88733482175863</c:v>
                </c:pt>
                <c:pt idx="146">
                  <c:v>162.84590359374957</c:v>
                </c:pt>
                <c:pt idx="147">
                  <c:v>162.80446095532412</c:v>
                </c:pt>
                <c:pt idx="148">
                  <c:v>162.7630068968287</c:v>
                </c:pt>
                <c:pt idx="149">
                  <c:v>162.7215414085959</c:v>
                </c:pt>
                <c:pt idx="150">
                  <c:v>162.68006448094459</c:v>
                </c:pt>
                <c:pt idx="151">
                  <c:v>162.63857610417972</c:v>
                </c:pt>
                <c:pt idx="152">
                  <c:v>162.59707626859242</c:v>
                </c:pt>
                <c:pt idx="153">
                  <c:v>162.5555649644599</c:v>
                </c:pt>
                <c:pt idx="154">
                  <c:v>162.5140421820455</c:v>
                </c:pt>
                <c:pt idx="155">
                  <c:v>162.47250791159854</c:v>
                </c:pt>
                <c:pt idx="156">
                  <c:v>162.43096214335441</c:v>
                </c:pt>
                <c:pt idx="157">
                  <c:v>162.38940486753444</c:v>
                </c:pt>
                <c:pt idx="158">
                  <c:v>162.34783607434599</c:v>
                </c:pt>
                <c:pt idx="159">
                  <c:v>162.30625575398238</c:v>
                </c:pt>
                <c:pt idx="160">
                  <c:v>162.26466389662275</c:v>
                </c:pt>
                <c:pt idx="161">
                  <c:v>162.22306049243215</c:v>
                </c:pt>
                <c:pt idx="162">
                  <c:v>162.18144553156156</c:v>
                </c:pt>
                <c:pt idx="163">
                  <c:v>162.13981900414765</c:v>
                </c:pt>
                <c:pt idx="164">
                  <c:v>162.098180900313</c:v>
                </c:pt>
                <c:pt idx="165">
                  <c:v>162.05653121016584</c:v>
                </c:pt>
                <c:pt idx="166">
                  <c:v>162.01486992380023</c:v>
                </c:pt>
                <c:pt idx="167">
                  <c:v>161.97319703129597</c:v>
                </c:pt>
                <c:pt idx="168">
                  <c:v>161.93151252271844</c:v>
                </c:pt>
                <c:pt idx="169">
                  <c:v>161.88981638811873</c:v>
                </c:pt>
                <c:pt idx="170">
                  <c:v>161.84810861753351</c:v>
                </c:pt>
                <c:pt idx="171">
                  <c:v>161.80638920098502</c:v>
                </c:pt>
                <c:pt idx="172">
                  <c:v>161.76465812848119</c:v>
                </c:pt>
                <c:pt idx="173">
                  <c:v>161.72291539001529</c:v>
                </c:pt>
                <c:pt idx="174">
                  <c:v>161.68116097556631</c:v>
                </c:pt>
                <c:pt idx="175">
                  <c:v>161.6393948750985</c:v>
                </c:pt>
                <c:pt idx="176">
                  <c:v>161.59761707856171</c:v>
                </c:pt>
                <c:pt idx="177">
                  <c:v>161.55582757589113</c:v>
                </c:pt>
                <c:pt idx="178">
                  <c:v>161.51402635700731</c:v>
                </c:pt>
                <c:pt idx="179">
                  <c:v>161.47221341181626</c:v>
                </c:pt>
                <c:pt idx="180">
                  <c:v>161.43038873020919</c:v>
                </c:pt>
                <c:pt idx="181">
                  <c:v>161.38855230206264</c:v>
                </c:pt>
                <c:pt idx="182">
                  <c:v>161.34670411723852</c:v>
                </c:pt>
                <c:pt idx="183">
                  <c:v>161.30484416558377</c:v>
                </c:pt>
                <c:pt idx="184">
                  <c:v>161.26297243693074</c:v>
                </c:pt>
                <c:pt idx="185">
                  <c:v>161.22108892109677</c:v>
                </c:pt>
                <c:pt idx="186">
                  <c:v>161.17919360788446</c:v>
                </c:pt>
                <c:pt idx="187">
                  <c:v>161.13728648708152</c:v>
                </c:pt>
                <c:pt idx="188">
                  <c:v>161.0953675484607</c:v>
                </c:pt>
                <c:pt idx="189">
                  <c:v>161.05343678177977</c:v>
                </c:pt>
                <c:pt idx="190">
                  <c:v>161.01149417678158</c:v>
                </c:pt>
                <c:pt idx="191">
                  <c:v>160.96953972319395</c:v>
                </c:pt>
                <c:pt idx="192">
                  <c:v>160.92757341072962</c:v>
                </c:pt>
                <c:pt idx="193">
                  <c:v>160.88559522908636</c:v>
                </c:pt>
                <c:pt idx="194">
                  <c:v>160.84360516794669</c:v>
                </c:pt>
                <c:pt idx="195">
                  <c:v>160.80160321697807</c:v>
                </c:pt>
                <c:pt idx="196">
                  <c:v>160.75958936583282</c:v>
                </c:pt>
                <c:pt idx="197">
                  <c:v>160.71756360414798</c:v>
                </c:pt>
                <c:pt idx="198">
                  <c:v>160.67552592154544</c:v>
                </c:pt>
                <c:pt idx="199">
                  <c:v>160.63347630763175</c:v>
                </c:pt>
                <c:pt idx="200">
                  <c:v>160.59141475199823</c:v>
                </c:pt>
                <c:pt idx="201">
                  <c:v>160.5493412442209</c:v>
                </c:pt>
                <c:pt idx="202">
                  <c:v>160.50725577386027</c:v>
                </c:pt>
                <c:pt idx="203">
                  <c:v>160.46515833046163</c:v>
                </c:pt>
                <c:pt idx="204">
                  <c:v>160.42304890355476</c:v>
                </c:pt>
                <c:pt idx="205">
                  <c:v>160.38092748265402</c:v>
                </c:pt>
                <c:pt idx="206">
                  <c:v>160.33879405725827</c:v>
                </c:pt>
                <c:pt idx="207">
                  <c:v>160.29664861685083</c:v>
                </c:pt>
                <c:pt idx="208">
                  <c:v>160.2544911508995</c:v>
                </c:pt>
                <c:pt idx="209">
                  <c:v>160.21232164885649</c:v>
                </c:pt>
                <c:pt idx="210">
                  <c:v>160.17014010015833</c:v>
                </c:pt>
                <c:pt idx="211">
                  <c:v>160.12794649422611</c:v>
                </c:pt>
                <c:pt idx="212">
                  <c:v>160.08574082046493</c:v>
                </c:pt>
                <c:pt idx="213">
                  <c:v>160.04352306826445</c:v>
                </c:pt>
                <c:pt idx="214">
                  <c:v>160.0012932269984</c:v>
                </c:pt>
                <c:pt idx="215">
                  <c:v>159.95905128602482</c:v>
                </c:pt>
                <c:pt idx="216">
                  <c:v>159.91679723468593</c:v>
                </c:pt>
                <c:pt idx="217">
                  <c:v>159.87453106230811</c:v>
                </c:pt>
                <c:pt idx="218">
                  <c:v>159.83225275820178</c:v>
                </c:pt>
                <c:pt idx="219">
                  <c:v>159.78996231166153</c:v>
                </c:pt>
                <c:pt idx="220">
                  <c:v>159.74765971196601</c:v>
                </c:pt>
                <c:pt idx="221">
                  <c:v>159.70534494837784</c:v>
                </c:pt>
                <c:pt idx="222">
                  <c:v>159.66301801014365</c:v>
                </c:pt>
                <c:pt idx="223">
                  <c:v>159.62067888649403</c:v>
                </c:pt>
                <c:pt idx="224">
                  <c:v>159.57832756664348</c:v>
                </c:pt>
                <c:pt idx="225">
                  <c:v>159.5359640397904</c:v>
                </c:pt>
                <c:pt idx="226">
                  <c:v>159.49358829511698</c:v>
                </c:pt>
                <c:pt idx="227">
                  <c:v>159.45120032178932</c:v>
                </c:pt>
                <c:pt idx="228">
                  <c:v>159.40880010895725</c:v>
                </c:pt>
                <c:pt idx="229">
                  <c:v>159.36638764575434</c:v>
                </c:pt>
                <c:pt idx="230">
                  <c:v>159.32396292129792</c:v>
                </c:pt>
                <c:pt idx="231">
                  <c:v>159.28152592468891</c:v>
                </c:pt>
                <c:pt idx="232">
                  <c:v>159.23907664501203</c:v>
                </c:pt>
                <c:pt idx="233">
                  <c:v>159.19661507133543</c:v>
                </c:pt>
                <c:pt idx="234">
                  <c:v>159.15414119271097</c:v>
                </c:pt>
                <c:pt idx="235">
                  <c:v>159.111654998174</c:v>
                </c:pt>
                <c:pt idx="236">
                  <c:v>159.06915647674336</c:v>
                </c:pt>
                <c:pt idx="237">
                  <c:v>159.02664561742142</c:v>
                </c:pt>
                <c:pt idx="238">
                  <c:v>158.98412240919396</c:v>
                </c:pt>
                <c:pt idx="239">
                  <c:v>158.94158684103013</c:v>
                </c:pt>
                <c:pt idx="240">
                  <c:v>158.89903890188242</c:v>
                </c:pt>
                <c:pt idx="241">
                  <c:v>158.85647858068677</c:v>
                </c:pt>
                <c:pt idx="242">
                  <c:v>158.81390586636229</c:v>
                </c:pt>
                <c:pt idx="243">
                  <c:v>158.77132074781144</c:v>
                </c:pt>
                <c:pt idx="244">
                  <c:v>158.72872321391981</c:v>
                </c:pt>
                <c:pt idx="245">
                  <c:v>158.6861132535563</c:v>
                </c:pt>
                <c:pt idx="246">
                  <c:v>158.64349085557288</c:v>
                </c:pt>
                <c:pt idx="247">
                  <c:v>158.60085600880458</c:v>
                </c:pt>
                <c:pt idx="248">
                  <c:v>158.55820870206966</c:v>
                </c:pt>
                <c:pt idx="249">
                  <c:v>158.51554892416931</c:v>
                </c:pt>
                <c:pt idx="250">
                  <c:v>158.47287666388777</c:v>
                </c:pt>
                <c:pt idx="251">
                  <c:v>158.43019190999226</c:v>
                </c:pt>
                <c:pt idx="252">
                  <c:v>158.38749465123288</c:v>
                </c:pt>
                <c:pt idx="253">
                  <c:v>158.34478487634269</c:v>
                </c:pt>
                <c:pt idx="254">
                  <c:v>158.30206257403756</c:v>
                </c:pt>
                <c:pt idx="255">
                  <c:v>158.25932773301625</c:v>
                </c:pt>
                <c:pt idx="256">
                  <c:v>158.21658034196025</c:v>
                </c:pt>
                <c:pt idx="257">
                  <c:v>158.17382038953383</c:v>
                </c:pt>
                <c:pt idx="258">
                  <c:v>158.13104786438393</c:v>
                </c:pt>
                <c:pt idx="259">
                  <c:v>158.08826275514019</c:v>
                </c:pt>
                <c:pt idx="260">
                  <c:v>158.04546505041498</c:v>
                </c:pt>
                <c:pt idx="261">
                  <c:v>158.00265473880307</c:v>
                </c:pt>
                <c:pt idx="262">
                  <c:v>157.95983180888203</c:v>
                </c:pt>
                <c:pt idx="263">
                  <c:v>157.91699624921176</c:v>
                </c:pt>
                <c:pt idx="264">
                  <c:v>157.87414804833477</c:v>
                </c:pt>
                <c:pt idx="265">
                  <c:v>157.83128719477594</c:v>
                </c:pt>
                <c:pt idx="266">
                  <c:v>157.78841367704266</c:v>
                </c:pt>
                <c:pt idx="267">
                  <c:v>157.74552748362458</c:v>
                </c:pt>
                <c:pt idx="268">
                  <c:v>157.70262860299377</c:v>
                </c:pt>
                <c:pt idx="269">
                  <c:v>157.65971702360457</c:v>
                </c:pt>
                <c:pt idx="270">
                  <c:v>157.61679273389359</c:v>
                </c:pt>
                <c:pt idx="271">
                  <c:v>157.57385572227963</c:v>
                </c:pt>
                <c:pt idx="272">
                  <c:v>157.53090597716371</c:v>
                </c:pt>
                <c:pt idx="273">
                  <c:v>157.487943486929</c:v>
                </c:pt>
                <c:pt idx="274">
                  <c:v>157.44496823994072</c:v>
                </c:pt>
                <c:pt idx="275">
                  <c:v>157.40198022454621</c:v>
                </c:pt>
                <c:pt idx="276">
                  <c:v>157.35897942907479</c:v>
                </c:pt>
                <c:pt idx="277">
                  <c:v>157.31596584183788</c:v>
                </c:pt>
                <c:pt idx="278">
                  <c:v>157.27293945112871</c:v>
                </c:pt>
                <c:pt idx="279">
                  <c:v>157.2299002452225</c:v>
                </c:pt>
                <c:pt idx="280">
                  <c:v>157.18684821237625</c:v>
                </c:pt>
                <c:pt idx="281">
                  <c:v>157.14378334082897</c:v>
                </c:pt>
                <c:pt idx="282">
                  <c:v>157.10070561880127</c:v>
                </c:pt>
                <c:pt idx="283">
                  <c:v>157.05761503449565</c:v>
                </c:pt>
                <c:pt idx="284">
                  <c:v>157.01451157609625</c:v>
                </c:pt>
                <c:pt idx="285">
                  <c:v>156.97139523176887</c:v>
                </c:pt>
                <c:pt idx="286">
                  <c:v>156.92826598966096</c:v>
                </c:pt>
                <c:pt idx="287">
                  <c:v>156.88512383790163</c:v>
                </c:pt>
                <c:pt idx="288">
                  <c:v>156.84196876460143</c:v>
                </c:pt>
                <c:pt idx="289">
                  <c:v>156.79880075785249</c:v>
                </c:pt>
                <c:pt idx="290">
                  <c:v>156.75561980572837</c:v>
                </c:pt>
                <c:pt idx="291">
                  <c:v>156.71242589628409</c:v>
                </c:pt>
                <c:pt idx="292">
                  <c:v>156.66921901755606</c:v>
                </c:pt>
                <c:pt idx="293">
                  <c:v>156.62599915756203</c:v>
                </c:pt>
                <c:pt idx="294">
                  <c:v>156.582766304301</c:v>
                </c:pt>
                <c:pt idx="295">
                  <c:v>156.53952044575337</c:v>
                </c:pt>
                <c:pt idx="296">
                  <c:v>156.4962615698806</c:v>
                </c:pt>
                <c:pt idx="297">
                  <c:v>156.45298966462548</c:v>
                </c:pt>
                <c:pt idx="298">
                  <c:v>156.40970471791181</c:v>
                </c:pt>
                <c:pt idx="299">
                  <c:v>156.36640671764462</c:v>
                </c:pt>
                <c:pt idx="300">
                  <c:v>156.32309565170985</c:v>
                </c:pt>
                <c:pt idx="301">
                  <c:v>156.27977150797463</c:v>
                </c:pt>
                <c:pt idx="302">
                  <c:v>156.23643427428689</c:v>
                </c:pt>
                <c:pt idx="303">
                  <c:v>156.19308393847564</c:v>
                </c:pt>
                <c:pt idx="304">
                  <c:v>156.14972048835062</c:v>
                </c:pt>
                <c:pt idx="305">
                  <c:v>156.10634391170262</c:v>
                </c:pt>
                <c:pt idx="306">
                  <c:v>156.06295419630305</c:v>
                </c:pt>
                <c:pt idx="307">
                  <c:v>156.01955132990417</c:v>
                </c:pt>
                <c:pt idx="308">
                  <c:v>155.97613530023898</c:v>
                </c:pt>
                <c:pt idx="309">
                  <c:v>155.93270609502105</c:v>
                </c:pt>
                <c:pt idx="310">
                  <c:v>155.88926370194471</c:v>
                </c:pt>
                <c:pt idx="311">
                  <c:v>155.84580810868482</c:v>
                </c:pt>
                <c:pt idx="312">
                  <c:v>155.80233930289677</c:v>
                </c:pt>
                <c:pt idx="313">
                  <c:v>155.75885727221649</c:v>
                </c:pt>
                <c:pt idx="314">
                  <c:v>155.7153620042603</c:v>
                </c:pt>
                <c:pt idx="315">
                  <c:v>155.67185348662508</c:v>
                </c:pt>
                <c:pt idx="316">
                  <c:v>155.62833170688796</c:v>
                </c:pt>
                <c:pt idx="317">
                  <c:v>155.58479665260643</c:v>
                </c:pt>
                <c:pt idx="318">
                  <c:v>155.54124831131827</c:v>
                </c:pt>
                <c:pt idx="319">
                  <c:v>155.4976866705415</c:v>
                </c:pt>
                <c:pt idx="320">
                  <c:v>155.45411171777437</c:v>
                </c:pt>
                <c:pt idx="321">
                  <c:v>155.41052344049518</c:v>
                </c:pt>
                <c:pt idx="322">
                  <c:v>155.36692182616247</c:v>
                </c:pt>
                <c:pt idx="323">
                  <c:v>155.32330686221479</c:v>
                </c:pt>
                <c:pt idx="324">
                  <c:v>155.27967853607066</c:v>
                </c:pt>
                <c:pt idx="325">
                  <c:v>155.23603683512863</c:v>
                </c:pt>
                <c:pt idx="326">
                  <c:v>155.19238174676718</c:v>
                </c:pt>
                <c:pt idx="327">
                  <c:v>155.14871325834466</c:v>
                </c:pt>
                <c:pt idx="328">
                  <c:v>155.10503135719921</c:v>
                </c:pt>
                <c:pt idx="329">
                  <c:v>155.06133603064885</c:v>
                </c:pt>
                <c:pt idx="330">
                  <c:v>155.01762726599131</c:v>
                </c:pt>
                <c:pt idx="331">
                  <c:v>154.97390505050399</c:v>
                </c:pt>
                <c:pt idx="332">
                  <c:v>154.93016937144401</c:v>
                </c:pt>
                <c:pt idx="333">
                  <c:v>154.88642021604807</c:v>
                </c:pt>
                <c:pt idx="334">
                  <c:v>154.84265757153238</c:v>
                </c:pt>
                <c:pt idx="335">
                  <c:v>154.79888142509273</c:v>
                </c:pt>
                <c:pt idx="336">
                  <c:v>154.7550917639044</c:v>
                </c:pt>
                <c:pt idx="337">
                  <c:v>154.71128857512207</c:v>
                </c:pt>
                <c:pt idx="338">
                  <c:v>154.66747184587976</c:v>
                </c:pt>
                <c:pt idx="339">
                  <c:v>154.6236415632909</c:v>
                </c:pt>
                <c:pt idx="340">
                  <c:v>154.57979771444812</c:v>
                </c:pt>
                <c:pt idx="341">
                  <c:v>154.53594028642334</c:v>
                </c:pt>
                <c:pt idx="342">
                  <c:v>154.49206926626766</c:v>
                </c:pt>
                <c:pt idx="343">
                  <c:v>154.44818464101132</c:v>
                </c:pt>
                <c:pt idx="344">
                  <c:v>154.40428639766367</c:v>
                </c:pt>
                <c:pt idx="345">
                  <c:v>154.3603745232131</c:v>
                </c:pt>
                <c:pt idx="346">
                  <c:v>154.31644900462697</c:v>
                </c:pt>
                <c:pt idx="347">
                  <c:v>154.2725098288517</c:v>
                </c:pt>
                <c:pt idx="348">
                  <c:v>154.22855698281245</c:v>
                </c:pt>
                <c:pt idx="349">
                  <c:v>154.18459045341334</c:v>
                </c:pt>
                <c:pt idx="350">
                  <c:v>154.14061022753734</c:v>
                </c:pt>
                <c:pt idx="351">
                  <c:v>154.09661629204606</c:v>
                </c:pt>
                <c:pt idx="352">
                  <c:v>154.05260863377993</c:v>
                </c:pt>
                <c:pt idx="353">
                  <c:v>154.00858723955798</c:v>
                </c:pt>
                <c:pt idx="354">
                  <c:v>153.96455209617787</c:v>
                </c:pt>
                <c:pt idx="355">
                  <c:v>153.92050319041584</c:v>
                </c:pt>
                <c:pt idx="356">
                  <c:v>153.87644050902665</c:v>
                </c:pt>
                <c:pt idx="357">
                  <c:v>153.83236403874346</c:v>
                </c:pt>
                <c:pt idx="358">
                  <c:v>153.78827376627797</c:v>
                </c:pt>
                <c:pt idx="359">
                  <c:v>153.74416967832011</c:v>
                </c:pt>
                <c:pt idx="360">
                  <c:v>153.70005176153822</c:v>
                </c:pt>
                <c:pt idx="361">
                  <c:v>153.65592000257891</c:v>
                </c:pt>
                <c:pt idx="362">
                  <c:v>153.61177438806695</c:v>
                </c:pt>
                <c:pt idx="363">
                  <c:v>153.56761490460534</c:v>
                </c:pt>
                <c:pt idx="364">
                  <c:v>153.52344153877513</c:v>
                </c:pt>
                <c:pt idx="365">
                  <c:v>153.47925427713551</c:v>
                </c:pt>
                <c:pt idx="366">
                  <c:v>153.43505310622365</c:v>
                </c:pt>
                <c:pt idx="367">
                  <c:v>153.39083801255464</c:v>
                </c:pt>
                <c:pt idx="368">
                  <c:v>153.3466089826216</c:v>
                </c:pt>
                <c:pt idx="369">
                  <c:v>153.30236600289544</c:v>
                </c:pt>
                <c:pt idx="370">
                  <c:v>153.25810905982485</c:v>
                </c:pt>
                <c:pt idx="371">
                  <c:v>153.21383813983633</c:v>
                </c:pt>
                <c:pt idx="372">
                  <c:v>153.16955322933413</c:v>
                </c:pt>
                <c:pt idx="373">
                  <c:v>153.12525431470004</c:v>
                </c:pt>
                <c:pt idx="374">
                  <c:v>153.08094138229362</c:v>
                </c:pt>
                <c:pt idx="375">
                  <c:v>153.03661441845179</c:v>
                </c:pt>
                <c:pt idx="376">
                  <c:v>152.99227340948914</c:v>
                </c:pt>
                <c:pt idx="377">
                  <c:v>152.94791834169766</c:v>
                </c:pt>
                <c:pt idx="378">
                  <c:v>152.90354920134666</c:v>
                </c:pt>
                <c:pt idx="379">
                  <c:v>152.85916597468292</c:v>
                </c:pt>
                <c:pt idx="380">
                  <c:v>152.81476864793041</c:v>
                </c:pt>
                <c:pt idx="381">
                  <c:v>152.77035720729037</c:v>
                </c:pt>
                <c:pt idx="382">
                  <c:v>152.72593163894126</c:v>
                </c:pt>
                <c:pt idx="383">
                  <c:v>152.68149192903869</c:v>
                </c:pt>
                <c:pt idx="384">
                  <c:v>152.63703806371518</c:v>
                </c:pt>
                <c:pt idx="385">
                  <c:v>152.59257002908055</c:v>
                </c:pt>
                <c:pt idx="386">
                  <c:v>152.54808781122136</c:v>
                </c:pt>
                <c:pt idx="387">
                  <c:v>152.50359139620119</c:v>
                </c:pt>
                <c:pt idx="388">
                  <c:v>152.4590807700605</c:v>
                </c:pt>
                <c:pt idx="389">
                  <c:v>152.41455591881649</c:v>
                </c:pt>
                <c:pt idx="390">
                  <c:v>152.37001682846318</c:v>
                </c:pt>
                <c:pt idx="391">
                  <c:v>152.32546348497124</c:v>
                </c:pt>
                <c:pt idx="392">
                  <c:v>152.28089587428806</c:v>
                </c:pt>
                <c:pt idx="393">
                  <c:v>152.23631398233752</c:v>
                </c:pt>
                <c:pt idx="394">
                  <c:v>152.19171779502011</c:v>
                </c:pt>
                <c:pt idx="395">
                  <c:v>152.1471072982128</c:v>
                </c:pt>
                <c:pt idx="396">
                  <c:v>152.102482477769</c:v>
                </c:pt>
                <c:pt idx="397">
                  <c:v>152.05784331951838</c:v>
                </c:pt>
                <c:pt idx="398">
                  <c:v>152.01318980926703</c:v>
                </c:pt>
                <c:pt idx="399">
                  <c:v>151.9685219327973</c:v>
                </c:pt>
                <c:pt idx="400">
                  <c:v>151.9238396758677</c:v>
                </c:pt>
                <c:pt idx="401">
                  <c:v>151.87914302421291</c:v>
                </c:pt>
                <c:pt idx="402">
                  <c:v>151.83443196354366</c:v>
                </c:pt>
                <c:pt idx="403">
                  <c:v>151.78970647954677</c:v>
                </c:pt>
                <c:pt idx="404">
                  <c:v>151.74496655788502</c:v>
                </c:pt>
                <c:pt idx="405">
                  <c:v>151.70021218419708</c:v>
                </c:pt>
                <c:pt idx="406">
                  <c:v>151.65544334409751</c:v>
                </c:pt>
                <c:pt idx="407">
                  <c:v>151.61066002317671</c:v>
                </c:pt>
                <c:pt idx="408">
                  <c:v>151.56586220700069</c:v>
                </c:pt>
                <c:pt idx="409">
                  <c:v>151.52104988111134</c:v>
                </c:pt>
                <c:pt idx="410">
                  <c:v>151.47622303102608</c:v>
                </c:pt>
                <c:pt idx="411">
                  <c:v>151.43138164223788</c:v>
                </c:pt>
                <c:pt idx="412">
                  <c:v>151.38652570021526</c:v>
                </c:pt>
                <c:pt idx="413">
                  <c:v>151.34165519040226</c:v>
                </c:pt>
                <c:pt idx="414">
                  <c:v>151.29677009821819</c:v>
                </c:pt>
                <c:pt idx="415">
                  <c:v>151.2518704090578</c:v>
                </c:pt>
                <c:pt idx="416">
                  <c:v>151.20695610829108</c:v>
                </c:pt>
                <c:pt idx="417">
                  <c:v>151.16202718126328</c:v>
                </c:pt>
                <c:pt idx="418">
                  <c:v>151.11708361329477</c:v>
                </c:pt>
                <c:pt idx="419">
                  <c:v>151.07212538968105</c:v>
                </c:pt>
                <c:pt idx="420">
                  <c:v>151.02715249569266</c:v>
                </c:pt>
                <c:pt idx="421">
                  <c:v>150.9821649165751</c:v>
                </c:pt>
                <c:pt idx="422">
                  <c:v>150.93716263754885</c:v>
                </c:pt>
                <c:pt idx="423">
                  <c:v>150.89214564380922</c:v>
                </c:pt>
                <c:pt idx="424">
                  <c:v>150.84711392052628</c:v>
                </c:pt>
                <c:pt idx="425">
                  <c:v>150.80206745284497</c:v>
                </c:pt>
                <c:pt idx="426">
                  <c:v>150.75700622588477</c:v>
                </c:pt>
                <c:pt idx="427">
                  <c:v>150.71193022473986</c:v>
                </c:pt>
                <c:pt idx="428">
                  <c:v>150.66683943447899</c:v>
                </c:pt>
                <c:pt idx="429">
                  <c:v>150.62173384014534</c:v>
                </c:pt>
                <c:pt idx="430">
                  <c:v>150.57661342675664</c:v>
                </c:pt>
                <c:pt idx="431">
                  <c:v>150.53147817930486</c:v>
                </c:pt>
                <c:pt idx="432">
                  <c:v>150.48632808275642</c:v>
                </c:pt>
                <c:pt idx="433">
                  <c:v>150.44116312205188</c:v>
                </c:pt>
                <c:pt idx="434">
                  <c:v>150.39598328210604</c:v>
                </c:pt>
                <c:pt idx="435">
                  <c:v>150.35078854780789</c:v>
                </c:pt>
                <c:pt idx="436">
                  <c:v>150.30557890402036</c:v>
                </c:pt>
                <c:pt idx="437">
                  <c:v>150.26035433558047</c:v>
                </c:pt>
                <c:pt idx="438">
                  <c:v>150.21511482729915</c:v>
                </c:pt>
                <c:pt idx="439">
                  <c:v>150.16986036396119</c:v>
                </c:pt>
                <c:pt idx="440">
                  <c:v>150.12459093032524</c:v>
                </c:pt>
                <c:pt idx="441">
                  <c:v>150.07930651112363</c:v>
                </c:pt>
                <c:pt idx="442">
                  <c:v>150.03400709106248</c:v>
                </c:pt>
                <c:pt idx="443">
                  <c:v>149.98869265482142</c:v>
                </c:pt>
                <c:pt idx="444">
                  <c:v>149.94336318705373</c:v>
                </c:pt>
                <c:pt idx="445">
                  <c:v>149.89801867238609</c:v>
                </c:pt>
                <c:pt idx="446">
                  <c:v>149.85265909541869</c:v>
                </c:pt>
                <c:pt idx="447">
                  <c:v>149.80728444072503</c:v>
                </c:pt>
                <c:pt idx="448">
                  <c:v>149.76189469285191</c:v>
                </c:pt>
                <c:pt idx="449">
                  <c:v>149.71648983631943</c:v>
                </c:pt>
                <c:pt idx="450">
                  <c:v>149.67106985562074</c:v>
                </c:pt>
                <c:pt idx="451">
                  <c:v>149.62563473522223</c:v>
                </c:pt>
                <c:pt idx="452">
                  <c:v>149.58018445956321</c:v>
                </c:pt>
                <c:pt idx="453">
                  <c:v>149.53471901305602</c:v>
                </c:pt>
                <c:pt idx="454">
                  <c:v>149.48923838008585</c:v>
                </c:pt>
                <c:pt idx="455">
                  <c:v>149.44374254501082</c:v>
                </c:pt>
                <c:pt idx="456">
                  <c:v>149.39823149216173</c:v>
                </c:pt>
                <c:pt idx="457">
                  <c:v>149.35270520584214</c:v>
                </c:pt>
                <c:pt idx="458">
                  <c:v>149.30716367032818</c:v>
                </c:pt>
                <c:pt idx="459">
                  <c:v>149.26160686986861</c:v>
                </c:pt>
                <c:pt idx="460">
                  <c:v>149.21603478868468</c:v>
                </c:pt>
                <c:pt idx="461">
                  <c:v>149.17044741097007</c:v>
                </c:pt>
                <c:pt idx="462">
                  <c:v>149.12484472089082</c:v>
                </c:pt>
                <c:pt idx="463">
                  <c:v>149.07922670258523</c:v>
                </c:pt>
                <c:pt idx="464">
                  <c:v>149.03359334016392</c:v>
                </c:pt>
                <c:pt idx="465">
                  <c:v>148.98794461770959</c:v>
                </c:pt>
                <c:pt idx="466">
                  <c:v>148.94228051927703</c:v>
                </c:pt>
                <c:pt idx="467">
                  <c:v>148.89660102889314</c:v>
                </c:pt>
                <c:pt idx="468">
                  <c:v>148.85090613055667</c:v>
                </c:pt>
                <c:pt idx="469">
                  <c:v>148.8051958082383</c:v>
                </c:pt>
                <c:pt idx="470">
                  <c:v>148.75947004588056</c:v>
                </c:pt>
                <c:pt idx="471">
                  <c:v>148.71372882739757</c:v>
                </c:pt>
                <c:pt idx="472">
                  <c:v>148.66797213667536</c:v>
                </c:pt>
                <c:pt idx="473">
                  <c:v>148.62219995757138</c:v>
                </c:pt>
                <c:pt idx="474">
                  <c:v>148.57641227391466</c:v>
                </c:pt>
                <c:pt idx="475">
                  <c:v>148.53060906950569</c:v>
                </c:pt>
                <c:pt idx="476">
                  <c:v>148.48479032811639</c:v>
                </c:pt>
                <c:pt idx="477">
                  <c:v>148.43895603348994</c:v>
                </c:pt>
                <c:pt idx="478">
                  <c:v>148.39310616934083</c:v>
                </c:pt>
                <c:pt idx="479">
                  <c:v>148.34724071935469</c:v>
                </c:pt>
                <c:pt idx="480">
                  <c:v>148.30135966718822</c:v>
                </c:pt>
                <c:pt idx="481">
                  <c:v>148.25546299646922</c:v>
                </c:pt>
                <c:pt idx="482">
                  <c:v>148.20955069079639</c:v>
                </c:pt>
                <c:pt idx="483">
                  <c:v>148.16362273373934</c:v>
                </c:pt>
                <c:pt idx="484">
                  <c:v>148.1176791088385</c:v>
                </c:pt>
                <c:pt idx="485">
                  <c:v>148.07171979960503</c:v>
                </c:pt>
                <c:pt idx="486">
                  <c:v>148.02574478952073</c:v>
                </c:pt>
                <c:pt idx="487">
                  <c:v>147.97975406203807</c:v>
                </c:pt>
                <c:pt idx="488">
                  <c:v>147.93374760057992</c:v>
                </c:pt>
                <c:pt idx="489">
                  <c:v>147.88772538853971</c:v>
                </c:pt>
                <c:pt idx="490">
                  <c:v>147.84168740928121</c:v>
                </c:pt>
                <c:pt idx="491">
                  <c:v>147.79563364613841</c:v>
                </c:pt>
                <c:pt idx="492">
                  <c:v>147.74956408241562</c:v>
                </c:pt>
                <c:pt idx="493">
                  <c:v>147.70347870138724</c:v>
                </c:pt>
                <c:pt idx="494">
                  <c:v>147.65737748629772</c:v>
                </c:pt>
                <c:pt idx="495">
                  <c:v>147.61126042036159</c:v>
                </c:pt>
                <c:pt idx="496">
                  <c:v>147.5651274867632</c:v>
                </c:pt>
                <c:pt idx="497">
                  <c:v>147.51897866865681</c:v>
                </c:pt>
                <c:pt idx="498">
                  <c:v>147.47281394916641</c:v>
                </c:pt>
                <c:pt idx="499">
                  <c:v>147.4266333113857</c:v>
                </c:pt>
                <c:pt idx="500">
                  <c:v>147.38043673837797</c:v>
                </c:pt>
                <c:pt idx="501">
                  <c:v>147.33422421317604</c:v>
                </c:pt>
                <c:pt idx="502">
                  <c:v>147.28799571878227</c:v>
                </c:pt>
                <c:pt idx="503">
                  <c:v>147.24175123816829</c:v>
                </c:pt>
                <c:pt idx="504">
                  <c:v>147.19549075427503</c:v>
                </c:pt>
                <c:pt idx="505">
                  <c:v>147.14921425001276</c:v>
                </c:pt>
                <c:pt idx="506">
                  <c:v>147.10292170826085</c:v>
                </c:pt>
                <c:pt idx="507">
                  <c:v>147.05661311186762</c:v>
                </c:pt>
                <c:pt idx="508">
                  <c:v>147.01028844365052</c:v>
                </c:pt>
                <c:pt idx="509">
                  <c:v>146.96394768639587</c:v>
                </c:pt>
                <c:pt idx="510">
                  <c:v>146.91759082285881</c:v>
                </c:pt>
                <c:pt idx="511">
                  <c:v>146.87121783576319</c:v>
                </c:pt>
                <c:pt idx="512">
                  <c:v>146.8248287078016</c:v>
                </c:pt>
                <c:pt idx="513">
                  <c:v>146.77842342163518</c:v>
                </c:pt>
                <c:pt idx="514">
                  <c:v>146.73200195989358</c:v>
                </c:pt>
                <c:pt idx="515">
                  <c:v>146.68556430517492</c:v>
                </c:pt>
                <c:pt idx="516">
                  <c:v>146.63911044004558</c:v>
                </c:pt>
                <c:pt idx="517">
                  <c:v>146.59264034704029</c:v>
                </c:pt>
                <c:pt idx="518">
                  <c:v>146.54615400866192</c:v>
                </c:pt>
                <c:pt idx="519">
                  <c:v>146.49965140738144</c:v>
                </c:pt>
                <c:pt idx="520">
                  <c:v>146.45313252563787</c:v>
                </c:pt>
                <c:pt idx="521">
                  <c:v>146.40659734583815</c:v>
                </c:pt>
                <c:pt idx="522">
                  <c:v>146.36004585035707</c:v>
                </c:pt>
                <c:pt idx="523">
                  <c:v>146.31347802153724</c:v>
                </c:pt>
                <c:pt idx="524">
                  <c:v>146.26689384168884</c:v>
                </c:pt>
                <c:pt idx="525">
                  <c:v>146.22029329308975</c:v>
                </c:pt>
                <c:pt idx="526">
                  <c:v>146.17367635798541</c:v>
                </c:pt>
                <c:pt idx="527">
                  <c:v>146.12704301858858</c:v>
                </c:pt>
                <c:pt idx="528">
                  <c:v>146.08039325707949</c:v>
                </c:pt>
                <c:pt idx="529">
                  <c:v>146.03372705560554</c:v>
                </c:pt>
                <c:pt idx="530">
                  <c:v>145.98704439628136</c:v>
                </c:pt>
                <c:pt idx="531">
                  <c:v>145.9403452611887</c:v>
                </c:pt>
                <c:pt idx="532">
                  <c:v>145.8936296323763</c:v>
                </c:pt>
                <c:pt idx="533">
                  <c:v>145.84689749185981</c:v>
                </c:pt>
                <c:pt idx="534">
                  <c:v>145.80014882162169</c:v>
                </c:pt>
                <c:pt idx="535">
                  <c:v>145.7533836036113</c:v>
                </c:pt>
                <c:pt idx="536">
                  <c:v>145.70660181974449</c:v>
                </c:pt>
                <c:pt idx="537">
                  <c:v>145.6598034519038</c:v>
                </c:pt>
                <c:pt idx="538">
                  <c:v>145.61298848193823</c:v>
                </c:pt>
                <c:pt idx="539">
                  <c:v>145.56615689166321</c:v>
                </c:pt>
                <c:pt idx="540">
                  <c:v>145.51930866286048</c:v>
                </c:pt>
                <c:pt idx="541">
                  <c:v>145.47244377727793</c:v>
                </c:pt>
                <c:pt idx="542">
                  <c:v>145.42556221662974</c:v>
                </c:pt>
                <c:pt idx="543">
                  <c:v>145.37866396259605</c:v>
                </c:pt>
                <c:pt idx="544">
                  <c:v>145.33174899682291</c:v>
                </c:pt>
                <c:pt idx="545">
                  <c:v>145.28481730092241</c:v>
                </c:pt>
                <c:pt idx="546">
                  <c:v>145.23786885647226</c:v>
                </c:pt>
                <c:pt idx="547">
                  <c:v>145.19090364501602</c:v>
                </c:pt>
                <c:pt idx="548">
                  <c:v>145.14392164806264</c:v>
                </c:pt>
                <c:pt idx="549">
                  <c:v>145.09692284708683</c:v>
                </c:pt>
                <c:pt idx="550">
                  <c:v>145.04990722352861</c:v>
                </c:pt>
                <c:pt idx="551">
                  <c:v>145.00287475879327</c:v>
                </c:pt>
                <c:pt idx="552">
                  <c:v>144.95582543425144</c:v>
                </c:pt>
                <c:pt idx="553">
                  <c:v>144.90875923123886</c:v>
                </c:pt>
                <c:pt idx="554">
                  <c:v>144.86167613105636</c:v>
                </c:pt>
                <c:pt idx="555">
                  <c:v>144.81457611496967</c:v>
                </c:pt>
                <c:pt idx="556">
                  <c:v>144.76745916420944</c:v>
                </c:pt>
                <c:pt idx="557">
                  <c:v>144.7203252599711</c:v>
                </c:pt>
                <c:pt idx="558">
                  <c:v>144.67317438341473</c:v>
                </c:pt>
                <c:pt idx="559">
                  <c:v>144.62600651566507</c:v>
                </c:pt>
                <c:pt idx="560">
                  <c:v>144.57882163781127</c:v>
                </c:pt>
                <c:pt idx="561">
                  <c:v>144.53161973090695</c:v>
                </c:pt>
                <c:pt idx="562">
                  <c:v>144.48440077597007</c:v>
                </c:pt>
                <c:pt idx="563">
                  <c:v>144.43716475398264</c:v>
                </c:pt>
                <c:pt idx="564">
                  <c:v>144.389911645891</c:v>
                </c:pt>
                <c:pt idx="565">
                  <c:v>144.34264143260538</c:v>
                </c:pt>
                <c:pt idx="566">
                  <c:v>144.29535409499999</c:v>
                </c:pt>
                <c:pt idx="567">
                  <c:v>144.24804961391285</c:v>
                </c:pt>
                <c:pt idx="568">
                  <c:v>144.20072797014572</c:v>
                </c:pt>
                <c:pt idx="569">
                  <c:v>144.15338914446403</c:v>
                </c:pt>
                <c:pt idx="570">
                  <c:v>144.10603311759664</c:v>
                </c:pt>
                <c:pt idx="571">
                  <c:v>144.05865987023597</c:v>
                </c:pt>
                <c:pt idx="572">
                  <c:v>144.01126938303779</c:v>
                </c:pt>
                <c:pt idx="573">
                  <c:v>143.96386163662103</c:v>
                </c:pt>
                <c:pt idx="574">
                  <c:v>143.9164366115678</c:v>
                </c:pt>
                <c:pt idx="575">
                  <c:v>143.86899428842327</c:v>
                </c:pt>
                <c:pt idx="576">
                  <c:v>143.82153464769561</c:v>
                </c:pt>
                <c:pt idx="577">
                  <c:v>143.77405766985575</c:v>
                </c:pt>
                <c:pt idx="578">
                  <c:v>143.72656333533743</c:v>
                </c:pt>
                <c:pt idx="579">
                  <c:v>143.67905162453698</c:v>
                </c:pt>
                <c:pt idx="580">
                  <c:v>143.63152251781338</c:v>
                </c:pt>
                <c:pt idx="581">
                  <c:v>143.58397599548795</c:v>
                </c:pt>
                <c:pt idx="582">
                  <c:v>143.5364120378444</c:v>
                </c:pt>
                <c:pt idx="583">
                  <c:v>143.48883062512874</c:v>
                </c:pt>
                <c:pt idx="584">
                  <c:v>143.441231737549</c:v>
                </c:pt>
                <c:pt idx="585">
                  <c:v>143.39361535527536</c:v>
                </c:pt>
                <c:pt idx="586">
                  <c:v>143.34598145843989</c:v>
                </c:pt>
                <c:pt idx="587">
                  <c:v>143.29833002713653</c:v>
                </c:pt>
                <c:pt idx="588">
                  <c:v>143.25066104142087</c:v>
                </c:pt>
                <c:pt idx="589">
                  <c:v>143.20297448131021</c:v>
                </c:pt>
                <c:pt idx="590">
                  <c:v>143.15527032678335</c:v>
                </c:pt>
                <c:pt idx="591">
                  <c:v>143.10754855778046</c:v>
                </c:pt>
                <c:pt idx="592">
                  <c:v>143.05980915420312</c:v>
                </c:pt>
                <c:pt idx="593">
                  <c:v>143.01205209591402</c:v>
                </c:pt>
                <c:pt idx="594">
                  <c:v>142.96427736273696</c:v>
                </c:pt>
                <c:pt idx="595">
                  <c:v>142.9164849344568</c:v>
                </c:pt>
                <c:pt idx="596">
                  <c:v>142.86867479081928</c:v>
                </c:pt>
                <c:pt idx="597">
                  <c:v>142.82084691153082</c:v>
                </c:pt>
                <c:pt idx="598">
                  <c:v>142.77300127625867</c:v>
                </c:pt>
                <c:pt idx="599">
                  <c:v>142.72513786463051</c:v>
                </c:pt>
                <c:pt idx="600">
                  <c:v>142.67725665623456</c:v>
                </c:pt>
                <c:pt idx="601">
                  <c:v>142.62935763061935</c:v>
                </c:pt>
                <c:pt idx="602">
                  <c:v>142.58144076729371</c:v>
                </c:pt>
                <c:pt idx="603">
                  <c:v>142.53350604572654</c:v>
                </c:pt>
                <c:pt idx="604">
                  <c:v>142.48555344534674</c:v>
                </c:pt>
                <c:pt idx="605">
                  <c:v>142.4375829455432</c:v>
                </c:pt>
                <c:pt idx="606">
                  <c:v>142.38959452566459</c:v>
                </c:pt>
                <c:pt idx="607">
                  <c:v>142.34158816501923</c:v>
                </c:pt>
                <c:pt idx="608">
                  <c:v>142.29356384287507</c:v>
                </c:pt>
                <c:pt idx="609">
                  <c:v>142.24552153845951</c:v>
                </c:pt>
                <c:pt idx="610">
                  <c:v>142.19746123095933</c:v>
                </c:pt>
                <c:pt idx="611">
                  <c:v>142.1493828995205</c:v>
                </c:pt>
                <c:pt idx="612">
                  <c:v>142.10128652324818</c:v>
                </c:pt>
                <c:pt idx="613">
                  <c:v>142.05317208120647</c:v>
                </c:pt>
                <c:pt idx="614">
                  <c:v>142.00503955241851</c:v>
                </c:pt>
                <c:pt idx="615">
                  <c:v>141.95688891586607</c:v>
                </c:pt>
                <c:pt idx="616">
                  <c:v>141.90872015048973</c:v>
                </c:pt>
                <c:pt idx="617">
                  <c:v>141.86053323518857</c:v>
                </c:pt>
                <c:pt idx="618">
                  <c:v>141.81232814882009</c:v>
                </c:pt>
                <c:pt idx="619">
                  <c:v>141.76410487020021</c:v>
                </c:pt>
                <c:pt idx="620">
                  <c:v>141.71586337810297</c:v>
                </c:pt>
                <c:pt idx="621">
                  <c:v>141.66760365126055</c:v>
                </c:pt>
                <c:pt idx="622">
                  <c:v>141.61932566836319</c:v>
                </c:pt>
                <c:pt idx="623">
                  <c:v>141.57102940805885</c:v>
                </c:pt>
                <c:pt idx="624">
                  <c:v>141.52271484895334</c:v>
                </c:pt>
                <c:pt idx="625">
                  <c:v>141.47438196961005</c:v>
                </c:pt>
                <c:pt idx="626">
                  <c:v>141.42603074854989</c:v>
                </c:pt>
                <c:pt idx="627">
                  <c:v>141.37766116425121</c:v>
                </c:pt>
                <c:pt idx="628">
                  <c:v>141.32927319514957</c:v>
                </c:pt>
                <c:pt idx="629">
                  <c:v>141.28086681963771</c:v>
                </c:pt>
                <c:pt idx="630">
                  <c:v>141.23244201606536</c:v>
                </c:pt>
                <c:pt idx="631">
                  <c:v>141.18399876273921</c:v>
                </c:pt>
                <c:pt idx="632">
                  <c:v>141.13553703792275</c:v>
                </c:pt>
                <c:pt idx="633">
                  <c:v>141.08705681983614</c:v>
                </c:pt>
                <c:pt idx="634">
                  <c:v>141.038558086656</c:v>
                </c:pt>
                <c:pt idx="635">
                  <c:v>140.99004081651549</c:v>
                </c:pt>
                <c:pt idx="636">
                  <c:v>140.94150498750395</c:v>
                </c:pt>
                <c:pt idx="637">
                  <c:v>140.89295057766705</c:v>
                </c:pt>
                <c:pt idx="638">
                  <c:v>140.8443775650064</c:v>
                </c:pt>
                <c:pt idx="639">
                  <c:v>140.79578592747953</c:v>
                </c:pt>
                <c:pt idx="640">
                  <c:v>140.74717564299988</c:v>
                </c:pt>
                <c:pt idx="641">
                  <c:v>140.69854668943643</c:v>
                </c:pt>
                <c:pt idx="642">
                  <c:v>140.64989904461387</c:v>
                </c:pt>
                <c:pt idx="643">
                  <c:v>140.60123268631219</c:v>
                </c:pt>
                <c:pt idx="644">
                  <c:v>140.55254759226673</c:v>
                </c:pt>
                <c:pt idx="645">
                  <c:v>140.50384374016801</c:v>
                </c:pt>
                <c:pt idx="646">
                  <c:v>140.45512110766157</c:v>
                </c:pt>
                <c:pt idx="647">
                  <c:v>140.40637967234792</c:v>
                </c:pt>
                <c:pt idx="648">
                  <c:v>140.35761941178234</c:v>
                </c:pt>
                <c:pt idx="649">
                  <c:v>140.30884030347471</c:v>
                </c:pt>
                <c:pt idx="650">
                  <c:v>140.26004232488953</c:v>
                </c:pt>
                <c:pt idx="651">
                  <c:v>140.21122545344568</c:v>
                </c:pt>
                <c:pt idx="652">
                  <c:v>140.16238966651625</c:v>
                </c:pt>
                <c:pt idx="653">
                  <c:v>140.11353494142853</c:v>
                </c:pt>
                <c:pt idx="654">
                  <c:v>140.06466125546385</c:v>
                </c:pt>
                <c:pt idx="655">
                  <c:v>140.01576858585736</c:v>
                </c:pt>
                <c:pt idx="656">
                  <c:v>139.96685690979794</c:v>
                </c:pt>
                <c:pt idx="657">
                  <c:v>139.91792620442814</c:v>
                </c:pt>
                <c:pt idx="658">
                  <c:v>139.86897644684396</c:v>
                </c:pt>
                <c:pt idx="659">
                  <c:v>139.82000761409475</c:v>
                </c:pt>
                <c:pt idx="660">
                  <c:v>139.77101968318306</c:v>
                </c:pt>
                <c:pt idx="661">
                  <c:v>139.72201263106459</c:v>
                </c:pt>
                <c:pt idx="662">
                  <c:v>139.67298643464784</c:v>
                </c:pt>
                <c:pt idx="663">
                  <c:v>139.62394107079422</c:v>
                </c:pt>
                <c:pt idx="664">
                  <c:v>139.5748765163178</c:v>
                </c:pt>
                <c:pt idx="665">
                  <c:v>139.52579274798518</c:v>
                </c:pt>
                <c:pt idx="666">
                  <c:v>139.4766897425153</c:v>
                </c:pt>
                <c:pt idx="667">
                  <c:v>139.42756747657947</c:v>
                </c:pt>
                <c:pt idx="668">
                  <c:v>139.37842592680099</c:v>
                </c:pt>
                <c:pt idx="669">
                  <c:v>139.32926506975522</c:v>
                </c:pt>
                <c:pt idx="670">
                  <c:v>139.28008488196934</c:v>
                </c:pt>
                <c:pt idx="671">
                  <c:v>139.23088533992222</c:v>
                </c:pt>
                <c:pt idx="672">
                  <c:v>139.18166642004434</c:v>
                </c:pt>
                <c:pt idx="673">
                  <c:v>139.13242809871755</c:v>
                </c:pt>
                <c:pt idx="674">
                  <c:v>139.083170352275</c:v>
                </c:pt>
                <c:pt idx="675">
                  <c:v>139.03389315700096</c:v>
                </c:pt>
                <c:pt idx="676">
                  <c:v>138.98459648913072</c:v>
                </c:pt>
                <c:pt idx="677">
                  <c:v>138.93528032485034</c:v>
                </c:pt>
                <c:pt idx="678">
                  <c:v>138.88594464029671</c:v>
                </c:pt>
                <c:pt idx="679">
                  <c:v>138.83658941155721</c:v>
                </c:pt>
                <c:pt idx="680">
                  <c:v>138.78721461466964</c:v>
                </c:pt>
                <c:pt idx="681">
                  <c:v>138.7378202256221</c:v>
                </c:pt>
                <c:pt idx="682">
                  <c:v>138.68840622035279</c:v>
                </c:pt>
                <c:pt idx="683">
                  <c:v>138.63897257474989</c:v>
                </c:pt>
                <c:pt idx="684">
                  <c:v>138.58951926465144</c:v>
                </c:pt>
                <c:pt idx="685">
                  <c:v>138.54004626584518</c:v>
                </c:pt>
                <c:pt idx="686">
                  <c:v>138.4905535540683</c:v>
                </c:pt>
                <c:pt idx="687">
                  <c:v>138.44104110500746</c:v>
                </c:pt>
                <c:pt idx="688">
                  <c:v>138.39150889429857</c:v>
                </c:pt>
                <c:pt idx="689">
                  <c:v>138.34195689752659</c:v>
                </c:pt>
                <c:pt idx="690">
                  <c:v>138.29238509022539</c:v>
                </c:pt>
                <c:pt idx="691">
                  <c:v>138.24279344787772</c:v>
                </c:pt>
                <c:pt idx="692">
                  <c:v>138.19318194591486</c:v>
                </c:pt>
                <c:pt idx="693">
                  <c:v>138.14355055971669</c:v>
                </c:pt>
                <c:pt idx="694">
                  <c:v>138.09389926461134</c:v>
                </c:pt>
                <c:pt idx="695">
                  <c:v>138.04422803587519</c:v>
                </c:pt>
                <c:pt idx="696">
                  <c:v>137.99453684873257</c:v>
                </c:pt>
                <c:pt idx="697">
                  <c:v>137.9448256783557</c:v>
                </c:pt>
                <c:pt idx="698">
                  <c:v>137.89509449986457</c:v>
                </c:pt>
                <c:pt idx="699">
                  <c:v>137.84534328832666</c:v>
                </c:pt>
                <c:pt idx="700">
                  <c:v>137.7955720187569</c:v>
                </c:pt>
                <c:pt idx="701">
                  <c:v>137.7457806661175</c:v>
                </c:pt>
                <c:pt idx="702">
                  <c:v>137.69596920531765</c:v>
                </c:pt>
                <c:pt idx="703">
                  <c:v>137.64613761121359</c:v>
                </c:pt>
                <c:pt idx="704">
                  <c:v>137.59628585860824</c:v>
                </c:pt>
                <c:pt idx="705">
                  <c:v>137.54641392225122</c:v>
                </c:pt>
                <c:pt idx="706">
                  <c:v>137.49652177683856</c:v>
                </c:pt>
                <c:pt idx="707">
                  <c:v>137.44660939701262</c:v>
                </c:pt>
                <c:pt idx="708">
                  <c:v>137.39667675736183</c:v>
                </c:pt>
                <c:pt idx="709">
                  <c:v>137.34672383242062</c:v>
                </c:pt>
                <c:pt idx="710">
                  <c:v>137.29675059666928</c:v>
                </c:pt>
                <c:pt idx="711">
                  <c:v>137.24675702453371</c:v>
                </c:pt>
                <c:pt idx="712">
                  <c:v>137.19674309038518</c:v>
                </c:pt>
                <c:pt idx="713">
                  <c:v>137.14670876854049</c:v>
                </c:pt>
                <c:pt idx="714">
                  <c:v>137.0966540332615</c:v>
                </c:pt>
                <c:pt idx="715">
                  <c:v>137.04657885875497</c:v>
                </c:pt>
                <c:pt idx="716">
                  <c:v>136.99648321917263</c:v>
                </c:pt>
                <c:pt idx="717">
                  <c:v>136.9463670886108</c:v>
                </c:pt>
                <c:pt idx="718">
                  <c:v>136.89623044111028</c:v>
                </c:pt>
                <c:pt idx="719">
                  <c:v>136.84607325065616</c:v>
                </c:pt>
                <c:pt idx="720">
                  <c:v>136.79589549117776</c:v>
                </c:pt>
                <c:pt idx="721">
                  <c:v>136.74569713654833</c:v>
                </c:pt>
                <c:pt idx="722">
                  <c:v>136.69547816058491</c:v>
                </c:pt>
                <c:pt idx="723">
                  <c:v>136.64523853704827</c:v>
                </c:pt>
                <c:pt idx="724">
                  <c:v>136.59497823964256</c:v>
                </c:pt>
                <c:pt idx="725">
                  <c:v>136.54469724201525</c:v>
                </c:pt>
                <c:pt idx="726">
                  <c:v>136.49439551775697</c:v>
                </c:pt>
                <c:pt idx="727">
                  <c:v>136.44407304040124</c:v>
                </c:pt>
                <c:pt idx="728">
                  <c:v>136.39372978342445</c:v>
                </c:pt>
                <c:pt idx="729">
                  <c:v>136.34336572024549</c:v>
                </c:pt>
                <c:pt idx="730">
                  <c:v>136.29298082422574</c:v>
                </c:pt>
                <c:pt idx="731">
                  <c:v>136.2425750686688</c:v>
                </c:pt>
                <c:pt idx="732">
                  <c:v>136.19214842682041</c:v>
                </c:pt>
                <c:pt idx="733">
                  <c:v>136.14170087186807</c:v>
                </c:pt>
                <c:pt idx="734">
                  <c:v>136.09123237694118</c:v>
                </c:pt>
                <c:pt idx="735">
                  <c:v>136.04074291511049</c:v>
                </c:pt>
                <c:pt idx="736">
                  <c:v>135.99023245938824</c:v>
                </c:pt>
                <c:pt idx="737">
                  <c:v>135.9397009827278</c:v>
                </c:pt>
                <c:pt idx="738">
                  <c:v>135.8891484580235</c:v>
                </c:pt>
                <c:pt idx="739">
                  <c:v>135.83857485811058</c:v>
                </c:pt>
                <c:pt idx="740">
                  <c:v>135.78798015576487</c:v>
                </c:pt>
                <c:pt idx="741">
                  <c:v>135.73736432370262</c:v>
                </c:pt>
                <c:pt idx="742">
                  <c:v>135.68672733458038</c:v>
                </c:pt>
                <c:pt idx="743">
                  <c:v>135.63606916099474</c:v>
                </c:pt>
                <c:pt idx="744">
                  <c:v>135.58538977548224</c:v>
                </c:pt>
                <c:pt idx="745">
                  <c:v>135.53468915051906</c:v>
                </c:pt>
                <c:pt idx="746">
                  <c:v>135.48396725852095</c:v>
                </c:pt>
                <c:pt idx="747">
                  <c:v>135.433224071843</c:v>
                </c:pt>
                <c:pt idx="748">
                  <c:v>135.38245956277945</c:v>
                </c:pt>
                <c:pt idx="749">
                  <c:v>135.33167370356344</c:v>
                </c:pt>
                <c:pt idx="750">
                  <c:v>135.28086646636694</c:v>
                </c:pt>
                <c:pt idx="751">
                  <c:v>135.23003782330042</c:v>
                </c:pt>
                <c:pt idx="752">
                  <c:v>135.17918774641282</c:v>
                </c:pt>
                <c:pt idx="753">
                  <c:v>135.1283162076912</c:v>
                </c:pt>
                <c:pt idx="754">
                  <c:v>135.07742317906064</c:v>
                </c:pt>
                <c:pt idx="755">
                  <c:v>135.02650863238409</c:v>
                </c:pt>
                <c:pt idx="756">
                  <c:v>134.97557253946201</c:v>
                </c:pt>
                <c:pt idx="757">
                  <c:v>134.92461487203227</c:v>
                </c:pt>
                <c:pt idx="758">
                  <c:v>134.87363560177008</c:v>
                </c:pt>
                <c:pt idx="759">
                  <c:v>134.82263470028752</c:v>
                </c:pt>
                <c:pt idx="760">
                  <c:v>134.77161213913359</c:v>
                </c:pt>
                <c:pt idx="761">
                  <c:v>134.7205678897939</c:v>
                </c:pt>
                <c:pt idx="762">
                  <c:v>134.6695019236904</c:v>
                </c:pt>
                <c:pt idx="763">
                  <c:v>134.61841421218142</c:v>
                </c:pt>
                <c:pt idx="764">
                  <c:v>134.56730472656116</c:v>
                </c:pt>
                <c:pt idx="765">
                  <c:v>134.5161734380597</c:v>
                </c:pt>
                <c:pt idx="766">
                  <c:v>134.4650203178428</c:v>
                </c:pt>
                <c:pt idx="767">
                  <c:v>134.41384533701154</c:v>
                </c:pt>
                <c:pt idx="768">
                  <c:v>134.3626484666022</c:v>
                </c:pt>
                <c:pt idx="769">
                  <c:v>134.31142967758618</c:v>
                </c:pt>
                <c:pt idx="770">
                  <c:v>134.26018894086954</c:v>
                </c:pt>
                <c:pt idx="771">
                  <c:v>134.20892622729303</c:v>
                </c:pt>
                <c:pt idx="772">
                  <c:v>134.15764150763172</c:v>
                </c:pt>
                <c:pt idx="773">
                  <c:v>134.10633475259493</c:v>
                </c:pt>
                <c:pt idx="774">
                  <c:v>134.05500593282585</c:v>
                </c:pt>
                <c:pt idx="775">
                  <c:v>134.00365501890147</c:v>
                </c:pt>
                <c:pt idx="776">
                  <c:v>133.95228198133236</c:v>
                </c:pt>
                <c:pt idx="777">
                  <c:v>133.90088679056237</c:v>
                </c:pt>
                <c:pt idx="778">
                  <c:v>133.8494694169685</c:v>
                </c:pt>
                <c:pt idx="779">
                  <c:v>133.7980298308606</c:v>
                </c:pt>
                <c:pt idx="780">
                  <c:v>133.74656800248127</c:v>
                </c:pt>
                <c:pt idx="781">
                  <c:v>133.69508390200551</c:v>
                </c:pt>
                <c:pt idx="782">
                  <c:v>133.6435774995407</c:v>
                </c:pt>
                <c:pt idx="783">
                  <c:v>133.59204876512612</c:v>
                </c:pt>
                <c:pt idx="784">
                  <c:v>133.54049766873294</c:v>
                </c:pt>
                <c:pt idx="785">
                  <c:v>133.48892418026398</c:v>
                </c:pt>
                <c:pt idx="786">
                  <c:v>133.43732826955335</c:v>
                </c:pt>
                <c:pt idx="787">
                  <c:v>133.38570990636634</c:v>
                </c:pt>
                <c:pt idx="788">
                  <c:v>133.33406906039923</c:v>
                </c:pt>
                <c:pt idx="789">
                  <c:v>133.28240570127895</c:v>
                </c:pt>
                <c:pt idx="790">
                  <c:v>133.23071979856297</c:v>
                </c:pt>
                <c:pt idx="791">
                  <c:v>133.17901132173898</c:v>
                </c:pt>
                <c:pt idx="792">
                  <c:v>133.12728024022476</c:v>
                </c:pt>
                <c:pt idx="793">
                  <c:v>133.0755265233679</c:v>
                </c:pt>
                <c:pt idx="794">
                  <c:v>133.02375014044557</c:v>
                </c:pt>
                <c:pt idx="795">
                  <c:v>132.97195106066422</c:v>
                </c:pt>
                <c:pt idx="796">
                  <c:v>132.92012925315953</c:v>
                </c:pt>
                <c:pt idx="797">
                  <c:v>132.86828468699602</c:v>
                </c:pt>
                <c:pt idx="798">
                  <c:v>132.81641733116695</c:v>
                </c:pt>
                <c:pt idx="799">
                  <c:v>132.76452715459391</c:v>
                </c:pt>
                <c:pt idx="800">
                  <c:v>132.71261412612671</c:v>
                </c:pt>
                <c:pt idx="801">
                  <c:v>132.66067821454322</c:v>
                </c:pt>
                <c:pt idx="802">
                  <c:v>132.60871938854896</c:v>
                </c:pt>
                <c:pt idx="803">
                  <c:v>132.55673761677693</c:v>
                </c:pt>
                <c:pt idx="804">
                  <c:v>132.50473286778745</c:v>
                </c:pt>
                <c:pt idx="805">
                  <c:v>132.45270511006777</c:v>
                </c:pt>
                <c:pt idx="806">
                  <c:v>132.400654312032</c:v>
                </c:pt>
                <c:pt idx="807">
                  <c:v>132.34858044202076</c:v>
                </c:pt>
                <c:pt idx="808">
                  <c:v>132.29648346830095</c:v>
                </c:pt>
                <c:pt idx="809">
                  <c:v>132.24436335906555</c:v>
                </c:pt>
                <c:pt idx="810">
                  <c:v>132.19222008243329</c:v>
                </c:pt>
                <c:pt idx="811">
                  <c:v>132.14005360644856</c:v>
                </c:pt>
                <c:pt idx="812">
                  <c:v>132.08786389908099</c:v>
                </c:pt>
                <c:pt idx="813">
                  <c:v>132.03565092822529</c:v>
                </c:pt>
                <c:pt idx="814">
                  <c:v>131.98341466170106</c:v>
                </c:pt>
                <c:pt idx="815">
                  <c:v>131.9311550672524</c:v>
                </c:pt>
                <c:pt idx="816">
                  <c:v>131.87887211254781</c:v>
                </c:pt>
                <c:pt idx="817">
                  <c:v>131.82656576517977</c:v>
                </c:pt>
                <c:pt idx="818">
                  <c:v>131.77423599266467</c:v>
                </c:pt>
                <c:pt idx="819">
                  <c:v>131.72188276244245</c:v>
                </c:pt>
                <c:pt idx="820">
                  <c:v>131.6695060418763</c:v>
                </c:pt>
                <c:pt idx="821">
                  <c:v>131.61710579825257</c:v>
                </c:pt>
                <c:pt idx="822">
                  <c:v>131.56468199878032</c:v>
                </c:pt>
                <c:pt idx="823">
                  <c:v>131.51223461059126</c:v>
                </c:pt>
                <c:pt idx="824">
                  <c:v>131.45976360073928</c:v>
                </c:pt>
                <c:pt idx="825">
                  <c:v>131.40726893620035</c:v>
                </c:pt>
                <c:pt idx="826">
                  <c:v>131.35475058387226</c:v>
                </c:pt>
                <c:pt idx="827">
                  <c:v>131.30220851057416</c:v>
                </c:pt>
                <c:pt idx="828">
                  <c:v>131.2496426830466</c:v>
                </c:pt>
                <c:pt idx="829">
                  <c:v>131.19705306795103</c:v>
                </c:pt>
                <c:pt idx="830">
                  <c:v>131.14443963186963</c:v>
                </c:pt>
                <c:pt idx="831">
                  <c:v>131.091802341305</c:v>
                </c:pt>
                <c:pt idx="832">
                  <c:v>131.03914116267998</c:v>
                </c:pt>
                <c:pt idx="833">
                  <c:v>130.9864560623372</c:v>
                </c:pt>
                <c:pt idx="834">
                  <c:v>130.93374700653908</c:v>
                </c:pt>
                <c:pt idx="835">
                  <c:v>130.88101396146726</c:v>
                </c:pt>
                <c:pt idx="836">
                  <c:v>130.8282568932226</c:v>
                </c:pt>
                <c:pt idx="837">
                  <c:v>130.7754757678247</c:v>
                </c:pt>
                <c:pt idx="838">
                  <c:v>130.72267055121176</c:v>
                </c:pt>
                <c:pt idx="839">
                  <c:v>130.66984120924025</c:v>
                </c:pt>
                <c:pt idx="840">
                  <c:v>130.61698770768459</c:v>
                </c:pt>
                <c:pt idx="841">
                  <c:v>130.56411001223688</c:v>
                </c:pt>
                <c:pt idx="842">
                  <c:v>130.51120808850678</c:v>
                </c:pt>
                <c:pt idx="843">
                  <c:v>130.45828190202101</c:v>
                </c:pt>
                <c:pt idx="844">
                  <c:v>130.40533141822323</c:v>
                </c:pt>
                <c:pt idx="845">
                  <c:v>130.35235660247358</c:v>
                </c:pt>
                <c:pt idx="846">
                  <c:v>130.29935742004861</c:v>
                </c:pt>
                <c:pt idx="847">
                  <c:v>130.24633383614088</c:v>
                </c:pt>
                <c:pt idx="848">
                  <c:v>130.19328581585862</c:v>
                </c:pt>
                <c:pt idx="849">
                  <c:v>130.1402133242255</c:v>
                </c:pt>
                <c:pt idx="850">
                  <c:v>130.08711632618048</c:v>
                </c:pt>
                <c:pt idx="851">
                  <c:v>130.03399478657718</c:v>
                </c:pt>
                <c:pt idx="852">
                  <c:v>129.98084867018392</c:v>
                </c:pt>
                <c:pt idx="853">
                  <c:v>129.9276779416833</c:v>
                </c:pt>
                <c:pt idx="854">
                  <c:v>129.8744825656718</c:v>
                </c:pt>
                <c:pt idx="855">
                  <c:v>129.82126250665971</c:v>
                </c:pt>
                <c:pt idx="856">
                  <c:v>129.76801772907061</c:v>
                </c:pt>
                <c:pt idx="857">
                  <c:v>129.71474819724128</c:v>
                </c:pt>
                <c:pt idx="858">
                  <c:v>129.66145387542116</c:v>
                </c:pt>
                <c:pt idx="859">
                  <c:v>129.60813472777224</c:v>
                </c:pt>
                <c:pt idx="860">
                  <c:v>129.55479071836871</c:v>
                </c:pt>
                <c:pt idx="861">
                  <c:v>129.50142181119659</c:v>
                </c:pt>
                <c:pt idx="862">
                  <c:v>129.4480279701535</c:v>
                </c:pt>
                <c:pt idx="863">
                  <c:v>129.39460915904837</c:v>
                </c:pt>
                <c:pt idx="864">
                  <c:v>129.34116534160103</c:v>
                </c:pt>
                <c:pt idx="865">
                  <c:v>129.287696481442</c:v>
                </c:pt>
                <c:pt idx="866">
                  <c:v>129.23420254211209</c:v>
                </c:pt>
                <c:pt idx="867">
                  <c:v>129.18068348706214</c:v>
                </c:pt>
                <c:pt idx="868">
                  <c:v>129.12713927965279</c:v>
                </c:pt>
                <c:pt idx="869">
                  <c:v>129.07356988315397</c:v>
                </c:pt>
                <c:pt idx="870">
                  <c:v>129.01997526074476</c:v>
                </c:pt>
                <c:pt idx="871">
                  <c:v>128.9663553755129</c:v>
                </c:pt>
                <c:pt idx="872">
                  <c:v>128.9127101904547</c:v>
                </c:pt>
                <c:pt idx="873">
                  <c:v>128.85903966847454</c:v>
                </c:pt>
                <c:pt idx="874">
                  <c:v>128.80534377238459</c:v>
                </c:pt>
                <c:pt idx="875">
                  <c:v>128.75162246490447</c:v>
                </c:pt>
                <c:pt idx="876">
                  <c:v>128.69787570866103</c:v>
                </c:pt>
                <c:pt idx="877">
                  <c:v>128.6441034661878</c:v>
                </c:pt>
                <c:pt idx="878">
                  <c:v>128.59030569992495</c:v>
                </c:pt>
                <c:pt idx="879">
                  <c:v>128.53648237221873</c:v>
                </c:pt>
                <c:pt idx="880">
                  <c:v>128.48263344532126</c:v>
                </c:pt>
                <c:pt idx="881">
                  <c:v>128.42875888139014</c:v>
                </c:pt>
                <c:pt idx="882">
                  <c:v>128.37485864248811</c:v>
                </c:pt>
                <c:pt idx="883">
                  <c:v>128.32093269058277</c:v>
                </c:pt>
                <c:pt idx="884">
                  <c:v>128.26698098754625</c:v>
                </c:pt>
                <c:pt idx="885">
                  <c:v>128.21300349515474</c:v>
                </c:pt>
                <c:pt idx="886">
                  <c:v>128.15900017508829</c:v>
                </c:pt>
                <c:pt idx="887">
                  <c:v>128.1049709889304</c:v>
                </c:pt>
                <c:pt idx="888">
                  <c:v>128.05091589816774</c:v>
                </c:pt>
                <c:pt idx="889">
                  <c:v>127.99683486418974</c:v>
                </c:pt>
                <c:pt idx="890">
                  <c:v>127.94272784828819</c:v>
                </c:pt>
                <c:pt idx="891">
                  <c:v>127.88859481165706</c:v>
                </c:pt>
                <c:pt idx="892">
                  <c:v>127.834435715392</c:v>
                </c:pt>
                <c:pt idx="893">
                  <c:v>127.7802505204901</c:v>
                </c:pt>
                <c:pt idx="894">
                  <c:v>127.72603918784939</c:v>
                </c:pt>
                <c:pt idx="895">
                  <c:v>127.67180167826864</c:v>
                </c:pt>
                <c:pt idx="896">
                  <c:v>127.6175379524469</c:v>
                </c:pt>
                <c:pt idx="897">
                  <c:v>127.56324797098316</c:v>
                </c:pt>
                <c:pt idx="898">
                  <c:v>127.50893169437607</c:v>
                </c:pt>
                <c:pt idx="899">
                  <c:v>127.45458908302348</c:v>
                </c:pt>
                <c:pt idx="900">
                  <c:v>127.40022009722213</c:v>
                </c:pt>
                <c:pt idx="901">
                  <c:v>127.34582469716722</c:v>
                </c:pt>
                <c:pt idx="902">
                  <c:v>127.29140284295214</c:v>
                </c:pt>
                <c:pt idx="903">
                  <c:v>127.23695449456801</c:v>
                </c:pt>
                <c:pt idx="904">
                  <c:v>127.1824796119034</c:v>
                </c:pt>
                <c:pt idx="905">
                  <c:v>127.12797815474386</c:v>
                </c:pt>
                <c:pt idx="906">
                  <c:v>127.07345008277164</c:v>
                </c:pt>
                <c:pt idx="907">
                  <c:v>127.01889535556522</c:v>
                </c:pt>
                <c:pt idx="908">
                  <c:v>126.964313932599</c:v>
                </c:pt>
                <c:pt idx="909">
                  <c:v>126.90970577324296</c:v>
                </c:pt>
                <c:pt idx="910">
                  <c:v>126.85507083676211</c:v>
                </c:pt>
                <c:pt idx="911">
                  <c:v>126.80040908231634</c:v>
                </c:pt>
                <c:pt idx="912">
                  <c:v>126.74572046895982</c:v>
                </c:pt>
                <c:pt idx="913">
                  <c:v>126.69100495564078</c:v>
                </c:pt>
                <c:pt idx="914">
                  <c:v>126.63626250120097</c:v>
                </c:pt>
                <c:pt idx="915">
                  <c:v>126.58149306437545</c:v>
                </c:pt>
                <c:pt idx="916">
                  <c:v>126.52669660379202</c:v>
                </c:pt>
                <c:pt idx="917">
                  <c:v>126.47187307797093</c:v>
                </c:pt>
                <c:pt idx="918">
                  <c:v>126.41702244532445</c:v>
                </c:pt>
                <c:pt idx="919">
                  <c:v>126.36214466415652</c:v>
                </c:pt>
                <c:pt idx="920">
                  <c:v>126.30723969266226</c:v>
                </c:pt>
                <c:pt idx="921">
                  <c:v>126.25230748892767</c:v>
                </c:pt>
                <c:pt idx="922">
                  <c:v>126.19734801092915</c:v>
                </c:pt>
                <c:pt idx="923">
                  <c:v>126.1423612165331</c:v>
                </c:pt>
                <c:pt idx="924">
                  <c:v>126.08734706349563</c:v>
                </c:pt>
                <c:pt idx="925">
                  <c:v>126.03230550946191</c:v>
                </c:pt>
                <c:pt idx="926">
                  <c:v>125.97723651196604</c:v>
                </c:pt>
                <c:pt idx="927">
                  <c:v>125.92214002843045</c:v>
                </c:pt>
                <c:pt idx="928">
                  <c:v>125.86701601616554</c:v>
                </c:pt>
                <c:pt idx="929">
                  <c:v>125.81186443236925</c:v>
                </c:pt>
                <c:pt idx="930">
                  <c:v>125.75668523412666</c:v>
                </c:pt>
                <c:pt idx="931">
                  <c:v>125.70147837840958</c:v>
                </c:pt>
                <c:pt idx="932">
                  <c:v>125.6462438220761</c:v>
                </c:pt>
                <c:pt idx="933">
                  <c:v>125.59098152187013</c:v>
                </c:pt>
                <c:pt idx="934">
                  <c:v>125.53569143442112</c:v>
                </c:pt>
                <c:pt idx="935">
                  <c:v>125.4803735162434</c:v>
                </c:pt>
                <c:pt idx="936">
                  <c:v>125.42502772373597</c:v>
                </c:pt>
                <c:pt idx="937">
                  <c:v>125.36965401318197</c:v>
                </c:pt>
                <c:pt idx="938">
                  <c:v>125.31425234074817</c:v>
                </c:pt>
                <c:pt idx="939">
                  <c:v>125.25882266248469</c:v>
                </c:pt>
                <c:pt idx="940">
                  <c:v>125.20336493432447</c:v>
                </c:pt>
                <c:pt idx="941">
                  <c:v>125.14787911208278</c:v>
                </c:pt>
                <c:pt idx="942">
                  <c:v>125.09236515145687</c:v>
                </c:pt>
                <c:pt idx="943">
                  <c:v>125.03682300802558</c:v>
                </c:pt>
                <c:pt idx="944">
                  <c:v>124.98125263724862</c:v>
                </c:pt>
                <c:pt idx="945">
                  <c:v>124.92565399446644</c:v>
                </c:pt>
                <c:pt idx="946">
                  <c:v>124.87002703489961</c:v>
                </c:pt>
                <c:pt idx="947">
                  <c:v>124.81437171364834</c:v>
                </c:pt>
                <c:pt idx="948">
                  <c:v>124.75868798569211</c:v>
                </c:pt>
                <c:pt idx="949">
                  <c:v>124.70297580588918</c:v>
                </c:pt>
                <c:pt idx="950">
                  <c:v>124.64723512897615</c:v>
                </c:pt>
                <c:pt idx="951">
                  <c:v>124.59146590956743</c:v>
                </c:pt>
                <c:pt idx="952">
                  <c:v>124.53566810215482</c:v>
                </c:pt>
                <c:pt idx="953">
                  <c:v>124.47984166110702</c:v>
                </c:pt>
                <c:pt idx="954">
                  <c:v>124.42398654066923</c:v>
                </c:pt>
                <c:pt idx="955">
                  <c:v>124.36810269496259</c:v>
                </c:pt>
                <c:pt idx="956">
                  <c:v>124.31219007798369</c:v>
                </c:pt>
                <c:pt idx="957">
                  <c:v>124.25624864360424</c:v>
                </c:pt>
                <c:pt idx="958">
                  <c:v>124.20027834557037</c:v>
                </c:pt>
                <c:pt idx="959">
                  <c:v>124.14427913750237</c:v>
                </c:pt>
                <c:pt idx="960">
                  <c:v>124.08825097289404</c:v>
                </c:pt>
                <c:pt idx="961">
                  <c:v>124.0321938051123</c:v>
                </c:pt>
                <c:pt idx="962">
                  <c:v>123.9761075873966</c:v>
                </c:pt>
                <c:pt idx="963">
                  <c:v>123.91999227285858</c:v>
                </c:pt>
                <c:pt idx="964">
                  <c:v>123.8638478144814</c:v>
                </c:pt>
                <c:pt idx="965">
                  <c:v>123.80767416511939</c:v>
                </c:pt>
                <c:pt idx="966">
                  <c:v>123.75147127749744</c:v>
                </c:pt>
                <c:pt idx="967">
                  <c:v>123.69523910421061</c:v>
                </c:pt>
                <c:pt idx="968">
                  <c:v>123.6389775977235</c:v>
                </c:pt>
                <c:pt idx="969">
                  <c:v>123.5826867103698</c:v>
                </c:pt>
                <c:pt idx="970">
                  <c:v>123.52636639435187</c:v>
                </c:pt>
                <c:pt idx="971">
                  <c:v>123.47001660174003</c:v>
                </c:pt>
                <c:pt idx="972">
                  <c:v>123.41363728447224</c:v>
                </c:pt>
                <c:pt idx="973">
                  <c:v>123.35722839435348</c:v>
                </c:pt>
                <c:pt idx="974">
                  <c:v>123.30078988305523</c:v>
                </c:pt>
                <c:pt idx="975">
                  <c:v>123.24432170211496</c:v>
                </c:pt>
                <c:pt idx="976">
                  <c:v>123.18782380293565</c:v>
                </c:pt>
                <c:pt idx="977">
                  <c:v>123.13129613678517</c:v>
                </c:pt>
                <c:pt idx="978">
                  <c:v>123.07473865479585</c:v>
                </c:pt>
                <c:pt idx="979">
                  <c:v>123.01815130796385</c:v>
                </c:pt>
                <c:pt idx="980">
                  <c:v>122.96153404714875</c:v>
                </c:pt>
                <c:pt idx="981">
                  <c:v>122.90488682307281</c:v>
                </c:pt>
                <c:pt idx="982">
                  <c:v>122.84820958632068</c:v>
                </c:pt>
                <c:pt idx="983">
                  <c:v>122.79150228733863</c:v>
                </c:pt>
                <c:pt idx="984">
                  <c:v>122.73476487643413</c:v>
                </c:pt>
                <c:pt idx="985">
                  <c:v>122.67799730377533</c:v>
                </c:pt>
                <c:pt idx="986">
                  <c:v>122.62119951939034</c:v>
                </c:pt>
                <c:pt idx="987">
                  <c:v>122.56437147316684</c:v>
                </c:pt>
                <c:pt idx="988">
                  <c:v>122.50751311485145</c:v>
                </c:pt>
                <c:pt idx="989">
                  <c:v>122.4506243940492</c:v>
                </c:pt>
                <c:pt idx="990">
                  <c:v>122.39370526022287</c:v>
                </c:pt>
                <c:pt idx="991">
                  <c:v>122.33675566269258</c:v>
                </c:pt>
                <c:pt idx="992">
                  <c:v>122.27977555063512</c:v>
                </c:pt>
                <c:pt idx="993">
                  <c:v>122.22276487308338</c:v>
                </c:pt>
                <c:pt idx="994">
                  <c:v>122.16572357892578</c:v>
                </c:pt>
                <c:pt idx="995">
                  <c:v>122.10865161690566</c:v>
                </c:pt>
                <c:pt idx="996">
                  <c:v>122.05154893562087</c:v>
                </c:pt>
                <c:pt idx="997">
                  <c:v>121.99441548352289</c:v>
                </c:pt>
                <c:pt idx="998">
                  <c:v>121.93725120891649</c:v>
                </c:pt>
                <c:pt idx="999">
                  <c:v>121.88005605995907</c:v>
                </c:pt>
                <c:pt idx="1000">
                  <c:v>121.82282998466</c:v>
                </c:pt>
                <c:pt idx="1001">
                  <c:v>121.76557293088008</c:v>
                </c:pt>
                <c:pt idx="1002">
                  <c:v>121.7082848463309</c:v>
                </c:pt>
                <c:pt idx="1003">
                  <c:v>121.65096567857434</c:v>
                </c:pt>
                <c:pt idx="1004">
                  <c:v>121.59361537502183</c:v>
                </c:pt>
                <c:pt idx="1005">
                  <c:v>121.53623388293381</c:v>
                </c:pt>
                <c:pt idx="1006">
                  <c:v>121.4788211494191</c:v>
                </c:pt>
                <c:pt idx="1007">
                  <c:v>121.42137712143432</c:v>
                </c:pt>
                <c:pt idx="1008">
                  <c:v>121.36390174578314</c:v>
                </c:pt>
                <c:pt idx="1009">
                  <c:v>121.30639496911587</c:v>
                </c:pt>
                <c:pt idx="1010">
                  <c:v>121.24885673792868</c:v>
                </c:pt>
                <c:pt idx="1011">
                  <c:v>121.19128699856299</c:v>
                </c:pt>
                <c:pt idx="1012">
                  <c:v>121.13368569720485</c:v>
                </c:pt>
                <c:pt idx="1013">
                  <c:v>121.07605277988436</c:v>
                </c:pt>
                <c:pt idx="1014">
                  <c:v>121.01838819247493</c:v>
                </c:pt>
                <c:pt idx="1015">
                  <c:v>120.96069188069271</c:v>
                </c:pt>
                <c:pt idx="1016">
                  <c:v>120.9029637900959</c:v>
                </c:pt>
                <c:pt idx="1017">
                  <c:v>120.84520386608412</c:v>
                </c:pt>
                <c:pt idx="1018">
                  <c:v>120.78741205389778</c:v>
                </c:pt>
                <c:pt idx="1019">
                  <c:v>120.72958829861737</c:v>
                </c:pt>
                <c:pt idx="1020">
                  <c:v>120.67173254516285</c:v>
                </c:pt>
                <c:pt idx="1021">
                  <c:v>120.61384473829301</c:v>
                </c:pt>
                <c:pt idx="1022">
                  <c:v>120.55592482260461</c:v>
                </c:pt>
                <c:pt idx="1023">
                  <c:v>120.49797274253204</c:v>
                </c:pt>
                <c:pt idx="1024">
                  <c:v>120.43998844234632</c:v>
                </c:pt>
                <c:pt idx="1025">
                  <c:v>120.38197186615463</c:v>
                </c:pt>
                <c:pt idx="1026">
                  <c:v>120.32392295789954</c:v>
                </c:pt>
                <c:pt idx="1027">
                  <c:v>120.26584166135837</c:v>
                </c:pt>
                <c:pt idx="1028">
                  <c:v>120.20772792014243</c:v>
                </c:pt>
                <c:pt idx="1029">
                  <c:v>120.1495816776964</c:v>
                </c:pt>
                <c:pt idx="1030">
                  <c:v>120.09140287729764</c:v>
                </c:pt>
                <c:pt idx="1031">
                  <c:v>120.0331914620554</c:v>
                </c:pt>
                <c:pt idx="1032">
                  <c:v>119.97494737491019</c:v>
                </c:pt>
                <c:pt idx="1033">
                  <c:v>119.91667055863304</c:v>
                </c:pt>
                <c:pt idx="1034">
                  <c:v>119.85836095582486</c:v>
                </c:pt>
                <c:pt idx="1035">
                  <c:v>119.80001850891558</c:v>
                </c:pt>
                <c:pt idx="1036">
                  <c:v>119.74164316016358</c:v>
                </c:pt>
                <c:pt idx="1037">
                  <c:v>119.68323485165482</c:v>
                </c:pt>
                <c:pt idx="1038">
                  <c:v>119.62479352530229</c:v>
                </c:pt>
                <c:pt idx="1039">
                  <c:v>119.56631912284513</c:v>
                </c:pt>
                <c:pt idx="1040">
                  <c:v>119.507811585848</c:v>
                </c:pt>
                <c:pt idx="1041">
                  <c:v>119.44927085570018</c:v>
                </c:pt>
                <c:pt idx="1042">
                  <c:v>119.39069687361501</c:v>
                </c:pt>
                <c:pt idx="1043">
                  <c:v>119.33208958062905</c:v>
                </c:pt>
                <c:pt idx="1044">
                  <c:v>119.27344891760133</c:v>
                </c:pt>
                <c:pt idx="1045">
                  <c:v>119.21477482521261</c:v>
                </c:pt>
                <c:pt idx="1046">
                  <c:v>119.15606724396466</c:v>
                </c:pt>
                <c:pt idx="1047">
                  <c:v>119.09732611417935</c:v>
                </c:pt>
                <c:pt idx="1048">
                  <c:v>119.0385513759981</c:v>
                </c:pt>
                <c:pt idx="1049">
                  <c:v>118.97974296938089</c:v>
                </c:pt>
                <c:pt idx="1050">
                  <c:v>118.92090083410565</c:v>
                </c:pt>
                <c:pt idx="1051">
                  <c:v>118.86202490976738</c:v>
                </c:pt>
                <c:pt idx="1052">
                  <c:v>118.80311513577739</c:v>
                </c:pt>
                <c:pt idx="1053">
                  <c:v>118.74417145136255</c:v>
                </c:pt>
                <c:pt idx="1054">
                  <c:v>118.6851937955644</c:v>
                </c:pt>
                <c:pt idx="1055">
                  <c:v>118.62618210723846</c:v>
                </c:pt>
                <c:pt idx="1056">
                  <c:v>118.5671363250534</c:v>
                </c:pt>
                <c:pt idx="1057">
                  <c:v>118.50805638749011</c:v>
                </c:pt>
                <c:pt idx="1058">
                  <c:v>118.44894223284109</c:v>
                </c:pt>
                <c:pt idx="1059">
                  <c:v>118.38979379920944</c:v>
                </c:pt>
                <c:pt idx="1060">
                  <c:v>118.33061102450822</c:v>
                </c:pt>
                <c:pt idx="1061">
                  <c:v>118.27139384645943</c:v>
                </c:pt>
                <c:pt idx="1062">
                  <c:v>118.21214220259338</c:v>
                </c:pt>
                <c:pt idx="1063">
                  <c:v>118.15285603024769</c:v>
                </c:pt>
                <c:pt idx="1064">
                  <c:v>118.09353526656652</c:v>
                </c:pt>
                <c:pt idx="1065">
                  <c:v>118.03417984849975</c:v>
                </c:pt>
                <c:pt idx="1066">
                  <c:v>117.97478971280205</c:v>
                </c:pt>
                <c:pt idx="1067">
                  <c:v>117.91536479603212</c:v>
                </c:pt>
                <c:pt idx="1068">
                  <c:v>117.85590503455177</c:v>
                </c:pt>
                <c:pt idx="1069">
                  <c:v>117.79641036452504</c:v>
                </c:pt>
                <c:pt idx="1070">
                  <c:v>117.7368807219174</c:v>
                </c:pt>
                <c:pt idx="1071">
                  <c:v>117.67731604249481</c:v>
                </c:pt>
                <c:pt idx="1072">
                  <c:v>117.61771626182288</c:v>
                </c:pt>
                <c:pt idx="1073">
                  <c:v>117.55808131526599</c:v>
                </c:pt>
                <c:pt idx="1074">
                  <c:v>117.49841113798635</c:v>
                </c:pt>
                <c:pt idx="1075">
                  <c:v>117.43870566494311</c:v>
                </c:pt>
                <c:pt idx="1076">
                  <c:v>117.37896483089158</c:v>
                </c:pt>
                <c:pt idx="1077">
                  <c:v>117.31918857038217</c:v>
                </c:pt>
                <c:pt idx="1078">
                  <c:v>117.25937681775953</c:v>
                </c:pt>
                <c:pt idx="1079">
                  <c:v>117.19952950716171</c:v>
                </c:pt>
                <c:pt idx="1080">
                  <c:v>117.13964657251911</c:v>
                </c:pt>
                <c:pt idx="1081">
                  <c:v>117.07972794755366</c:v>
                </c:pt>
                <c:pt idx="1082">
                  <c:v>117.01977356577787</c:v>
                </c:pt>
                <c:pt idx="1083">
                  <c:v>116.95978336049382</c:v>
                </c:pt>
                <c:pt idx="1084">
                  <c:v>116.8997572647923</c:v>
                </c:pt>
                <c:pt idx="1085">
                  <c:v>116.83969521155187</c:v>
                </c:pt>
                <c:pt idx="1086">
                  <c:v>116.77959713343783</c:v>
                </c:pt>
                <c:pt idx="1087">
                  <c:v>116.7194629629013</c:v>
                </c:pt>
                <c:pt idx="1088">
                  <c:v>116.65929263217828</c:v>
                </c:pt>
                <c:pt idx="1089">
                  <c:v>116.59908607328867</c:v>
                </c:pt>
                <c:pt idx="1090">
                  <c:v>116.53884321803524</c:v>
                </c:pt>
                <c:pt idx="1091">
                  <c:v>116.47856399800274</c:v>
                </c:pt>
                <c:pt idx="1092">
                  <c:v>116.41824834455687</c:v>
                </c:pt>
                <c:pt idx="1093">
                  <c:v>116.35789618884323</c:v>
                </c:pt>
                <c:pt idx="1094">
                  <c:v>116.29750746178642</c:v>
                </c:pt>
                <c:pt idx="1095">
                  <c:v>116.237082094089</c:v>
                </c:pt>
                <c:pt idx="1096">
                  <c:v>116.17662001623044</c:v>
                </c:pt>
                <c:pt idx="1097">
                  <c:v>116.11612115846617</c:v>
                </c:pt>
                <c:pt idx="1098">
                  <c:v>116.0555854508265</c:v>
                </c:pt>
                <c:pt idx="1099">
                  <c:v>115.9950128231156</c:v>
                </c:pt>
                <c:pt idx="1100">
                  <c:v>115.93440320491054</c:v>
                </c:pt>
                <c:pt idx="1101">
                  <c:v>115.87375652556014</c:v>
                </c:pt>
                <c:pt idx="1102">
                  <c:v>115.81307271418399</c:v>
                </c:pt>
                <c:pt idx="1103">
                  <c:v>115.75235169967137</c:v>
                </c:pt>
                <c:pt idx="1104">
                  <c:v>115.69159341068026</c:v>
                </c:pt>
                <c:pt idx="1105">
                  <c:v>115.63079777563613</c:v>
                </c:pt>
                <c:pt idx="1106">
                  <c:v>115.569964722731</c:v>
                </c:pt>
                <c:pt idx="1107">
                  <c:v>115.50909417992237</c:v>
                </c:pt>
                <c:pt idx="1108">
                  <c:v>115.448186074932</c:v>
                </c:pt>
                <c:pt idx="1109">
                  <c:v>115.38724033524494</c:v>
                </c:pt>
                <c:pt idx="1110">
                  <c:v>115.32625688810839</c:v>
                </c:pt>
                <c:pt idx="1111">
                  <c:v>115.26523566053064</c:v>
                </c:pt>
                <c:pt idx="1112">
                  <c:v>115.20417657927983</c:v>
                </c:pt>
                <c:pt idx="1113">
                  <c:v>115.14307957088303</c:v>
                </c:pt>
                <c:pt idx="1114">
                  <c:v>115.08194456162495</c:v>
                </c:pt>
                <c:pt idx="1115">
                  <c:v>115.02077147754687</c:v>
                </c:pt>
                <c:pt idx="1116">
                  <c:v>114.95956024444553</c:v>
                </c:pt>
                <c:pt idx="1117">
                  <c:v>114.89831078787192</c:v>
                </c:pt>
                <c:pt idx="1118">
                  <c:v>114.83702303313019</c:v>
                </c:pt>
                <c:pt idx="1119">
                  <c:v>114.77569690527649</c:v>
                </c:pt>
                <c:pt idx="1120">
                  <c:v>114.71433232911771</c:v>
                </c:pt>
                <c:pt idx="1121">
                  <c:v>114.65292922921044</c:v>
                </c:pt>
                <c:pt idx="1122">
                  <c:v>114.59148752985972</c:v>
                </c:pt>
                <c:pt idx="1123">
                  <c:v>114.53000715511784</c:v>
                </c:pt>
                <c:pt idx="1124">
                  <c:v>114.4684880287832</c:v>
                </c:pt>
                <c:pt idx="1125">
                  <c:v>114.40693007439901</c:v>
                </c:pt>
                <c:pt idx="1126">
                  <c:v>114.34533321525225</c:v>
                </c:pt>
                <c:pt idx="1127">
                  <c:v>114.28369737437225</c:v>
                </c:pt>
                <c:pt idx="1128">
                  <c:v>114.22202247452964</c:v>
                </c:pt>
                <c:pt idx="1129">
                  <c:v>114.16030843823501</c:v>
                </c:pt>
                <c:pt idx="1130">
                  <c:v>114.09855518773772</c:v>
                </c:pt>
                <c:pt idx="1131">
                  <c:v>114.03676264502462</c:v>
                </c:pt>
                <c:pt idx="1132">
                  <c:v>113.97493073181884</c:v>
                </c:pt>
                <c:pt idx="1133">
                  <c:v>113.91305936957851</c:v>
                </c:pt>
                <c:pt idx="1134">
                  <c:v>113.85114847949545</c:v>
                </c:pt>
                <c:pt idx="1135">
                  <c:v>113.78919798249395</c:v>
                </c:pt>
                <c:pt idx="1136">
                  <c:v>113.72720779922948</c:v>
                </c:pt>
                <c:pt idx="1137">
                  <c:v>113.66517785008733</c:v>
                </c:pt>
                <c:pt idx="1138">
                  <c:v>113.60310805518139</c:v>
                </c:pt>
                <c:pt idx="1139">
                  <c:v>113.54099833435282</c:v>
                </c:pt>
                <c:pt idx="1140">
                  <c:v>113.47884860716869</c:v>
                </c:pt>
                <c:pt idx="1141">
                  <c:v>113.41665879292066</c:v>
                </c:pt>
                <c:pt idx="1142">
                  <c:v>113.35442881062372</c:v>
                </c:pt>
                <c:pt idx="1143">
                  <c:v>113.29215857901477</c:v>
                </c:pt>
                <c:pt idx="1144">
                  <c:v>113.22984801655129</c:v>
                </c:pt>
                <c:pt idx="1145">
                  <c:v>113.16749704141</c:v>
                </c:pt>
                <c:pt idx="1146">
                  <c:v>113.10510557148542</c:v>
                </c:pt>
                <c:pt idx="1147">
                  <c:v>113.04267352438865</c:v>
                </c:pt>
                <c:pt idx="1148">
                  <c:v>112.98020081744578</c:v>
                </c:pt>
                <c:pt idx="1149">
                  <c:v>112.91768736769666</c:v>
                </c:pt>
                <c:pt idx="1150">
                  <c:v>112.85513309189339</c:v>
                </c:pt>
                <c:pt idx="1151">
                  <c:v>112.79253790649901</c:v>
                </c:pt>
                <c:pt idx="1152">
                  <c:v>112.72990172768594</c:v>
                </c:pt>
                <c:pt idx="1153">
                  <c:v>112.66722447133473</c:v>
                </c:pt>
                <c:pt idx="1154">
                  <c:v>112.60450605303244</c:v>
                </c:pt>
                <c:pt idx="1155">
                  <c:v>112.54174638807129</c:v>
                </c:pt>
                <c:pt idx="1156">
                  <c:v>112.47894539144721</c:v>
                </c:pt>
                <c:pt idx="1157">
                  <c:v>112.41610297785834</c:v>
                </c:pt>
                <c:pt idx="1158">
                  <c:v>112.35321906170354</c:v>
                </c:pt>
                <c:pt idx="1159">
                  <c:v>112.29029355708094</c:v>
                </c:pt>
                <c:pt idx="1160">
                  <c:v>112.22732637778643</c:v>
                </c:pt>
                <c:pt idx="1161">
                  <c:v>112.16431743731215</c:v>
                </c:pt>
                <c:pt idx="1162">
                  <c:v>112.10126664884496</c:v>
                </c:pt>
                <c:pt idx="1163">
                  <c:v>112.03817392526499</c:v>
                </c:pt>
                <c:pt idx="1164">
                  <c:v>111.97503917914401</c:v>
                </c:pt>
                <c:pt idx="1165">
                  <c:v>111.91186232274389</c:v>
                </c:pt>
                <c:pt idx="1166">
                  <c:v>111.84864326801514</c:v>
                </c:pt>
                <c:pt idx="1167">
                  <c:v>111.78538192659528</c:v>
                </c:pt>
                <c:pt idx="1168">
                  <c:v>111.72207820980722</c:v>
                </c:pt>
                <c:pt idx="1169">
                  <c:v>111.65873202865781</c:v>
                </c:pt>
                <c:pt idx="1170">
                  <c:v>111.59534329383607</c:v>
                </c:pt>
                <c:pt idx="1171">
                  <c:v>111.53191191571175</c:v>
                </c:pt>
                <c:pt idx="1172">
                  <c:v>111.46843780433355</c:v>
                </c:pt>
                <c:pt idx="1173">
                  <c:v>111.40492086942768</c:v>
                </c:pt>
                <c:pt idx="1174">
                  <c:v>111.34136102039608</c:v>
                </c:pt>
                <c:pt idx="1175">
                  <c:v>111.27775816631478</c:v>
                </c:pt>
                <c:pt idx="1176">
                  <c:v>111.21411221593235</c:v>
                </c:pt>
                <c:pt idx="1177">
                  <c:v>111.15042307766808</c:v>
                </c:pt>
                <c:pt idx="1178">
                  <c:v>111.08669065961044</c:v>
                </c:pt>
                <c:pt idx="1179">
                  <c:v>111.02291486951526</c:v>
                </c:pt>
                <c:pt idx="1180">
                  <c:v>110.95909561480416</c:v>
                </c:pt>
                <c:pt idx="1181">
                  <c:v>110.89523280256267</c:v>
                </c:pt>
                <c:pt idx="1182">
                  <c:v>110.83132633953871</c:v>
                </c:pt>
                <c:pt idx="1183">
                  <c:v>110.76737613214065</c:v>
                </c:pt>
                <c:pt idx="1184">
                  <c:v>110.70338208643568</c:v>
                </c:pt>
                <c:pt idx="1185">
                  <c:v>110.63934410814804</c:v>
                </c:pt>
                <c:pt idx="1186">
                  <c:v>110.57526210265719</c:v>
                </c:pt>
                <c:pt idx="1187">
                  <c:v>110.51113597499608</c:v>
                </c:pt>
                <c:pt idx="1188">
                  <c:v>110.44696562984934</c:v>
                </c:pt>
                <c:pt idx="1189">
                  <c:v>110.38275097155146</c:v>
                </c:pt>
                <c:pt idx="1190">
                  <c:v>110.31849190408499</c:v>
                </c:pt>
                <c:pt idx="1191">
                  <c:v>110.25418833107867</c:v>
                </c:pt>
                <c:pt idx="1192">
                  <c:v>110.18984015580561</c:v>
                </c:pt>
                <c:pt idx="1193">
                  <c:v>110.12544728118145</c:v>
                </c:pt>
                <c:pt idx="1194">
                  <c:v>110.06100960976246</c:v>
                </c:pt>
                <c:pt idx="1195">
                  <c:v>109.99652704374368</c:v>
                </c:pt>
                <c:pt idx="1196">
                  <c:v>109.93199948495695</c:v>
                </c:pt>
                <c:pt idx="1197">
                  <c:v>109.86742683486915</c:v>
                </c:pt>
                <c:pt idx="1198">
                  <c:v>109.80280899458012</c:v>
                </c:pt>
                <c:pt idx="1199">
                  <c:v>109.73814586482081</c:v>
                </c:pt>
                <c:pt idx="1200">
                  <c:v>109.67343734595136</c:v>
                </c:pt>
                <c:pt idx="1201">
                  <c:v>109.60868333795904</c:v>
                </c:pt>
                <c:pt idx="1202">
                  <c:v>109.54388374045637</c:v>
                </c:pt>
                <c:pt idx="1203">
                  <c:v>109.47903845267905</c:v>
                </c:pt>
                <c:pt idx="1204">
                  <c:v>109.41414737348406</c:v>
                </c:pt>
                <c:pt idx="1205">
                  <c:v>109.34921040134753</c:v>
                </c:pt>
                <c:pt idx="1206">
                  <c:v>109.28422743436278</c:v>
                </c:pt>
                <c:pt idx="1207">
                  <c:v>109.21919837023826</c:v>
                </c:pt>
                <c:pt idx="1208">
                  <c:v>109.15412310629554</c:v>
                </c:pt>
                <c:pt idx="1209">
                  <c:v>109.08900153946711</c:v>
                </c:pt>
                <c:pt idx="1210">
                  <c:v>109.02383356629443</c:v>
                </c:pt>
                <c:pt idx="1211">
                  <c:v>108.95861908292574</c:v>
                </c:pt>
                <c:pt idx="1212">
                  <c:v>108.89335798511402</c:v>
                </c:pt>
                <c:pt idx="1213">
                  <c:v>108.82805016821479</c:v>
                </c:pt>
                <c:pt idx="1214">
                  <c:v>108.76269552718399</c:v>
                </c:pt>
                <c:pt idx="1215">
                  <c:v>108.69729395657583</c:v>
                </c:pt>
                <c:pt idx="1216">
                  <c:v>108.63184535054062</c:v>
                </c:pt>
                <c:pt idx="1217">
                  <c:v>108.56634960282253</c:v>
                </c:pt>
                <c:pt idx="1218">
                  <c:v>108.50080660675745</c:v>
                </c:pt>
                <c:pt idx="1219">
                  <c:v>108.43521625527075</c:v>
                </c:pt>
                <c:pt idx="1220">
                  <c:v>108.369578440875</c:v>
                </c:pt>
                <c:pt idx="1221">
                  <c:v>108.30389305566777</c:v>
                </c:pt>
                <c:pt idx="1222">
                  <c:v>108.23815999132935</c:v>
                </c:pt>
                <c:pt idx="1223">
                  <c:v>108.17237913912042</c:v>
                </c:pt>
                <c:pt idx="1224">
                  <c:v>108.10655038987981</c:v>
                </c:pt>
                <c:pt idx="1225">
                  <c:v>108.04067363402217</c:v>
                </c:pt>
                <c:pt idx="1226">
                  <c:v>107.97474876153558</c:v>
                </c:pt>
                <c:pt idx="1227">
                  <c:v>107.90877566197929</c:v>
                </c:pt>
                <c:pt idx="1228">
                  <c:v>107.8427542244813</c:v>
                </c:pt>
                <c:pt idx="1229">
                  <c:v>107.77668433773594</c:v>
                </c:pt>
                <c:pt idx="1230">
                  <c:v>107.71056589000156</c:v>
                </c:pt>
                <c:pt idx="1231">
                  <c:v>107.64439876909802</c:v>
                </c:pt>
                <c:pt idx="1232">
                  <c:v>107.57818286240432</c:v>
                </c:pt>
                <c:pt idx="1233">
                  <c:v>107.51191805685613</c:v>
                </c:pt>
                <c:pt idx="1234">
                  <c:v>107.4456042389433</c:v>
                </c:pt>
                <c:pt idx="1235">
                  <c:v>107.37924129470738</c:v>
                </c:pt>
                <c:pt idx="1236">
                  <c:v>107.3128291097391</c:v>
                </c:pt>
                <c:pt idx="1237">
                  <c:v>107.24636756917592</c:v>
                </c:pt>
                <c:pt idx="1238">
                  <c:v>107.17985655769934</c:v>
                </c:pt>
                <c:pt idx="1239">
                  <c:v>107.11329595953249</c:v>
                </c:pt>
                <c:pt idx="1240">
                  <c:v>107.04668565843747</c:v>
                </c:pt>
                <c:pt idx="1241">
                  <c:v>106.98002553771278</c:v>
                </c:pt>
                <c:pt idx="1242">
                  <c:v>106.91331548019065</c:v>
                </c:pt>
                <c:pt idx="1243">
                  <c:v>106.84655536823446</c:v>
                </c:pt>
                <c:pt idx="1244">
                  <c:v>106.77974508373607</c:v>
                </c:pt>
                <c:pt idx="1245">
                  <c:v>106.71288450811315</c:v>
                </c:pt>
                <c:pt idx="1246">
                  <c:v>106.64597352230642</c:v>
                </c:pt>
                <c:pt idx="1247">
                  <c:v>106.57901200677706</c:v>
                </c:pt>
                <c:pt idx="1248">
                  <c:v>106.51199984150384</c:v>
                </c:pt>
                <c:pt idx="1249">
                  <c:v>106.44493690598043</c:v>
                </c:pt>
                <c:pt idx="1250">
                  <c:v>106.37782307921265</c:v>
                </c:pt>
                <c:pt idx="1251">
                  <c:v>106.31065823971561</c:v>
                </c:pt>
                <c:pt idx="1252">
                  <c:v>106.24344226551094</c:v>
                </c:pt>
                <c:pt idx="1253">
                  <c:v>106.17617503412391</c:v>
                </c:pt>
                <c:pt idx="1254">
                  <c:v>106.10885642258064</c:v>
                </c:pt>
                <c:pt idx="1255">
                  <c:v>106.04148630740514</c:v>
                </c:pt>
                <c:pt idx="1256">
                  <c:v>105.97406456461646</c:v>
                </c:pt>
                <c:pt idx="1257">
                  <c:v>105.90659106972569</c:v>
                </c:pt>
                <c:pt idx="1258">
                  <c:v>105.83906569773318</c:v>
                </c:pt>
                <c:pt idx="1259">
                  <c:v>105.77148832312533</c:v>
                </c:pt>
                <c:pt idx="1260">
                  <c:v>105.70385881987184</c:v>
                </c:pt>
                <c:pt idx="1261">
                  <c:v>105.63617706142253</c:v>
                </c:pt>
                <c:pt idx="1262">
                  <c:v>105.56844292070438</c:v>
                </c:pt>
                <c:pt idx="1263">
                  <c:v>105.50065627011844</c:v>
                </c:pt>
                <c:pt idx="1264">
                  <c:v>105.43281698153679</c:v>
                </c:pt>
                <c:pt idx="1265">
                  <c:v>105.36492492629935</c:v>
                </c:pt>
                <c:pt idx="1266">
                  <c:v>105.29697997521087</c:v>
                </c:pt>
                <c:pt idx="1267">
                  <c:v>105.22898199853766</c:v>
                </c:pt>
                <c:pt idx="1268">
                  <c:v>105.16093086600448</c:v>
                </c:pt>
                <c:pt idx="1269">
                  <c:v>105.09282644679135</c:v>
                </c:pt>
                <c:pt idx="1270">
                  <c:v>105.02466860953024</c:v>
                </c:pt>
                <c:pt idx="1271">
                  <c:v>104.95645722230195</c:v>
                </c:pt>
                <c:pt idx="1272">
                  <c:v>104.88819215263271</c:v>
                </c:pt>
                <c:pt idx="1273">
                  <c:v>104.81987326749098</c:v>
                </c:pt>
                <c:pt idx="1274">
                  <c:v>104.75150043328398</c:v>
                </c:pt>
                <c:pt idx="1275">
                  <c:v>104.68307351585452</c:v>
                </c:pt>
                <c:pt idx="1276">
                  <c:v>104.61459238047752</c:v>
                </c:pt>
                <c:pt idx="1277">
                  <c:v>104.54605689185658</c:v>
                </c:pt>
                <c:pt idx="1278">
                  <c:v>104.47746691412067</c:v>
                </c:pt>
                <c:pt idx="1279">
                  <c:v>104.40882231082048</c:v>
                </c:pt>
                <c:pt idx="1280">
                  <c:v>104.34012294492513</c:v>
                </c:pt>
                <c:pt idx="1281">
                  <c:v>104.27136867881856</c:v>
                </c:pt>
                <c:pt idx="1282">
                  <c:v>104.202559374296</c:v>
                </c:pt>
                <c:pt idx="1283">
                  <c:v>104.13369489256044</c:v>
                </c:pt>
                <c:pt idx="1284">
                  <c:v>104.06477509421894</c:v>
                </c:pt>
                <c:pt idx="1285">
                  <c:v>103.99579983927916</c:v>
                </c:pt>
                <c:pt idx="1286">
                  <c:v>103.92676898714556</c:v>
                </c:pt>
                <c:pt idx="1287">
                  <c:v>103.85768239661583</c:v>
                </c:pt>
                <c:pt idx="1288">
                  <c:v>103.7885399258771</c:v>
                </c:pt>
                <c:pt idx="1289">
                  <c:v>103.71934143250225</c:v>
                </c:pt>
                <c:pt idx="1290">
                  <c:v>103.65008677344613</c:v>
                </c:pt>
                <c:pt idx="1291">
                  <c:v>103.58077580504174</c:v>
                </c:pt>
                <c:pt idx="1292">
                  <c:v>103.51140838299648</c:v>
                </c:pt>
                <c:pt idx="1293">
                  <c:v>103.44198436238814</c:v>
                </c:pt>
                <c:pt idx="1294">
                  <c:v>103.37250359766119</c:v>
                </c:pt>
                <c:pt idx="1295">
                  <c:v>103.30296594262275</c:v>
                </c:pt>
                <c:pt idx="1296">
                  <c:v>103.23337125043862</c:v>
                </c:pt>
                <c:pt idx="1297">
                  <c:v>103.16371937362939</c:v>
                </c:pt>
                <c:pt idx="1298">
                  <c:v>103.09401016406632</c:v>
                </c:pt>
                <c:pt idx="1299">
                  <c:v>103.02424347296741</c:v>
                </c:pt>
                <c:pt idx="1300">
                  <c:v>102.95441915089319</c:v>
                </c:pt>
                <c:pt idx="1301">
                  <c:v>102.88453704774267</c:v>
                </c:pt>
                <c:pt idx="1302">
                  <c:v>102.81459701274923</c:v>
                </c:pt>
                <c:pt idx="1303">
                  <c:v>102.7445988944764</c:v>
                </c:pt>
                <c:pt idx="1304">
                  <c:v>102.67454254081358</c:v>
                </c:pt>
                <c:pt idx="1305">
                  <c:v>102.60442779897191</c:v>
                </c:pt>
                <c:pt idx="1306">
                  <c:v>102.53425451547996</c:v>
                </c:pt>
                <c:pt idx="1307">
                  <c:v>102.46402253617927</c:v>
                </c:pt>
                <c:pt idx="1308">
                  <c:v>102.39373170622024</c:v>
                </c:pt>
                <c:pt idx="1309">
                  <c:v>102.3233818700575</c:v>
                </c:pt>
                <c:pt idx="1310">
                  <c:v>102.25297287144566</c:v>
                </c:pt>
                <c:pt idx="1311">
                  <c:v>102.18250455343474</c:v>
                </c:pt>
                <c:pt idx="1312">
                  <c:v>102.11197675836573</c:v>
                </c:pt>
                <c:pt idx="1313">
                  <c:v>102.04138932786599</c:v>
                </c:pt>
                <c:pt idx="1314">
                  <c:v>101.97074210284477</c:v>
                </c:pt>
                <c:pt idx="1315">
                  <c:v>101.90003492348852</c:v>
                </c:pt>
                <c:pt idx="1316">
                  <c:v>101.82926762925625</c:v>
                </c:pt>
                <c:pt idx="1317">
                  <c:v>101.75844005887488</c:v>
                </c:pt>
                <c:pt idx="1318">
                  <c:v>101.68755205033447</c:v>
                </c:pt>
                <c:pt idx="1319">
                  <c:v>101.61660344088347</c:v>
                </c:pt>
                <c:pt idx="1320">
                  <c:v>101.54559406702387</c:v>
                </c:pt>
                <c:pt idx="1321">
                  <c:v>101.47452376450644</c:v>
                </c:pt>
                <c:pt idx="1322">
                  <c:v>101.4033923683258</c:v>
                </c:pt>
                <c:pt idx="1323">
                  <c:v>101.33219971271544</c:v>
                </c:pt>
                <c:pt idx="1324">
                  <c:v>101.26094563114276</c:v>
                </c:pt>
                <c:pt idx="1325">
                  <c:v>101.18962995630419</c:v>
                </c:pt>
                <c:pt idx="1326">
                  <c:v>101.1182525201199</c:v>
                </c:pt>
                <c:pt idx="1327">
                  <c:v>101.04681315372889</c:v>
                </c:pt>
                <c:pt idx="1328">
                  <c:v>100.97531168748381</c:v>
                </c:pt>
                <c:pt idx="1329">
                  <c:v>100.90374795094566</c:v>
                </c:pt>
                <c:pt idx="1330">
                  <c:v>100.83212177287871</c:v>
                </c:pt>
                <c:pt idx="1331">
                  <c:v>100.76043298124516</c:v>
                </c:pt>
                <c:pt idx="1332">
                  <c:v>100.68868140319978</c:v>
                </c:pt>
                <c:pt idx="1333">
                  <c:v>100.61686686508459</c:v>
                </c:pt>
                <c:pt idx="1334">
                  <c:v>100.54498919242343</c:v>
                </c:pt>
                <c:pt idx="1335">
                  <c:v>100.47304820991654</c:v>
                </c:pt>
                <c:pt idx="1336">
                  <c:v>100.40104374143499</c:v>
                </c:pt>
                <c:pt idx="1337">
                  <c:v>100.32897561001515</c:v>
                </c:pt>
                <c:pt idx="1338">
                  <c:v>100.25684363785307</c:v>
                </c:pt>
                <c:pt idx="1339">
                  <c:v>100.1846476462989</c:v>
                </c:pt>
                <c:pt idx="1340">
                  <c:v>100.11238745585112</c:v>
                </c:pt>
                <c:pt idx="1341">
                  <c:v>100.04006288615079</c:v>
                </c:pt>
                <c:pt idx="1342">
                  <c:v>99.967673755975738</c:v>
                </c:pt>
                <c:pt idx="1343">
                  <c:v>99.895219883234788</c:v>
                </c:pt>
                <c:pt idx="1344">
                  <c:v>99.822701084961807</c:v>
                </c:pt>
                <c:pt idx="1345">
                  <c:v>99.75011717730969</c:v>
                </c:pt>
                <c:pt idx="1346">
                  <c:v>99.677467975544431</c:v>
                </c:pt>
                <c:pt idx="1347">
                  <c:v>99.604753294039085</c:v>
                </c:pt>
                <c:pt idx="1348">
                  <c:v>99.531972946267516</c:v>
                </c:pt>
                <c:pt idx="1349">
                  <c:v>99.459126744798411</c:v>
                </c:pt>
                <c:pt idx="1350">
                  <c:v>99.386214501288947</c:v>
                </c:pt>
                <c:pt idx="1351">
                  <c:v>99.31323602647845</c:v>
                </c:pt>
                <c:pt idx="1352">
                  <c:v>99.240191130182239</c:v>
                </c:pt>
                <c:pt idx="1353">
                  <c:v>99.167079621285069</c:v>
                </c:pt>
                <c:pt idx="1354">
                  <c:v>99.093901307734782</c:v>
                </c:pt>
                <c:pt idx="1355">
                  <c:v>99.02065599653578</c:v>
                </c:pt>
                <c:pt idx="1356">
                  <c:v>98.947343493742395</c:v>
                </c:pt>
                <c:pt idx="1357">
                  <c:v>98.873963604452371</c:v>
                </c:pt>
                <c:pt idx="1358">
                  <c:v>98.800516132800055</c:v>
                </c:pt>
                <c:pt idx="1359">
                  <c:v>98.72700088194982</c:v>
                </c:pt>
                <c:pt idx="1360">
                  <c:v>98.653417654089054</c:v>
                </c:pt>
                <c:pt idx="1361">
                  <c:v>98.579766250421457</c:v>
                </c:pt>
                <c:pt idx="1362">
                  <c:v>98.506046471160047</c:v>
                </c:pt>
                <c:pt idx="1363">
                  <c:v>98.43225811552017</c:v>
                </c:pt>
                <c:pt idx="1364">
                  <c:v>98.358400981712435</c:v>
                </c:pt>
                <c:pt idx="1365">
                  <c:v>98.284474866935611</c:v>
                </c:pt>
                <c:pt idx="1366">
                  <c:v>98.210479567369404</c:v>
                </c:pt>
                <c:pt idx="1367">
                  <c:v>98.136414878167244</c:v>
                </c:pt>
                <c:pt idx="1368">
                  <c:v>98.062280593448946</c:v>
                </c:pt>
                <c:pt idx="1369">
                  <c:v>97.988076506293353</c:v>
                </c:pt>
                <c:pt idx="1370">
                  <c:v>97.913802408730788</c:v>
                </c:pt>
                <c:pt idx="1371">
                  <c:v>97.839458091735622</c:v>
                </c:pt>
                <c:pt idx="1372">
                  <c:v>97.765043345218658</c:v>
                </c:pt>
                <c:pt idx="1373">
                  <c:v>97.69055795801944</c:v>
                </c:pt>
                <c:pt idx="1374">
                  <c:v>97.616001717898513</c:v>
                </c:pt>
                <c:pt idx="1375">
                  <c:v>97.541374411529659</c:v>
                </c:pt>
                <c:pt idx="1376">
                  <c:v>97.466675824491958</c:v>
                </c:pt>
                <c:pt idx="1377">
                  <c:v>97.391905741261851</c:v>
                </c:pt>
                <c:pt idx="1378">
                  <c:v>97.31706394520512</c:v>
                </c:pt>
                <c:pt idx="1379">
                  <c:v>97.242150218568739</c:v>
                </c:pt>
                <c:pt idx="1380">
                  <c:v>97.167164342472745</c:v>
                </c:pt>
                <c:pt idx="1381">
                  <c:v>97.092106096901944</c:v>
                </c:pt>
                <c:pt idx="1382">
                  <c:v>97.016975260697563</c:v>
                </c:pt>
                <c:pt idx="1383">
                  <c:v>96.941771611548859</c:v>
                </c:pt>
                <c:pt idx="1384">
                  <c:v>96.866494925984568</c:v>
                </c:pt>
                <c:pt idx="1385">
                  <c:v>96.791144979364361</c:v>
                </c:pt>
                <c:pt idx="1386">
                  <c:v>96.715721545870196</c:v>
                </c:pt>
                <c:pt idx="1387">
                  <c:v>96.640224398497509</c:v>
                </c:pt>
                <c:pt idx="1388">
                  <c:v>96.564653309046435</c:v>
                </c:pt>
                <c:pt idx="1389">
                  <c:v>96.489008048112893</c:v>
                </c:pt>
                <c:pt idx="1390">
                  <c:v>96.413288385079525</c:v>
                </c:pt>
                <c:pt idx="1391">
                  <c:v>96.337494088106666</c:v>
                </c:pt>
                <c:pt idx="1392">
                  <c:v>96.261624924123126</c:v>
                </c:pt>
                <c:pt idx="1393">
                  <c:v>96.185680658816977</c:v>
                </c:pt>
                <c:pt idx="1394">
                  <c:v>96.109661056626095</c:v>
                </c:pt>
                <c:pt idx="1395">
                  <c:v>96.033565880728844</c:v>
                </c:pt>
                <c:pt idx="1396">
                  <c:v>95.957394893034419</c:v>
                </c:pt>
                <c:pt idx="1397">
                  <c:v>95.88114785417325</c:v>
                </c:pt>
                <c:pt idx="1398">
                  <c:v>95.804824523487284</c:v>
                </c:pt>
                <c:pt idx="1399">
                  <c:v>95.728424659020149</c:v>
                </c:pt>
                <c:pt idx="1400">
                  <c:v>95.651948017507223</c:v>
                </c:pt>
                <c:pt idx="1401">
                  <c:v>95.57539435436567</c:v>
                </c:pt>
                <c:pt idx="1402">
                  <c:v>95.498763423684153</c:v>
                </c:pt>
                <c:pt idx="1403">
                  <c:v>95.422054978212856</c:v>
                </c:pt>
                <c:pt idx="1404">
                  <c:v>95.345268769352927</c:v>
                </c:pt>
                <c:pt idx="1405">
                  <c:v>95.268404547146218</c:v>
                </c:pt>
                <c:pt idx="1406">
                  <c:v>95.191462060264655</c:v>
                </c:pt>
                <c:pt idx="1407">
                  <c:v>95.114441055999691</c:v>
                </c:pt>
                <c:pt idx="1408">
                  <c:v>95.037341280251397</c:v>
                </c:pt>
                <c:pt idx="1409">
                  <c:v>94.960162477517827</c:v>
                </c:pt>
                <c:pt idx="1410">
                  <c:v>94.882904390883908</c:v>
                </c:pt>
                <c:pt idx="1411">
                  <c:v>94.8055667620104</c:v>
                </c:pt>
                <c:pt idx="1412">
                  <c:v>94.728149331122722</c:v>
                </c:pt>
                <c:pt idx="1413">
                  <c:v>94.650651836999629</c:v>
                </c:pt>
                <c:pt idx="1414">
                  <c:v>94.573074016961854</c:v>
                </c:pt>
                <c:pt idx="1415">
                  <c:v>94.495415606860519</c:v>
                </c:pt>
                <c:pt idx="1416">
                  <c:v>94.417676341065516</c:v>
                </c:pt>
                <c:pt idx="1417">
                  <c:v>94.339855952453703</c:v>
                </c:pt>
                <c:pt idx="1418">
                  <c:v>94.26195417239704</c:v>
                </c:pt>
                <c:pt idx="1419">
                  <c:v>94.183970730750602</c:v>
                </c:pt>
                <c:pt idx="1420">
                  <c:v>94.105905355840406</c:v>
                </c:pt>
                <c:pt idx="1421">
                  <c:v>94.027757774451118</c:v>
                </c:pt>
                <c:pt idx="1422">
                  <c:v>93.949527711813758</c:v>
                </c:pt>
                <c:pt idx="1423">
                  <c:v>93.871214891593084</c:v>
                </c:pt>
                <c:pt idx="1424">
                  <c:v>93.792819035874999</c:v>
                </c:pt>
                <c:pt idx="1425">
                  <c:v>93.714339865153761</c:v>
                </c:pt>
                <c:pt idx="1426">
                  <c:v>93.635777098319039</c:v>
                </c:pt>
                <c:pt idx="1427">
                  <c:v>93.557130452642852</c:v>
                </c:pt>
                <c:pt idx="1428">
                  <c:v>93.478399643766451</c:v>
                </c:pt>
                <c:pt idx="1429">
                  <c:v>93.399584385686964</c:v>
                </c:pt>
                <c:pt idx="1430">
                  <c:v>93.320684390743821</c:v>
                </c:pt>
                <c:pt idx="1431">
                  <c:v>93.241699369605314</c:v>
                </c:pt>
                <c:pt idx="1432">
                  <c:v>93.162629031254724</c:v>
                </c:pt>
                <c:pt idx="1433">
                  <c:v>93.08347308297644</c:v>
                </c:pt>
                <c:pt idx="1434">
                  <c:v>93.004231230341901</c:v>
                </c:pt>
                <c:pt idx="1435">
                  <c:v>92.924903177195404</c:v>
                </c:pt>
                <c:pt idx="1436">
                  <c:v>92.84548862563976</c:v>
                </c:pt>
                <c:pt idx="1437">
                  <c:v>92.765987276021775</c:v>
                </c:pt>
                <c:pt idx="1438">
                  <c:v>92.686398826917539</c:v>
                </c:pt>
                <c:pt idx="1439">
                  <c:v>92.606722975117663</c:v>
                </c:pt>
                <c:pt idx="1440">
                  <c:v>92.526959415612268</c:v>
                </c:pt>
                <c:pt idx="1441">
                  <c:v>92.447107841575814</c:v>
                </c:pt>
                <c:pt idx="1442">
                  <c:v>92.367167944351806</c:v>
                </c:pt>
                <c:pt idx="1443">
                  <c:v>92.287139413437345</c:v>
                </c:pt>
                <c:pt idx="1444">
                  <c:v>92.20702193646737</c:v>
                </c:pt>
                <c:pt idx="1445">
                  <c:v>92.126815199198958</c:v>
                </c:pt>
                <c:pt idx="1446">
                  <c:v>92.046518885495232</c:v>
                </c:pt>
                <c:pt idx="1447">
                  <c:v>91.966132677309275</c:v>
                </c:pt>
                <c:pt idx="1448">
                  <c:v>91.885656254667694</c:v>
                </c:pt>
                <c:pt idx="1449">
                  <c:v>91.805089295654085</c:v>
                </c:pt>
                <c:pt idx="1450">
                  <c:v>91.724431476392411</c:v>
                </c:pt>
                <c:pt idx="1451">
                  <c:v>91.643682471029962</c:v>
                </c:pt>
                <c:pt idx="1452">
                  <c:v>91.562841951720372</c:v>
                </c:pt>
                <c:pt idx="1453">
                  <c:v>91.481909588606285</c:v>
                </c:pt>
                <c:pt idx="1454">
                  <c:v>91.400885049801886</c:v>
                </c:pt>
                <c:pt idx="1455">
                  <c:v>91.319768001375195</c:v>
                </c:pt>
                <c:pt idx="1456">
                  <c:v>91.238558107330221</c:v>
                </c:pt>
                <c:pt idx="1457">
                  <c:v>91.157255029588868</c:v>
                </c:pt>
                <c:pt idx="1458">
                  <c:v>91.07585842797269</c:v>
                </c:pt>
                <c:pt idx="1459">
                  <c:v>90.99436796018432</c:v>
                </c:pt>
                <c:pt idx="1460">
                  <c:v>90.912783281788862</c:v>
                </c:pt>
                <c:pt idx="1461">
                  <c:v>90.831104046194895</c:v>
                </c:pt>
                <c:pt idx="1462">
                  <c:v>90.749329904635388</c:v>
                </c:pt>
                <c:pt idx="1463">
                  <c:v>90.667460506148316</c:v>
                </c:pt>
                <c:pt idx="1464">
                  <c:v>90.585495497557105</c:v>
                </c:pt>
                <c:pt idx="1465">
                  <c:v>90.503434523450807</c:v>
                </c:pt>
                <c:pt idx="1466">
                  <c:v>90.421277226164122</c:v>
                </c:pt>
                <c:pt idx="1467">
                  <c:v>90.339023245757019</c:v>
                </c:pt>
                <c:pt idx="1468">
                  <c:v>90.256672219994357</c:v>
                </c:pt>
                <c:pt idx="1469">
                  <c:v>90.174223784325122</c:v>
                </c:pt>
                <c:pt idx="1470">
                  <c:v>90.091677571861339</c:v>
                </c:pt>
                <c:pt idx="1471">
                  <c:v>90.009033213357</c:v>
                </c:pt>
                <c:pt idx="1472">
                  <c:v>89.926290337186472</c:v>
                </c:pt>
                <c:pt idx="1473">
                  <c:v>89.843448569322774</c:v>
                </c:pt>
                <c:pt idx="1474">
                  <c:v>89.760507533315661</c:v>
                </c:pt>
                <c:pt idx="1475">
                  <c:v>89.677466850269269</c:v>
                </c:pt>
                <c:pt idx="1476">
                  <c:v>89.59432613881971</c:v>
                </c:pt>
                <c:pt idx="1477">
                  <c:v>89.511085015112172</c:v>
                </c:pt>
                <c:pt idx="1478">
                  <c:v>89.427743092777973</c:v>
                </c:pt>
                <c:pt idx="1479">
                  <c:v>89.344299982911153</c:v>
                </c:pt>
                <c:pt idx="1480">
                  <c:v>89.260755294044884</c:v>
                </c:pt>
                <c:pt idx="1481">
                  <c:v>89.17710863212757</c:v>
                </c:pt>
                <c:pt idx="1482">
                  <c:v>89.093359600498658</c:v>
                </c:pt>
                <c:pt idx="1483">
                  <c:v>89.009507799864167</c:v>
                </c:pt>
                <c:pt idx="1484">
                  <c:v>88.925552828271918</c:v>
                </c:pt>
                <c:pt idx="1485">
                  <c:v>88.841494281086398</c:v>
                </c:pt>
                <c:pt idx="1486">
                  <c:v>88.757331750963459</c:v>
                </c:pt>
                <c:pt idx="1487">
                  <c:v>88.673064827824533</c:v>
                </c:pt>
                <c:pt idx="1488">
                  <c:v>88.588693098830689</c:v>
                </c:pt>
                <c:pt idx="1489">
                  <c:v>88.504216148356235</c:v>
                </c:pt>
                <c:pt idx="1490">
                  <c:v>88.419633557962172</c:v>
                </c:pt>
                <c:pt idx="1491">
                  <c:v>88.334944906369003</c:v>
                </c:pt>
                <c:pt idx="1492">
                  <c:v>88.250149769429612</c:v>
                </c:pt>
                <c:pt idx="1493">
                  <c:v>88.165247720101505</c:v>
                </c:pt>
                <c:pt idx="1494">
                  <c:v>88.080238328418773</c:v>
                </c:pt>
                <c:pt idx="1495">
                  <c:v>87.995121161463786</c:v>
                </c:pt>
                <c:pt idx="1496">
                  <c:v>87.909895783338413</c:v>
                </c:pt>
                <c:pt idx="1497">
                  <c:v>87.824561755135008</c:v>
                </c:pt>
                <c:pt idx="1498">
                  <c:v>87.73911863490693</c:v>
                </c:pt>
                <c:pt idx="1499">
                  <c:v>87.653565977638678</c:v>
                </c:pt>
                <c:pt idx="1500">
                  <c:v>87.567903335215746</c:v>
                </c:pt>
                <c:pt idx="1501">
                  <c:v>87.482130256394029</c:v>
                </c:pt>
                <c:pt idx="1502">
                  <c:v>87.396246286768786</c:v>
                </c:pt>
                <c:pt idx="1503">
                  <c:v>87.310250968743375</c:v>
                </c:pt>
                <c:pt idx="1504">
                  <c:v>87.224143841497337</c:v>
                </c:pt>
                <c:pt idx="1505">
                  <c:v>87.137924440954279</c:v>
                </c:pt>
                <c:pt idx="1506">
                  <c:v>87.051592299749345</c:v>
                </c:pt>
                <c:pt idx="1507">
                  <c:v>86.965146947196018</c:v>
                </c:pt>
                <c:pt idx="1508">
                  <c:v>86.878587909252772</c:v>
                </c:pt>
                <c:pt idx="1509">
                  <c:v>86.791914708489159</c:v>
                </c:pt>
                <c:pt idx="1510">
                  <c:v>86.705126864051465</c:v>
                </c:pt>
                <c:pt idx="1511">
                  <c:v>86.61822389162792</c:v>
                </c:pt>
                <c:pt idx="1512">
                  <c:v>86.531205303413415</c:v>
                </c:pt>
                <c:pt idx="1513">
                  <c:v>86.444070608073872</c:v>
                </c:pt>
                <c:pt idx="1514">
                  <c:v>86.356819310709952</c:v>
                </c:pt>
                <c:pt idx="1515">
                  <c:v>86.269450912820474</c:v>
                </c:pt>
                <c:pt idx="1516">
                  <c:v>86.181964912265201</c:v>
                </c:pt>
                <c:pt idx="1517">
                  <c:v>86.094360803227232</c:v>
                </c:pt>
                <c:pt idx="1518">
                  <c:v>86.006638076174795</c:v>
                </c:pt>
                <c:pt idx="1519">
                  <c:v>85.918796217822631</c:v>
                </c:pt>
                <c:pt idx="1520">
                  <c:v>85.83083471109272</c:v>
                </c:pt>
                <c:pt idx="1521">
                  <c:v>85.742753035074699</c:v>
                </c:pt>
                <c:pt idx="1522">
                  <c:v>85.654550664985408</c:v>
                </c:pt>
                <c:pt idx="1523">
                  <c:v>85.566227072128228</c:v>
                </c:pt>
                <c:pt idx="1524">
                  <c:v>85.477781723851692</c:v>
                </c:pt>
                <c:pt idx="1525">
                  <c:v>85.389214083507497</c:v>
                </c:pt>
                <c:pt idx="1526">
                  <c:v>85.300523610407978</c:v>
                </c:pt>
                <c:pt idx="1527">
                  <c:v>85.211709759783176</c:v>
                </c:pt>
                <c:pt idx="1528">
                  <c:v>85.122771982736893</c:v>
                </c:pt>
                <c:pt idx="1529">
                  <c:v>85.033709726202602</c:v>
                </c:pt>
                <c:pt idx="1530">
                  <c:v>84.944522432898452</c:v>
                </c:pt>
                <c:pt idx="1531">
                  <c:v>84.855209541281695</c:v>
                </c:pt>
                <c:pt idx="1532">
                  <c:v>84.765770485502586</c:v>
                </c:pt>
                <c:pt idx="1533">
                  <c:v>84.67620469535747</c:v>
                </c:pt>
                <c:pt idx="1534">
                  <c:v>84.58651159624138</c:v>
                </c:pt>
                <c:pt idx="1535">
                  <c:v>84.496690609099829</c:v>
                </c:pt>
                <c:pt idx="1536">
                  <c:v>84.406741150379943</c:v>
                </c:pt>
                <c:pt idx="1537">
                  <c:v>84.316662631981004</c:v>
                </c:pt>
                <c:pt idx="1538">
                  <c:v>84.226454461204128</c:v>
                </c:pt>
                <c:pt idx="1539">
                  <c:v>84.136116040701381</c:v>
                </c:pt>
                <c:pt idx="1540">
                  <c:v>84.045646768423993</c:v>
                </c:pt>
                <c:pt idx="1541">
                  <c:v>83.955046037569986</c:v>
                </c:pt>
                <c:pt idx="1542">
                  <c:v>83.864313236530975</c:v>
                </c:pt>
                <c:pt idx="1543">
                  <c:v>83.773447748838166</c:v>
                </c:pt>
                <c:pt idx="1544">
                  <c:v>83.682448953107667</c:v>
                </c:pt>
                <c:pt idx="1545">
                  <c:v>83.591316222984787</c:v>
                </c:pt>
                <c:pt idx="1546">
                  <c:v>83.500048927087903</c:v>
                </c:pt>
                <c:pt idx="1547">
                  <c:v>83.40864642895103</c:v>
                </c:pt>
                <c:pt idx="1548">
                  <c:v>83.317108086965945</c:v>
                </c:pt>
                <c:pt idx="1549">
                  <c:v>83.225433254323193</c:v>
                </c:pt>
                <c:pt idx="1550">
                  <c:v>83.13362127895239</c:v>
                </c:pt>
                <c:pt idx="1551">
                  <c:v>83.041671503461529</c:v>
                </c:pt>
                <c:pt idx="1552">
                  <c:v>82.949583265075347</c:v>
                </c:pt>
                <c:pt idx="1553">
                  <c:v>82.857355895572994</c:v>
                </c:pt>
                <c:pt idx="1554">
                  <c:v>82.764988721224455</c:v>
                </c:pt>
                <c:pt idx="1555">
                  <c:v>82.672481062726234</c:v>
                </c:pt>
                <c:pt idx="1556">
                  <c:v>82.579832235135925</c:v>
                </c:pt>
                <c:pt idx="1557">
                  <c:v>82.487041547805973</c:v>
                </c:pt>
                <c:pt idx="1558">
                  <c:v>82.394108304316163</c:v>
                </c:pt>
                <c:pt idx="1559">
                  <c:v>82.301031802405348</c:v>
                </c:pt>
                <c:pt idx="1560">
                  <c:v>82.207811333901915</c:v>
                </c:pt>
                <c:pt idx="1561">
                  <c:v>82.114446184653289</c:v>
                </c:pt>
                <c:pt idx="1562">
                  <c:v>82.020935634454347</c:v>
                </c:pt>
                <c:pt idx="1563">
                  <c:v>81.927278956974646</c:v>
                </c:pt>
                <c:pt idx="1564">
                  <c:v>81.833475419684646</c:v>
                </c:pt>
                <c:pt idx="1565">
                  <c:v>81.739524283780554</c:v>
                </c:pt>
                <c:pt idx="1566">
                  <c:v>81.645424804108359</c:v>
                </c:pt>
                <c:pt idx="1567">
                  <c:v>81.551176229086252</c:v>
                </c:pt>
                <c:pt idx="1568">
                  <c:v>81.456777800626114</c:v>
                </c:pt>
                <c:pt idx="1569">
                  <c:v>81.362228754053646</c:v>
                </c:pt>
                <c:pt idx="1570">
                  <c:v>81.26752831802726</c:v>
                </c:pt>
                <c:pt idx="1571">
                  <c:v>81.172675714455636</c:v>
                </c:pt>
                <c:pt idx="1572">
                  <c:v>81.077670158414008</c:v>
                </c:pt>
                <c:pt idx="1573">
                  <c:v>80.982510858059072</c:v>
                </c:pt>
                <c:pt idx="1574">
                  <c:v>80.887197014542508</c:v>
                </c:pt>
                <c:pt idx="1575">
                  <c:v>80.791727821923175</c:v>
                </c:pt>
                <c:pt idx="1576">
                  <c:v>80.696102467077793</c:v>
                </c:pt>
                <c:pt idx="1577">
                  <c:v>80.600320129610168</c:v>
                </c:pt>
                <c:pt idx="1578">
                  <c:v>80.504379981759058</c:v>
                </c:pt>
                <c:pt idx="1579">
                  <c:v>80.408281188304301</c:v>
                </c:pt>
                <c:pt idx="1580">
                  <c:v>80.312022906471682</c:v>
                </c:pt>
                <c:pt idx="1581">
                  <c:v>80.215604285835923</c:v>
                </c:pt>
                <c:pt idx="1582">
                  <c:v>80.119024468222236</c:v>
                </c:pt>
                <c:pt idx="1583">
                  <c:v>80.022282587606298</c:v>
                </c:pt>
                <c:pt idx="1584">
                  <c:v>79.925377770012346</c:v>
                </c:pt>
                <c:pt idx="1585">
                  <c:v>79.828309133409718</c:v>
                </c:pt>
                <c:pt idx="1586">
                  <c:v>79.731075787607551</c:v>
                </c:pt>
                <c:pt idx="1587">
                  <c:v>79.633676834147821</c:v>
                </c:pt>
                <c:pt idx="1588">
                  <c:v>79.536111366196408</c:v>
                </c:pt>
                <c:pt idx="1589">
                  <c:v>79.438378468432447</c:v>
                </c:pt>
                <c:pt idx="1590">
                  <c:v>79.340477216935653</c:v>
                </c:pt>
                <c:pt idx="1591">
                  <c:v>79.24240667907182</c:v>
                </c:pt>
                <c:pt idx="1592">
                  <c:v>79.144165913376284</c:v>
                </c:pt>
                <c:pt idx="1593">
                  <c:v>79.045753969435339</c:v>
                </c:pt>
                <c:pt idx="1594">
                  <c:v>78.947169887765668</c:v>
                </c:pt>
                <c:pt idx="1595">
                  <c:v>78.848412699691622</c:v>
                </c:pt>
                <c:pt idx="1596">
                  <c:v>78.749481427220303</c:v>
                </c:pt>
                <c:pt idx="1597">
                  <c:v>78.650375082914621</c:v>
                </c:pt>
                <c:pt idx="1598">
                  <c:v>78.55109266976379</c:v>
                </c:pt>
                <c:pt idx="1599">
                  <c:v>78.451633181051847</c:v>
                </c:pt>
                <c:pt idx="1600">
                  <c:v>78.351995600223717</c:v>
                </c:pt>
                <c:pt idx="1601">
                  <c:v>78.25217890074876</c:v>
                </c:pt>
                <c:pt idx="1602">
                  <c:v>78.15218204598203</c:v>
                </c:pt>
                <c:pt idx="1603">
                  <c:v>78.052003989023007</c:v>
                </c:pt>
                <c:pt idx="1604">
                  <c:v>77.951643672571606</c:v>
                </c:pt>
                <c:pt idx="1605">
                  <c:v>77.851100028781843</c:v>
                </c:pt>
                <c:pt idx="1606">
                  <c:v>77.750371979112614</c:v>
                </c:pt>
                <c:pt idx="1607">
                  <c:v>77.649458434175727</c:v>
                </c:pt>
                <c:pt idx="1608">
                  <c:v>77.548358293581387</c:v>
                </c:pt>
                <c:pt idx="1609">
                  <c:v>77.447070445780483</c:v>
                </c:pt>
                <c:pt idx="1610">
                  <c:v>77.345593767904219</c:v>
                </c:pt>
                <c:pt idx="1611">
                  <c:v>77.243927125600621</c:v>
                </c:pt>
                <c:pt idx="1612">
                  <c:v>77.142069372868036</c:v>
                </c:pt>
                <c:pt idx="1613">
                  <c:v>77.040019351885377</c:v>
                </c:pt>
                <c:pt idx="1614">
                  <c:v>76.937775892839426</c:v>
                </c:pt>
                <c:pt idx="1615">
                  <c:v>76.835337813748566</c:v>
                </c:pt>
                <c:pt idx="1616">
                  <c:v>76.73270392028337</c:v>
                </c:pt>
                <c:pt idx="1617">
                  <c:v>76.629873005583619</c:v>
                </c:pt>
                <c:pt idx="1618">
                  <c:v>76.526843850071941</c:v>
                </c:pt>
                <c:pt idx="1619">
                  <c:v>76.423615221263731</c:v>
                </c:pt>
                <c:pt idx="1620">
                  <c:v>76.320185873573436</c:v>
                </c:pt>
                <c:pt idx="1621">
                  <c:v>76.216554548117102</c:v>
                </c:pt>
                <c:pt idx="1622">
                  <c:v>76.112719972510988</c:v>
                </c:pt>
                <c:pt idx="1623">
                  <c:v>76.008680860666317</c:v>
                </c:pt>
                <c:pt idx="1624">
                  <c:v>75.904435912579942</c:v>
                </c:pt>
                <c:pt idx="1625">
                  <c:v>75.799983814120822</c:v>
                </c:pt>
                <c:pt idx="1626">
                  <c:v>75.695323236812271</c:v>
                </c:pt>
                <c:pt idx="1627">
                  <c:v>75.590452837609945</c:v>
                </c:pt>
                <c:pt idx="1628">
                  <c:v>75.485371258675215</c:v>
                </c:pt>
                <c:pt idx="1629">
                  <c:v>75.380077127144162</c:v>
                </c:pt>
                <c:pt idx="1630">
                  <c:v>75.274569054891643</c:v>
                </c:pt>
                <c:pt idx="1631">
                  <c:v>75.168845638290819</c:v>
                </c:pt>
                <c:pt idx="1632">
                  <c:v>75.062905457967602</c:v>
                </c:pt>
                <c:pt idx="1633">
                  <c:v>74.956747078550094</c:v>
                </c:pt>
                <c:pt idx="1634">
                  <c:v>74.850369048412873</c:v>
                </c:pt>
                <c:pt idx="1635">
                  <c:v>74.743769899416009</c:v>
                </c:pt>
                <c:pt idx="1636">
                  <c:v>74.636948146638531</c:v>
                </c:pt>
                <c:pt idx="1637">
                  <c:v>74.529902288106456</c:v>
                </c:pt>
                <c:pt idx="1638">
                  <c:v>74.422630804515038</c:v>
                </c:pt>
                <c:pt idx="1639">
                  <c:v>74.315132158945104</c:v>
                </c:pt>
                <c:pt idx="1640">
                  <c:v>74.207404796573456</c:v>
                </c:pt>
                <c:pt idx="1641">
                  <c:v>74.099447144377109</c:v>
                </c:pt>
                <c:pt idx="1642">
                  <c:v>73.991257610830985</c:v>
                </c:pt>
                <c:pt idx="1643">
                  <c:v>73.882834585599426</c:v>
                </c:pt>
                <c:pt idx="1644">
                  <c:v>73.774176439220767</c:v>
                </c:pt>
                <c:pt idx="1645">
                  <c:v>73.665281522785193</c:v>
                </c:pt>
                <c:pt idx="1646">
                  <c:v>73.556148167605443</c:v>
                </c:pt>
                <c:pt idx="1647">
                  <c:v>73.446774684880467</c:v>
                </c:pt>
                <c:pt idx="1648">
                  <c:v>73.337159365351411</c:v>
                </c:pt>
                <c:pt idx="1649">
                  <c:v>73.227300478950255</c:v>
                </c:pt>
                <c:pt idx="1650">
                  <c:v>73.117196274440332</c:v>
                </c:pt>
                <c:pt idx="1651">
                  <c:v>73.006844979049049</c:v>
                </c:pt>
                <c:pt idx="1652">
                  <c:v>72.896244798092184</c:v>
                </c:pt>
                <c:pt idx="1653">
                  <c:v>72.78539391458979</c:v>
                </c:pt>
                <c:pt idx="1654">
                  <c:v>72.674290488873169</c:v>
                </c:pt>
                <c:pt idx="1655">
                  <c:v>72.562932658183186</c:v>
                </c:pt>
                <c:pt idx="1656">
                  <c:v>72.451318536259024</c:v>
                </c:pt>
                <c:pt idx="1657">
                  <c:v>72.339446212917608</c:v>
                </c:pt>
                <c:pt idx="1658">
                  <c:v>72.227313753623321</c:v>
                </c:pt>
                <c:pt idx="1659">
                  <c:v>72.11491919904752</c:v>
                </c:pt>
                <c:pt idx="1660">
                  <c:v>72.002260564617828</c:v>
                </c:pt>
                <c:pt idx="1661">
                  <c:v>71.889335840056802</c:v>
                </c:pt>
                <c:pt idx="1662">
                  <c:v>71.776142988909569</c:v>
                </c:pt>
                <c:pt idx="1663">
                  <c:v>71.662679948060301</c:v>
                </c:pt>
                <c:pt idx="1664">
                  <c:v>71.548944627237077</c:v>
                </c:pt>
                <c:pt idx="1665">
                  <c:v>71.434934908504772</c:v>
                </c:pt>
                <c:pt idx="1666">
                  <c:v>71.320648645745763</c:v>
                </c:pt>
                <c:pt idx="1667">
                  <c:v>71.206083664127775</c:v>
                </c:pt>
                <c:pt idx="1668">
                  <c:v>71.09123775955905</c:v>
                </c:pt>
                <c:pt idx="1669">
                  <c:v>70.976108698129678</c:v>
                </c:pt>
                <c:pt idx="1670">
                  <c:v>70.860694215539425</c:v>
                </c:pt>
                <c:pt idx="1671">
                  <c:v>70.744992016511176</c:v>
                </c:pt>
                <c:pt idx="1672">
                  <c:v>70.62899977418968</c:v>
                </c:pt>
                <c:pt idx="1673">
                  <c:v>70.512715129525162</c:v>
                </c:pt>
                <c:pt idx="1674">
                  <c:v>70.396135690641401</c:v>
                </c:pt>
                <c:pt idx="1675">
                  <c:v>70.279259032187596</c:v>
                </c:pt>
                <c:pt idx="1676">
                  <c:v>70.162082694673757</c:v>
                </c:pt>
                <c:pt idx="1677">
                  <c:v>70.044604183788778</c:v>
                </c:pt>
                <c:pt idx="1678">
                  <c:v>69.926820969701097</c:v>
                </c:pt>
                <c:pt idx="1679">
                  <c:v>69.808730486340906</c:v>
                </c:pt>
                <c:pt idx="1680">
                  <c:v>69.690330130663625</c:v>
                </c:pt>
                <c:pt idx="1681">
                  <c:v>69.571617261894019</c:v>
                </c:pt>
                <c:pt idx="1682">
                  <c:v>69.452589200750097</c:v>
                </c:pt>
                <c:pt idx="1683">
                  <c:v>69.333243228646481</c:v>
                </c:pt>
                <c:pt idx="1684">
                  <c:v>69.213576586876215</c:v>
                </c:pt>
                <c:pt idx="1685">
                  <c:v>69.093586475770607</c:v>
                </c:pt>
                <c:pt idx="1686">
                  <c:v>68.97327005383616</c:v>
                </c:pt>
                <c:pt idx="1687">
                  <c:v>68.852624436867885</c:v>
                </c:pt>
                <c:pt idx="1688">
                  <c:v>68.731646697038329</c:v>
                </c:pt>
                <c:pt idx="1689">
                  <c:v>68.610333861961252</c:v>
                </c:pt>
                <c:pt idx="1690">
                  <c:v>68.488682913729249</c:v>
                </c:pt>
                <c:pt idx="1691">
                  <c:v>68.366690787924483</c:v>
                </c:pt>
                <c:pt idx="1692">
                  <c:v>68.244354372601407</c:v>
                </c:pt>
                <c:pt idx="1693">
                  <c:v>68.121670507240651</c:v>
                </c:pt>
                <c:pt idx="1694">
                  <c:v>67.998635981673033</c:v>
                </c:pt>
                <c:pt idx="1695">
                  <c:v>67.875247534972573</c:v>
                </c:pt>
                <c:pt idx="1696">
                  <c:v>67.751501854317482</c:v>
                </c:pt>
                <c:pt idx="1697">
                  <c:v>67.627395573818077</c:v>
                </c:pt>
                <c:pt idx="1698">
                  <c:v>67.502925273310126</c:v>
                </c:pt>
                <c:pt idx="1699">
                  <c:v>67.378087477112771</c:v>
                </c:pt>
                <c:pt idx="1700">
                  <c:v>67.252878652749416</c:v>
                </c:pt>
                <c:pt idx="1701">
                  <c:v>67.127295209630418</c:v>
                </c:pt>
                <c:pt idx="1702">
                  <c:v>67.001333497696095</c:v>
                </c:pt>
                <c:pt idx="1703">
                  <c:v>66.87498980601849</c:v>
                </c:pt>
                <c:pt idx="1704">
                  <c:v>66.748260361360693</c:v>
                </c:pt>
                <c:pt idx="1705">
                  <c:v>66.621141326691557</c:v>
                </c:pt>
                <c:pt idx="1706">
                  <c:v>66.493628799654772</c:v>
                </c:pt>
                <c:pt idx="1707">
                  <c:v>66.36571881098989</c:v>
                </c:pt>
                <c:pt idx="1708">
                  <c:v>66.237407322904147</c:v>
                </c:pt>
                <c:pt idx="1709">
                  <c:v>66.108690227392486</c:v>
                </c:pt>
                <c:pt idx="1710">
                  <c:v>65.979563344504342</c:v>
                </c:pt>
                <c:pt idx="1711">
                  <c:v>65.850022420554723</c:v>
                </c:pt>
                <c:pt idx="1712">
                  <c:v>65.720063126277566</c:v>
                </c:pt>
                <c:pt idx="1713">
                  <c:v>65.589681054919055</c:v>
                </c:pt>
                <c:pt idx="1714">
                  <c:v>65.458871720268306</c:v>
                </c:pt>
                <c:pt idx="1715">
                  <c:v>65.327630554623283</c:v>
                </c:pt>
                <c:pt idx="1716">
                  <c:v>65.195952906688845</c:v>
                </c:pt>
                <c:pt idx="1717">
                  <c:v>65.063834039404497</c:v>
                </c:pt>
                <c:pt idx="1718">
                  <c:v>64.931269127698727</c:v>
                </c:pt>
                <c:pt idx="1719">
                  <c:v>64.798253256167015</c:v>
                </c:pt>
                <c:pt idx="1720">
                  <c:v>64.664781416670223</c:v>
                </c:pt>
                <c:pt idx="1721">
                  <c:v>64.53084850584996</c:v>
                </c:pt>
                <c:pt idx="1722">
                  <c:v>64.396449322557558</c:v>
                </c:pt>
                <c:pt idx="1723">
                  <c:v>64.261578565192764</c:v>
                </c:pt>
                <c:pt idx="1724">
                  <c:v>64.126230828948351</c:v>
                </c:pt>
                <c:pt idx="1725">
                  <c:v>63.990400602956448</c:v>
                </c:pt>
                <c:pt idx="1726">
                  <c:v>63.854082267332451</c:v>
                </c:pt>
                <c:pt idx="1727">
                  <c:v>63.717270090111683</c:v>
                </c:pt>
                <c:pt idx="1728">
                  <c:v>63.579958224074339</c:v>
                </c:pt>
                <c:pt idx="1729">
                  <c:v>63.442140703453354</c:v>
                </c:pt>
                <c:pt idx="1730">
                  <c:v>63.303811440520221</c:v>
                </c:pt>
                <c:pt idx="1731">
                  <c:v>63.164964222042826</c:v>
                </c:pt>
                <c:pt idx="1732">
                  <c:v>63.025592705609611</c:v>
                </c:pt>
                <c:pt idx="1733">
                  <c:v>62.885690415813798</c:v>
                </c:pt>
                <c:pt idx="1734">
                  <c:v>62.745250740290956</c:v>
                </c:pt>
                <c:pt idx="1735">
                  <c:v>62.604266925603255</c:v>
                </c:pt>
                <c:pt idx="1736">
                  <c:v>62.462732072962659</c:v>
                </c:pt>
                <c:pt idx="1737">
                  <c:v>62.320639133785754</c:v>
                </c:pt>
                <c:pt idx="1738">
                  <c:v>62.177980905071571</c:v>
                </c:pt>
                <c:pt idx="1739">
                  <c:v>62.034750024594047</c:v>
                </c:pt>
                <c:pt idx="1740">
                  <c:v>61.890938965899835</c:v>
                </c:pt>
                <c:pt idx="1741">
                  <c:v>61.74654003310161</c:v>
                </c:pt>
                <c:pt idx="1742">
                  <c:v>61.601545355456636</c:v>
                </c:pt>
                <c:pt idx="1743">
                  <c:v>61.455946881719825</c:v>
                </c:pt>
                <c:pt idx="1744">
                  <c:v>61.309736374259359</c:v>
                </c:pt>
                <c:pt idx="1745">
                  <c:v>61.16290540292286</c:v>
                </c:pt>
                <c:pt idx="1746">
                  <c:v>61.015445338640774</c:v>
                </c:pt>
                <c:pt idx="1747">
                  <c:v>60.867347346753363</c:v>
                </c:pt>
                <c:pt idx="1748">
                  <c:v>60.7186023800462</c:v>
                </c:pt>
                <c:pt idx="1749">
                  <c:v>60.569201171478696</c:v>
                </c:pt>
                <c:pt idx="1750">
                  <c:v>60.419134226588952</c:v>
                </c:pt>
                <c:pt idx="1751">
                  <c:v>60.268391815556825</c:v>
                </c:pt>
                <c:pt idx="1752">
                  <c:v>60.11696396490656</c:v>
                </c:pt>
                <c:pt idx="1753">
                  <c:v>59.964840448828518</c:v>
                </c:pt>
                <c:pt idx="1754">
                  <c:v>59.812010780098518</c:v>
                </c:pt>
                <c:pt idx="1755">
                  <c:v>59.658464200571643</c:v>
                </c:pt>
                <c:pt idx="1756">
                  <c:v>59.504189671225809</c:v>
                </c:pt>
                <c:pt idx="1757">
                  <c:v>59.34917586172898</c:v>
                </c:pt>
                <c:pt idx="1758">
                  <c:v>59.1934111395014</c:v>
                </c:pt>
                <c:pt idx="1759">
                  <c:v>59.036883558243133</c:v>
                </c:pt>
                <c:pt idx="1760">
                  <c:v>58.87958084589404</c:v>
                </c:pt>
                <c:pt idx="1761">
                  <c:v>58.721490391992049</c:v>
                </c:pt>
                <c:pt idx="1762">
                  <c:v>58.562599234391783</c:v>
                </c:pt>
                <c:pt idx="1763">
                  <c:v>58.402894045304265</c:v>
                </c:pt>
                <c:pt idx="1764">
                  <c:v>58.242361116614205</c:v>
                </c:pt>
                <c:pt idx="1765">
                  <c:v>58.080986344428766</c:v>
                </c:pt>
                <c:pt idx="1766">
                  <c:v>57.918755212808094</c:v>
                </c:pt>
                <c:pt idx="1767">
                  <c:v>57.755652776623847</c:v>
                </c:pt>
                <c:pt idx="1768">
                  <c:v>57.59166364348782</c:v>
                </c:pt>
                <c:pt idx="1769">
                  <c:v>57.426771954688519</c:v>
                </c:pt>
                <c:pt idx="1770">
                  <c:v>57.260961365067587</c:v>
                </c:pt>
                <c:pt idx="1771">
                  <c:v>57.094215021763908</c:v>
                </c:pt>
                <c:pt idx="1772">
                  <c:v>56.926515541745502</c:v>
                </c:pt>
                <c:pt idx="1773">
                  <c:v>56.757844988044397</c:v>
                </c:pt>
                <c:pt idx="1774">
                  <c:v>56.588184844601173</c:v>
                </c:pt>
                <c:pt idx="1775">
                  <c:v>56.417515989618408</c:v>
                </c:pt>
                <c:pt idx="1776">
                  <c:v>56.24581866731377</c:v>
                </c:pt>
                <c:pt idx="1777">
                  <c:v>56.07307245795306</c:v>
                </c:pt>
                <c:pt idx="1778">
                  <c:v>55.899256246033936</c:v>
                </c:pt>
                <c:pt idx="1779">
                  <c:v>55.724348186478096</c:v>
                </c:pt>
                <c:pt idx="1780">
                  <c:v>55.548325668677776</c:v>
                </c:pt>
                <c:pt idx="1781">
                  <c:v>55.371165278227423</c:v>
                </c:pt>
                <c:pt idx="1782">
                  <c:v>55.1928427561554</c:v>
                </c:pt>
                <c:pt idx="1783">
                  <c:v>55.013332955453265</c:v>
                </c:pt>
                <c:pt idx="1784">
                  <c:v>54.832609794680081</c:v>
                </c:pt>
                <c:pt idx="1785">
                  <c:v>54.65064620839722</c:v>
                </c:pt>
                <c:pt idx="1786">
                  <c:v>54.46741409416498</c:v>
                </c:pt>
                <c:pt idx="1787">
                  <c:v>54.282884255804461</c:v>
                </c:pt>
                <c:pt idx="1788">
                  <c:v>54.097026342597843</c:v>
                </c:pt>
                <c:pt idx="1789">
                  <c:v>53.909808784065433</c:v>
                </c:pt>
                <c:pt idx="1790">
                  <c:v>53.72119871991957</c:v>
                </c:pt>
                <c:pt idx="1791">
                  <c:v>53.531161924751942</c:v>
                </c:pt>
                <c:pt idx="1792">
                  <c:v>53.33966272696113</c:v>
                </c:pt>
                <c:pt idx="1793">
                  <c:v>53.146663921373118</c:v>
                </c:pt>
                <c:pt idx="1794">
                  <c:v>52.952126674943159</c:v>
                </c:pt>
                <c:pt idx="1795">
                  <c:v>52.756010424857593</c:v>
                </c:pt>
                <c:pt idx="1796">
                  <c:v>52.558272768272303</c:v>
                </c:pt>
                <c:pt idx="1797">
                  <c:v>52.358869342832826</c:v>
                </c:pt>
                <c:pt idx="1798">
                  <c:v>52.157753697015437</c:v>
                </c:pt>
                <c:pt idx="1799">
                  <c:v>51.954877149208158</c:v>
                </c:pt>
                <c:pt idx="1800">
                  <c:v>51.75018863431211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73-4698-8008-1B9ABB0FD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35840"/>
        <c:axId val="653033440"/>
      </c:scatterChart>
      <c:valAx>
        <c:axId val="645500416"/>
        <c:scaling>
          <c:orientation val="minMax"/>
          <c:max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Time</a:t>
                </a:r>
                <a:r>
                  <a:rPr lang="en-GB" b="1" baseline="0">
                    <a:solidFill>
                      <a:sysClr val="windowText" lastClr="000000"/>
                    </a:solidFill>
                  </a:rPr>
                  <a:t> (s)</a:t>
                </a:r>
                <a:endParaRPr lang="en-GB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96960"/>
        <c:crosses val="autoZero"/>
        <c:crossBetween val="midCat"/>
        <c:majorUnit val="2"/>
      </c:valAx>
      <c:valAx>
        <c:axId val="652996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0">
                    <a:solidFill>
                      <a:sysClr val="windowText" lastClr="000000"/>
                    </a:solidFill>
                  </a:rPr>
                  <a:t>Voltage</a:t>
                </a:r>
                <a:r>
                  <a:rPr lang="en-GB" b="1" i="0" baseline="0">
                    <a:solidFill>
                      <a:sysClr val="windowText" lastClr="000000"/>
                    </a:solidFill>
                  </a:rPr>
                  <a:t> (V)</a:t>
                </a:r>
                <a:endParaRPr lang="en-GB" b="1" i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00416"/>
        <c:crosses val="autoZero"/>
        <c:crossBetween val="midCat"/>
      </c:valAx>
      <c:valAx>
        <c:axId val="653033440"/>
        <c:scaling>
          <c:orientation val="minMax"/>
          <c:max val="200"/>
          <c:min val="60"/>
        </c:scaling>
        <c:delete val="1"/>
        <c:axPos val="r"/>
        <c:numFmt formatCode="0" sourceLinked="0"/>
        <c:majorTickMark val="out"/>
        <c:minorTickMark val="none"/>
        <c:tickLblPos val="nextTo"/>
        <c:crossAx val="653035840"/>
        <c:crosses val="max"/>
        <c:crossBetween val="midCat"/>
      </c:valAx>
      <c:valAx>
        <c:axId val="653035840"/>
        <c:scaling>
          <c:orientation val="minMax"/>
        </c:scaling>
        <c:delete val="1"/>
        <c:axPos val="t"/>
        <c:numFmt formatCode="0.0000" sourceLinked="1"/>
        <c:majorTickMark val="out"/>
        <c:minorTickMark val="none"/>
        <c:tickLblPos val="nextTo"/>
        <c:crossAx val="653033440"/>
        <c:crosses val="max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0351084134850885"/>
          <c:y val="0.17532462328852344"/>
          <c:w val="0.32386656298742239"/>
          <c:h val="0.1849484390315671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Supercapacitor Power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45396477656808"/>
          <c:y val="0.15179672374163258"/>
          <c:w val="0.77421559980266808"/>
          <c:h val="0.69226427779772726"/>
        </c:manualLayout>
      </c:layout>
      <c:scatterChart>
        <c:scatterStyle val="smoothMarker"/>
        <c:varyColors val="0"/>
        <c:ser>
          <c:idx val="0"/>
          <c:order val="0"/>
          <c:tx>
            <c:v>Without Resr</c:v>
          </c:tx>
          <c:spPr>
            <a:ln w="19050" cap="rnd">
              <a:solidFill>
                <a:srgbClr val="0033CC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'Non-ideal model'!$A$8:$A$1808</c:f>
              <c:numCache>
                <c:formatCode>0.0000</c:formatCode>
                <c:ptCount val="1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</c:numCache>
            </c:numRef>
          </c:xVal>
          <c:yVal>
            <c:numRef>
              <c:f>'Non-ideal model'!$N$8:$N$1808</c:f>
              <c:numCache>
                <c:formatCode>0.00</c:formatCode>
                <c:ptCount val="1801"/>
                <c:pt idx="0">
                  <c:v>24.999999999999982</c:v>
                </c:pt>
                <c:pt idx="1">
                  <c:v>24.999999999999982</c:v>
                </c:pt>
                <c:pt idx="2">
                  <c:v>24.999999999999986</c:v>
                </c:pt>
                <c:pt idx="3">
                  <c:v>24.999999999999982</c:v>
                </c:pt>
                <c:pt idx="4">
                  <c:v>25</c:v>
                </c:pt>
                <c:pt idx="5">
                  <c:v>24.999999999999982</c:v>
                </c:pt>
                <c:pt idx="6">
                  <c:v>25.000000000000014</c:v>
                </c:pt>
                <c:pt idx="7">
                  <c:v>24.999999999999993</c:v>
                </c:pt>
                <c:pt idx="8">
                  <c:v>25</c:v>
                </c:pt>
                <c:pt idx="9">
                  <c:v>24.999999999999979</c:v>
                </c:pt>
                <c:pt idx="10">
                  <c:v>24.999999999999989</c:v>
                </c:pt>
                <c:pt idx="11">
                  <c:v>25.000000000000007</c:v>
                </c:pt>
                <c:pt idx="12">
                  <c:v>24.999999999999989</c:v>
                </c:pt>
                <c:pt idx="13">
                  <c:v>25.000000000000014</c:v>
                </c:pt>
                <c:pt idx="14">
                  <c:v>24.999999999999986</c:v>
                </c:pt>
                <c:pt idx="15">
                  <c:v>25.000000000000025</c:v>
                </c:pt>
                <c:pt idx="16">
                  <c:v>24.999999999999989</c:v>
                </c:pt>
                <c:pt idx="17">
                  <c:v>25.000000000000011</c:v>
                </c:pt>
                <c:pt idx="18">
                  <c:v>25.000000000000004</c:v>
                </c:pt>
                <c:pt idx="19">
                  <c:v>24.999999999999996</c:v>
                </c:pt>
                <c:pt idx="20">
                  <c:v>25.000000000000004</c:v>
                </c:pt>
                <c:pt idx="21">
                  <c:v>24.999999999999972</c:v>
                </c:pt>
                <c:pt idx="22">
                  <c:v>25.000000000000021</c:v>
                </c:pt>
                <c:pt idx="23">
                  <c:v>24.999999999999979</c:v>
                </c:pt>
                <c:pt idx="24">
                  <c:v>24.999999999999982</c:v>
                </c:pt>
                <c:pt idx="25">
                  <c:v>24.999999999999982</c:v>
                </c:pt>
                <c:pt idx="26">
                  <c:v>24.999999999999996</c:v>
                </c:pt>
                <c:pt idx="27">
                  <c:v>25.000000000000004</c:v>
                </c:pt>
                <c:pt idx="28">
                  <c:v>24.999999999999968</c:v>
                </c:pt>
                <c:pt idx="29">
                  <c:v>25</c:v>
                </c:pt>
                <c:pt idx="30">
                  <c:v>25.000000000000007</c:v>
                </c:pt>
                <c:pt idx="31">
                  <c:v>24.999999999999993</c:v>
                </c:pt>
                <c:pt idx="32">
                  <c:v>25.000000000000014</c:v>
                </c:pt>
                <c:pt idx="33">
                  <c:v>24.999999999999982</c:v>
                </c:pt>
                <c:pt idx="34">
                  <c:v>25.000000000000004</c:v>
                </c:pt>
                <c:pt idx="35">
                  <c:v>24.999999999999979</c:v>
                </c:pt>
                <c:pt idx="36">
                  <c:v>25.000000000000018</c:v>
                </c:pt>
                <c:pt idx="37">
                  <c:v>25.000000000000007</c:v>
                </c:pt>
                <c:pt idx="38">
                  <c:v>25.000000000000007</c:v>
                </c:pt>
                <c:pt idx="39">
                  <c:v>24.999999999999964</c:v>
                </c:pt>
                <c:pt idx="40">
                  <c:v>24.999999999999996</c:v>
                </c:pt>
                <c:pt idx="41">
                  <c:v>24.999999999999972</c:v>
                </c:pt>
                <c:pt idx="42">
                  <c:v>25.000000000000025</c:v>
                </c:pt>
                <c:pt idx="43">
                  <c:v>24.999999999999993</c:v>
                </c:pt>
                <c:pt idx="44">
                  <c:v>24.999999999999986</c:v>
                </c:pt>
                <c:pt idx="45">
                  <c:v>24.999999999999996</c:v>
                </c:pt>
                <c:pt idx="46">
                  <c:v>24.999999999999964</c:v>
                </c:pt>
                <c:pt idx="47">
                  <c:v>24.999999999999996</c:v>
                </c:pt>
                <c:pt idx="48">
                  <c:v>25.000000000000011</c:v>
                </c:pt>
                <c:pt idx="49">
                  <c:v>24.999999999999989</c:v>
                </c:pt>
                <c:pt idx="50">
                  <c:v>24.999999999999972</c:v>
                </c:pt>
                <c:pt idx="51">
                  <c:v>25.000000000000004</c:v>
                </c:pt>
                <c:pt idx="52">
                  <c:v>25.000000000000004</c:v>
                </c:pt>
                <c:pt idx="53">
                  <c:v>24.999999999999996</c:v>
                </c:pt>
                <c:pt idx="54">
                  <c:v>25.000000000000007</c:v>
                </c:pt>
                <c:pt idx="55">
                  <c:v>25</c:v>
                </c:pt>
                <c:pt idx="56">
                  <c:v>25.000000000000007</c:v>
                </c:pt>
                <c:pt idx="57">
                  <c:v>25.000000000000014</c:v>
                </c:pt>
                <c:pt idx="58">
                  <c:v>24.999999999999979</c:v>
                </c:pt>
                <c:pt idx="59">
                  <c:v>24.999999999999996</c:v>
                </c:pt>
                <c:pt idx="60">
                  <c:v>25</c:v>
                </c:pt>
                <c:pt idx="61">
                  <c:v>24.999999999999993</c:v>
                </c:pt>
                <c:pt idx="62">
                  <c:v>24.999999999999982</c:v>
                </c:pt>
                <c:pt idx="63">
                  <c:v>24.999999999999979</c:v>
                </c:pt>
                <c:pt idx="64">
                  <c:v>24.999999999999989</c:v>
                </c:pt>
                <c:pt idx="65">
                  <c:v>24.999999999999989</c:v>
                </c:pt>
                <c:pt idx="66">
                  <c:v>24.999999999999996</c:v>
                </c:pt>
                <c:pt idx="67">
                  <c:v>25</c:v>
                </c:pt>
                <c:pt idx="68">
                  <c:v>24.999999999999961</c:v>
                </c:pt>
                <c:pt idx="69">
                  <c:v>24.999999999999996</c:v>
                </c:pt>
                <c:pt idx="70">
                  <c:v>24.999999999999982</c:v>
                </c:pt>
                <c:pt idx="71">
                  <c:v>25</c:v>
                </c:pt>
                <c:pt idx="72">
                  <c:v>24.999999999999986</c:v>
                </c:pt>
                <c:pt idx="73">
                  <c:v>25.000000000000004</c:v>
                </c:pt>
                <c:pt idx="74">
                  <c:v>25.000000000000004</c:v>
                </c:pt>
                <c:pt idx="75">
                  <c:v>25.000000000000018</c:v>
                </c:pt>
                <c:pt idx="76">
                  <c:v>25.000000000000007</c:v>
                </c:pt>
                <c:pt idx="77">
                  <c:v>24.999999999999993</c:v>
                </c:pt>
                <c:pt idx="78">
                  <c:v>25.000000000000014</c:v>
                </c:pt>
                <c:pt idx="79">
                  <c:v>24.999999999999989</c:v>
                </c:pt>
                <c:pt idx="80">
                  <c:v>24.999999999999972</c:v>
                </c:pt>
                <c:pt idx="81">
                  <c:v>24.999999999999979</c:v>
                </c:pt>
                <c:pt idx="82">
                  <c:v>24.999999999999979</c:v>
                </c:pt>
                <c:pt idx="83">
                  <c:v>25.000000000000004</c:v>
                </c:pt>
                <c:pt idx="84">
                  <c:v>25.000000000000025</c:v>
                </c:pt>
                <c:pt idx="85">
                  <c:v>24.999999999999989</c:v>
                </c:pt>
                <c:pt idx="86">
                  <c:v>24.999999999999996</c:v>
                </c:pt>
                <c:pt idx="87">
                  <c:v>24.999999999999957</c:v>
                </c:pt>
                <c:pt idx="88">
                  <c:v>24.999999999999996</c:v>
                </c:pt>
                <c:pt idx="89">
                  <c:v>25</c:v>
                </c:pt>
                <c:pt idx="90">
                  <c:v>25.000000000000004</c:v>
                </c:pt>
                <c:pt idx="91">
                  <c:v>24.999999999999982</c:v>
                </c:pt>
                <c:pt idx="92">
                  <c:v>24.999999999999979</c:v>
                </c:pt>
                <c:pt idx="93">
                  <c:v>24.999999999999996</c:v>
                </c:pt>
                <c:pt idx="94">
                  <c:v>24.999999999999989</c:v>
                </c:pt>
                <c:pt idx="95">
                  <c:v>24.999999999999975</c:v>
                </c:pt>
                <c:pt idx="96">
                  <c:v>25.000000000000011</c:v>
                </c:pt>
                <c:pt idx="97">
                  <c:v>24.999999999999996</c:v>
                </c:pt>
                <c:pt idx="98">
                  <c:v>25.000000000000004</c:v>
                </c:pt>
                <c:pt idx="99">
                  <c:v>25.000000000000021</c:v>
                </c:pt>
                <c:pt idx="100">
                  <c:v>24.999999999999975</c:v>
                </c:pt>
                <c:pt idx="101">
                  <c:v>25.000000000000011</c:v>
                </c:pt>
                <c:pt idx="102">
                  <c:v>24.999999999999993</c:v>
                </c:pt>
                <c:pt idx="103">
                  <c:v>25.000000000000011</c:v>
                </c:pt>
                <c:pt idx="104">
                  <c:v>25.000000000000004</c:v>
                </c:pt>
                <c:pt idx="105">
                  <c:v>24.999999999999979</c:v>
                </c:pt>
                <c:pt idx="106">
                  <c:v>24.999999999999982</c:v>
                </c:pt>
                <c:pt idx="107">
                  <c:v>24.999999999999989</c:v>
                </c:pt>
                <c:pt idx="108">
                  <c:v>25.000000000000007</c:v>
                </c:pt>
                <c:pt idx="109">
                  <c:v>25.000000000000018</c:v>
                </c:pt>
                <c:pt idx="110">
                  <c:v>25.000000000000011</c:v>
                </c:pt>
                <c:pt idx="111">
                  <c:v>24.999999999999972</c:v>
                </c:pt>
                <c:pt idx="112">
                  <c:v>24.999999999999982</c:v>
                </c:pt>
                <c:pt idx="113">
                  <c:v>24.999999999999989</c:v>
                </c:pt>
                <c:pt idx="114">
                  <c:v>24.999999999999964</c:v>
                </c:pt>
                <c:pt idx="115">
                  <c:v>25.000000000000004</c:v>
                </c:pt>
                <c:pt idx="116">
                  <c:v>24.999999999999989</c:v>
                </c:pt>
                <c:pt idx="117">
                  <c:v>25.000000000000004</c:v>
                </c:pt>
                <c:pt idx="118">
                  <c:v>24.999999999999989</c:v>
                </c:pt>
                <c:pt idx="119">
                  <c:v>24.999999999999964</c:v>
                </c:pt>
                <c:pt idx="120">
                  <c:v>24.999999999999972</c:v>
                </c:pt>
                <c:pt idx="121">
                  <c:v>24.999999999999968</c:v>
                </c:pt>
                <c:pt idx="122">
                  <c:v>24.999999999999989</c:v>
                </c:pt>
                <c:pt idx="123">
                  <c:v>25</c:v>
                </c:pt>
                <c:pt idx="124">
                  <c:v>25.000000000000014</c:v>
                </c:pt>
                <c:pt idx="125">
                  <c:v>25</c:v>
                </c:pt>
                <c:pt idx="126">
                  <c:v>24.999999999999989</c:v>
                </c:pt>
                <c:pt idx="127">
                  <c:v>24.999999999999979</c:v>
                </c:pt>
                <c:pt idx="128">
                  <c:v>24.999999999999964</c:v>
                </c:pt>
                <c:pt idx="129">
                  <c:v>24.999999999999986</c:v>
                </c:pt>
                <c:pt idx="130">
                  <c:v>24.999999999999986</c:v>
                </c:pt>
                <c:pt idx="131">
                  <c:v>24.999999999999975</c:v>
                </c:pt>
                <c:pt idx="132">
                  <c:v>25.000000000000007</c:v>
                </c:pt>
                <c:pt idx="133">
                  <c:v>24.999999999999993</c:v>
                </c:pt>
                <c:pt idx="134">
                  <c:v>25</c:v>
                </c:pt>
                <c:pt idx="135">
                  <c:v>24.999999999999979</c:v>
                </c:pt>
                <c:pt idx="136">
                  <c:v>25.000000000000004</c:v>
                </c:pt>
                <c:pt idx="137">
                  <c:v>24.999999999999993</c:v>
                </c:pt>
                <c:pt idx="138">
                  <c:v>24.999999999999979</c:v>
                </c:pt>
                <c:pt idx="139">
                  <c:v>24.999999999999979</c:v>
                </c:pt>
                <c:pt idx="140">
                  <c:v>25.000000000000004</c:v>
                </c:pt>
                <c:pt idx="141">
                  <c:v>24.999999999999989</c:v>
                </c:pt>
                <c:pt idx="142">
                  <c:v>25</c:v>
                </c:pt>
                <c:pt idx="143">
                  <c:v>24.999999999999975</c:v>
                </c:pt>
                <c:pt idx="144">
                  <c:v>25</c:v>
                </c:pt>
                <c:pt idx="145">
                  <c:v>25</c:v>
                </c:pt>
                <c:pt idx="146">
                  <c:v>24.999999999999979</c:v>
                </c:pt>
                <c:pt idx="147">
                  <c:v>24.999999999999979</c:v>
                </c:pt>
                <c:pt idx="148">
                  <c:v>24.999999999999986</c:v>
                </c:pt>
                <c:pt idx="149">
                  <c:v>24.999999999999996</c:v>
                </c:pt>
                <c:pt idx="150">
                  <c:v>24.999999999999996</c:v>
                </c:pt>
                <c:pt idx="151">
                  <c:v>24.999999999999996</c:v>
                </c:pt>
                <c:pt idx="152">
                  <c:v>24.999999999999993</c:v>
                </c:pt>
                <c:pt idx="153">
                  <c:v>24.999999999999982</c:v>
                </c:pt>
                <c:pt idx="154">
                  <c:v>24.999999999999986</c:v>
                </c:pt>
                <c:pt idx="155">
                  <c:v>25</c:v>
                </c:pt>
                <c:pt idx="156">
                  <c:v>24.999999999999982</c:v>
                </c:pt>
                <c:pt idx="157">
                  <c:v>25</c:v>
                </c:pt>
                <c:pt idx="158">
                  <c:v>25</c:v>
                </c:pt>
                <c:pt idx="159">
                  <c:v>25.000000000000004</c:v>
                </c:pt>
                <c:pt idx="160">
                  <c:v>25.000000000000011</c:v>
                </c:pt>
                <c:pt idx="161">
                  <c:v>25.000000000000018</c:v>
                </c:pt>
                <c:pt idx="162">
                  <c:v>24.999999999999975</c:v>
                </c:pt>
                <c:pt idx="163">
                  <c:v>25.000000000000014</c:v>
                </c:pt>
                <c:pt idx="164">
                  <c:v>24.999999999999982</c:v>
                </c:pt>
                <c:pt idx="165">
                  <c:v>24.999999999999972</c:v>
                </c:pt>
                <c:pt idx="166">
                  <c:v>25.000000000000007</c:v>
                </c:pt>
                <c:pt idx="167">
                  <c:v>24.999999999999996</c:v>
                </c:pt>
                <c:pt idx="168">
                  <c:v>25.000000000000007</c:v>
                </c:pt>
                <c:pt idx="169">
                  <c:v>25.000000000000021</c:v>
                </c:pt>
                <c:pt idx="170">
                  <c:v>24.999999999999972</c:v>
                </c:pt>
                <c:pt idx="171">
                  <c:v>25.000000000000014</c:v>
                </c:pt>
                <c:pt idx="172">
                  <c:v>24.999999999999989</c:v>
                </c:pt>
                <c:pt idx="173">
                  <c:v>24.999999999999996</c:v>
                </c:pt>
                <c:pt idx="174">
                  <c:v>24.999999999999982</c:v>
                </c:pt>
                <c:pt idx="175">
                  <c:v>24.999999999999964</c:v>
                </c:pt>
                <c:pt idx="176">
                  <c:v>25.000000000000021</c:v>
                </c:pt>
                <c:pt idx="177">
                  <c:v>24.999999999999993</c:v>
                </c:pt>
                <c:pt idx="178">
                  <c:v>24.999999999999993</c:v>
                </c:pt>
                <c:pt idx="179">
                  <c:v>24.999999999999979</c:v>
                </c:pt>
                <c:pt idx="180">
                  <c:v>25</c:v>
                </c:pt>
                <c:pt idx="181">
                  <c:v>24.999999999999972</c:v>
                </c:pt>
                <c:pt idx="182">
                  <c:v>24.999999999999975</c:v>
                </c:pt>
                <c:pt idx="183">
                  <c:v>24.999999999999986</c:v>
                </c:pt>
                <c:pt idx="184">
                  <c:v>24.999999999999975</c:v>
                </c:pt>
                <c:pt idx="185">
                  <c:v>24.999999999999993</c:v>
                </c:pt>
                <c:pt idx="186">
                  <c:v>25</c:v>
                </c:pt>
                <c:pt idx="187">
                  <c:v>25.000000000000014</c:v>
                </c:pt>
                <c:pt idx="188">
                  <c:v>24.999999999999979</c:v>
                </c:pt>
                <c:pt idx="189">
                  <c:v>25.000000000000011</c:v>
                </c:pt>
                <c:pt idx="190">
                  <c:v>24.999999999999986</c:v>
                </c:pt>
                <c:pt idx="191">
                  <c:v>24.999999999999986</c:v>
                </c:pt>
                <c:pt idx="192">
                  <c:v>24.999999999999989</c:v>
                </c:pt>
                <c:pt idx="193">
                  <c:v>24.999999999999957</c:v>
                </c:pt>
                <c:pt idx="194">
                  <c:v>25</c:v>
                </c:pt>
                <c:pt idx="195">
                  <c:v>25</c:v>
                </c:pt>
                <c:pt idx="196">
                  <c:v>24.999999999999989</c:v>
                </c:pt>
                <c:pt idx="197">
                  <c:v>24.999999999999989</c:v>
                </c:pt>
                <c:pt idx="198">
                  <c:v>24.999999999999982</c:v>
                </c:pt>
                <c:pt idx="199">
                  <c:v>24.999999999999964</c:v>
                </c:pt>
                <c:pt idx="200">
                  <c:v>25.000000000000014</c:v>
                </c:pt>
                <c:pt idx="201">
                  <c:v>24.999999999999986</c:v>
                </c:pt>
                <c:pt idx="202">
                  <c:v>25.000000000000011</c:v>
                </c:pt>
                <c:pt idx="203">
                  <c:v>25</c:v>
                </c:pt>
                <c:pt idx="204">
                  <c:v>25.000000000000007</c:v>
                </c:pt>
                <c:pt idx="205">
                  <c:v>24.999999999999986</c:v>
                </c:pt>
                <c:pt idx="206">
                  <c:v>24.999999999999964</c:v>
                </c:pt>
                <c:pt idx="207">
                  <c:v>24.999999999999996</c:v>
                </c:pt>
                <c:pt idx="208">
                  <c:v>25.000000000000004</c:v>
                </c:pt>
                <c:pt idx="209">
                  <c:v>24.999999999999972</c:v>
                </c:pt>
                <c:pt idx="210">
                  <c:v>25.000000000000018</c:v>
                </c:pt>
                <c:pt idx="211">
                  <c:v>24.999999999999989</c:v>
                </c:pt>
                <c:pt idx="212">
                  <c:v>24.999999999999986</c:v>
                </c:pt>
                <c:pt idx="213">
                  <c:v>24.999999999999982</c:v>
                </c:pt>
                <c:pt idx="214">
                  <c:v>24.999999999999968</c:v>
                </c:pt>
                <c:pt idx="215">
                  <c:v>25</c:v>
                </c:pt>
                <c:pt idx="216">
                  <c:v>25</c:v>
                </c:pt>
                <c:pt idx="217">
                  <c:v>24.999999999999996</c:v>
                </c:pt>
                <c:pt idx="218">
                  <c:v>24.999999999999986</c:v>
                </c:pt>
                <c:pt idx="219">
                  <c:v>24.999999999999972</c:v>
                </c:pt>
                <c:pt idx="220">
                  <c:v>24.999999999999986</c:v>
                </c:pt>
                <c:pt idx="221">
                  <c:v>24.999999999999979</c:v>
                </c:pt>
                <c:pt idx="222">
                  <c:v>24.999999999999996</c:v>
                </c:pt>
                <c:pt idx="223">
                  <c:v>25.000000000000018</c:v>
                </c:pt>
                <c:pt idx="224">
                  <c:v>25</c:v>
                </c:pt>
                <c:pt idx="225">
                  <c:v>24.999999999999982</c:v>
                </c:pt>
                <c:pt idx="226">
                  <c:v>24.999999999999982</c:v>
                </c:pt>
                <c:pt idx="227">
                  <c:v>25</c:v>
                </c:pt>
                <c:pt idx="228">
                  <c:v>24.999999999999979</c:v>
                </c:pt>
                <c:pt idx="229">
                  <c:v>24.999999999999964</c:v>
                </c:pt>
                <c:pt idx="230">
                  <c:v>25</c:v>
                </c:pt>
                <c:pt idx="231">
                  <c:v>25.000000000000004</c:v>
                </c:pt>
                <c:pt idx="232">
                  <c:v>24.999999999999975</c:v>
                </c:pt>
                <c:pt idx="233">
                  <c:v>25.000000000000014</c:v>
                </c:pt>
                <c:pt idx="234">
                  <c:v>24.999999999999975</c:v>
                </c:pt>
                <c:pt idx="235">
                  <c:v>25.000000000000004</c:v>
                </c:pt>
                <c:pt idx="236">
                  <c:v>24.999999999999993</c:v>
                </c:pt>
                <c:pt idx="237">
                  <c:v>25.000000000000025</c:v>
                </c:pt>
                <c:pt idx="238">
                  <c:v>25.000000000000028</c:v>
                </c:pt>
                <c:pt idx="239">
                  <c:v>24.999999999999975</c:v>
                </c:pt>
                <c:pt idx="240">
                  <c:v>24.999999999999982</c:v>
                </c:pt>
                <c:pt idx="241">
                  <c:v>25</c:v>
                </c:pt>
                <c:pt idx="242">
                  <c:v>24.999999999999986</c:v>
                </c:pt>
                <c:pt idx="243">
                  <c:v>24.999999999999986</c:v>
                </c:pt>
                <c:pt idx="244">
                  <c:v>24.999999999999993</c:v>
                </c:pt>
                <c:pt idx="245">
                  <c:v>24.999999999999961</c:v>
                </c:pt>
                <c:pt idx="246">
                  <c:v>24.999999999999982</c:v>
                </c:pt>
                <c:pt idx="247">
                  <c:v>25.000000000000018</c:v>
                </c:pt>
                <c:pt idx="248">
                  <c:v>25.000000000000004</c:v>
                </c:pt>
                <c:pt idx="249">
                  <c:v>25.000000000000021</c:v>
                </c:pt>
                <c:pt idx="250">
                  <c:v>24.999999999999982</c:v>
                </c:pt>
                <c:pt idx="251">
                  <c:v>24.999999999999996</c:v>
                </c:pt>
                <c:pt idx="252">
                  <c:v>25.000000000000007</c:v>
                </c:pt>
                <c:pt idx="253">
                  <c:v>25.000000000000007</c:v>
                </c:pt>
                <c:pt idx="254">
                  <c:v>24.999999999999986</c:v>
                </c:pt>
                <c:pt idx="255">
                  <c:v>25</c:v>
                </c:pt>
                <c:pt idx="256">
                  <c:v>24.999999999999989</c:v>
                </c:pt>
                <c:pt idx="257">
                  <c:v>24.999999999999982</c:v>
                </c:pt>
                <c:pt idx="258">
                  <c:v>24.999999999999993</c:v>
                </c:pt>
                <c:pt idx="259">
                  <c:v>25.000000000000007</c:v>
                </c:pt>
                <c:pt idx="260">
                  <c:v>25.000000000000007</c:v>
                </c:pt>
                <c:pt idx="261">
                  <c:v>24.999999999999989</c:v>
                </c:pt>
                <c:pt idx="262">
                  <c:v>24.999999999999986</c:v>
                </c:pt>
                <c:pt idx="263">
                  <c:v>24.999999999999968</c:v>
                </c:pt>
                <c:pt idx="264">
                  <c:v>24.999999999999993</c:v>
                </c:pt>
                <c:pt idx="265">
                  <c:v>25.000000000000011</c:v>
                </c:pt>
                <c:pt idx="266">
                  <c:v>24.999999999999982</c:v>
                </c:pt>
                <c:pt idx="267">
                  <c:v>24.999999999999982</c:v>
                </c:pt>
                <c:pt idx="268">
                  <c:v>25</c:v>
                </c:pt>
                <c:pt idx="269">
                  <c:v>24.999999999999975</c:v>
                </c:pt>
                <c:pt idx="270">
                  <c:v>25</c:v>
                </c:pt>
                <c:pt idx="271">
                  <c:v>25.000000000000007</c:v>
                </c:pt>
                <c:pt idx="272">
                  <c:v>24.999999999999996</c:v>
                </c:pt>
                <c:pt idx="273">
                  <c:v>25.000000000000007</c:v>
                </c:pt>
                <c:pt idx="274">
                  <c:v>25</c:v>
                </c:pt>
                <c:pt idx="275">
                  <c:v>24.999999999999972</c:v>
                </c:pt>
                <c:pt idx="276">
                  <c:v>24.999999999999989</c:v>
                </c:pt>
                <c:pt idx="277">
                  <c:v>24.999999999999982</c:v>
                </c:pt>
                <c:pt idx="278">
                  <c:v>25.000000000000021</c:v>
                </c:pt>
                <c:pt idx="279">
                  <c:v>24.999999999999996</c:v>
                </c:pt>
                <c:pt idx="280">
                  <c:v>24.999999999999989</c:v>
                </c:pt>
                <c:pt idx="281">
                  <c:v>24.999999999999975</c:v>
                </c:pt>
                <c:pt idx="282">
                  <c:v>24.999999999999972</c:v>
                </c:pt>
                <c:pt idx="283">
                  <c:v>24.999999999999968</c:v>
                </c:pt>
                <c:pt idx="284">
                  <c:v>24.999999999999964</c:v>
                </c:pt>
                <c:pt idx="285">
                  <c:v>24.999999999999993</c:v>
                </c:pt>
                <c:pt idx="286">
                  <c:v>25.000000000000011</c:v>
                </c:pt>
                <c:pt idx="287">
                  <c:v>24.999999999999972</c:v>
                </c:pt>
                <c:pt idx="288">
                  <c:v>25.000000000000025</c:v>
                </c:pt>
                <c:pt idx="289">
                  <c:v>25.000000000000007</c:v>
                </c:pt>
                <c:pt idx="290">
                  <c:v>24.999999999999996</c:v>
                </c:pt>
                <c:pt idx="291">
                  <c:v>24.999999999999989</c:v>
                </c:pt>
                <c:pt idx="292">
                  <c:v>25.000000000000011</c:v>
                </c:pt>
                <c:pt idx="293">
                  <c:v>24.999999999999979</c:v>
                </c:pt>
                <c:pt idx="294">
                  <c:v>24.999999999999993</c:v>
                </c:pt>
                <c:pt idx="295">
                  <c:v>25.000000000000011</c:v>
                </c:pt>
                <c:pt idx="296">
                  <c:v>25.000000000000032</c:v>
                </c:pt>
                <c:pt idx="297">
                  <c:v>25.000000000000004</c:v>
                </c:pt>
                <c:pt idx="298">
                  <c:v>25.000000000000025</c:v>
                </c:pt>
                <c:pt idx="299">
                  <c:v>25.000000000000011</c:v>
                </c:pt>
                <c:pt idx="300">
                  <c:v>25</c:v>
                </c:pt>
                <c:pt idx="301">
                  <c:v>24.999999999999993</c:v>
                </c:pt>
                <c:pt idx="302">
                  <c:v>25.000000000000007</c:v>
                </c:pt>
                <c:pt idx="303">
                  <c:v>25.000000000000007</c:v>
                </c:pt>
                <c:pt idx="304">
                  <c:v>24.999999999999993</c:v>
                </c:pt>
                <c:pt idx="305">
                  <c:v>25.000000000000021</c:v>
                </c:pt>
                <c:pt idx="306">
                  <c:v>25.000000000000007</c:v>
                </c:pt>
                <c:pt idx="307">
                  <c:v>25.000000000000021</c:v>
                </c:pt>
                <c:pt idx="308">
                  <c:v>25.000000000000011</c:v>
                </c:pt>
                <c:pt idx="309">
                  <c:v>25.000000000000021</c:v>
                </c:pt>
                <c:pt idx="310">
                  <c:v>25.000000000000007</c:v>
                </c:pt>
                <c:pt idx="311">
                  <c:v>25.000000000000021</c:v>
                </c:pt>
                <c:pt idx="312">
                  <c:v>25.000000000000025</c:v>
                </c:pt>
                <c:pt idx="313">
                  <c:v>25.000000000000011</c:v>
                </c:pt>
                <c:pt idx="314">
                  <c:v>25.000000000000004</c:v>
                </c:pt>
                <c:pt idx="315">
                  <c:v>25.000000000000007</c:v>
                </c:pt>
                <c:pt idx="316">
                  <c:v>25.000000000000028</c:v>
                </c:pt>
                <c:pt idx="317">
                  <c:v>24.999999999999986</c:v>
                </c:pt>
                <c:pt idx="318">
                  <c:v>25.000000000000004</c:v>
                </c:pt>
                <c:pt idx="319">
                  <c:v>25</c:v>
                </c:pt>
                <c:pt idx="320">
                  <c:v>24.999999999999996</c:v>
                </c:pt>
                <c:pt idx="321">
                  <c:v>24.999999999999996</c:v>
                </c:pt>
                <c:pt idx="322">
                  <c:v>24.999999999999996</c:v>
                </c:pt>
                <c:pt idx="323">
                  <c:v>25.000000000000014</c:v>
                </c:pt>
                <c:pt idx="324">
                  <c:v>24.999999999999989</c:v>
                </c:pt>
                <c:pt idx="325">
                  <c:v>25</c:v>
                </c:pt>
                <c:pt idx="326">
                  <c:v>24.999999999999993</c:v>
                </c:pt>
                <c:pt idx="327">
                  <c:v>25.000000000000011</c:v>
                </c:pt>
                <c:pt idx="328">
                  <c:v>25.000000000000004</c:v>
                </c:pt>
                <c:pt idx="329">
                  <c:v>25.000000000000018</c:v>
                </c:pt>
                <c:pt idx="330">
                  <c:v>24.999999999999982</c:v>
                </c:pt>
                <c:pt idx="331">
                  <c:v>25.000000000000014</c:v>
                </c:pt>
                <c:pt idx="332">
                  <c:v>25.000000000000011</c:v>
                </c:pt>
                <c:pt idx="333">
                  <c:v>25.000000000000021</c:v>
                </c:pt>
                <c:pt idx="334">
                  <c:v>24.999999999999996</c:v>
                </c:pt>
                <c:pt idx="335">
                  <c:v>25.000000000000011</c:v>
                </c:pt>
                <c:pt idx="336">
                  <c:v>25.000000000000007</c:v>
                </c:pt>
                <c:pt idx="337">
                  <c:v>25.000000000000004</c:v>
                </c:pt>
                <c:pt idx="338">
                  <c:v>24.999999999999986</c:v>
                </c:pt>
                <c:pt idx="339">
                  <c:v>25.000000000000007</c:v>
                </c:pt>
                <c:pt idx="340">
                  <c:v>25.000000000000032</c:v>
                </c:pt>
                <c:pt idx="341">
                  <c:v>25.000000000000028</c:v>
                </c:pt>
                <c:pt idx="342">
                  <c:v>24.999999999999989</c:v>
                </c:pt>
                <c:pt idx="343">
                  <c:v>25.000000000000011</c:v>
                </c:pt>
                <c:pt idx="344">
                  <c:v>25.000000000000021</c:v>
                </c:pt>
                <c:pt idx="345">
                  <c:v>25.000000000000014</c:v>
                </c:pt>
                <c:pt idx="346">
                  <c:v>25.000000000000004</c:v>
                </c:pt>
                <c:pt idx="347">
                  <c:v>25.000000000000007</c:v>
                </c:pt>
                <c:pt idx="348">
                  <c:v>24.999999999999979</c:v>
                </c:pt>
                <c:pt idx="349">
                  <c:v>25.000000000000007</c:v>
                </c:pt>
                <c:pt idx="350">
                  <c:v>25.000000000000018</c:v>
                </c:pt>
                <c:pt idx="351">
                  <c:v>25.000000000000007</c:v>
                </c:pt>
                <c:pt idx="352">
                  <c:v>25.000000000000004</c:v>
                </c:pt>
                <c:pt idx="353">
                  <c:v>25</c:v>
                </c:pt>
                <c:pt idx="354">
                  <c:v>25</c:v>
                </c:pt>
                <c:pt idx="355">
                  <c:v>25.000000000000007</c:v>
                </c:pt>
                <c:pt idx="356">
                  <c:v>24.999999999999986</c:v>
                </c:pt>
                <c:pt idx="357">
                  <c:v>24.999999999999996</c:v>
                </c:pt>
                <c:pt idx="358">
                  <c:v>24.999999999999996</c:v>
                </c:pt>
                <c:pt idx="359">
                  <c:v>25.000000000000007</c:v>
                </c:pt>
                <c:pt idx="360">
                  <c:v>25.000000000000011</c:v>
                </c:pt>
                <c:pt idx="361">
                  <c:v>24.999999999999993</c:v>
                </c:pt>
                <c:pt idx="362">
                  <c:v>24.999999999999986</c:v>
                </c:pt>
                <c:pt idx="363">
                  <c:v>24.999999999999975</c:v>
                </c:pt>
                <c:pt idx="364">
                  <c:v>25.000000000000011</c:v>
                </c:pt>
                <c:pt idx="365">
                  <c:v>25.000000000000028</c:v>
                </c:pt>
                <c:pt idx="366">
                  <c:v>25</c:v>
                </c:pt>
                <c:pt idx="367">
                  <c:v>25.000000000000028</c:v>
                </c:pt>
                <c:pt idx="368">
                  <c:v>25.000000000000014</c:v>
                </c:pt>
                <c:pt idx="369">
                  <c:v>25.000000000000004</c:v>
                </c:pt>
                <c:pt idx="370">
                  <c:v>25.000000000000004</c:v>
                </c:pt>
                <c:pt idx="371">
                  <c:v>24.999999999999996</c:v>
                </c:pt>
                <c:pt idx="372">
                  <c:v>25.000000000000028</c:v>
                </c:pt>
                <c:pt idx="373">
                  <c:v>25.000000000000014</c:v>
                </c:pt>
                <c:pt idx="374">
                  <c:v>25</c:v>
                </c:pt>
                <c:pt idx="375">
                  <c:v>25.000000000000028</c:v>
                </c:pt>
                <c:pt idx="376">
                  <c:v>25.000000000000011</c:v>
                </c:pt>
                <c:pt idx="377">
                  <c:v>25.000000000000011</c:v>
                </c:pt>
                <c:pt idx="378">
                  <c:v>25.000000000000021</c:v>
                </c:pt>
                <c:pt idx="379">
                  <c:v>25.000000000000014</c:v>
                </c:pt>
                <c:pt idx="380">
                  <c:v>24.999999999999972</c:v>
                </c:pt>
                <c:pt idx="381">
                  <c:v>25.000000000000032</c:v>
                </c:pt>
                <c:pt idx="382">
                  <c:v>24.999999999999986</c:v>
                </c:pt>
                <c:pt idx="383">
                  <c:v>24.999999999999989</c:v>
                </c:pt>
                <c:pt idx="384">
                  <c:v>25.000000000000007</c:v>
                </c:pt>
                <c:pt idx="385">
                  <c:v>25.000000000000025</c:v>
                </c:pt>
                <c:pt idx="386">
                  <c:v>25.000000000000011</c:v>
                </c:pt>
                <c:pt idx="387">
                  <c:v>25.000000000000011</c:v>
                </c:pt>
                <c:pt idx="388">
                  <c:v>25.000000000000021</c:v>
                </c:pt>
                <c:pt idx="389">
                  <c:v>25</c:v>
                </c:pt>
                <c:pt idx="390">
                  <c:v>25.000000000000004</c:v>
                </c:pt>
                <c:pt idx="391">
                  <c:v>25.000000000000007</c:v>
                </c:pt>
                <c:pt idx="392">
                  <c:v>25.000000000000014</c:v>
                </c:pt>
                <c:pt idx="393">
                  <c:v>25.000000000000011</c:v>
                </c:pt>
                <c:pt idx="394">
                  <c:v>24.999999999999989</c:v>
                </c:pt>
                <c:pt idx="395">
                  <c:v>25.000000000000018</c:v>
                </c:pt>
                <c:pt idx="396">
                  <c:v>25</c:v>
                </c:pt>
                <c:pt idx="397">
                  <c:v>25.000000000000028</c:v>
                </c:pt>
                <c:pt idx="398">
                  <c:v>25.000000000000018</c:v>
                </c:pt>
                <c:pt idx="399">
                  <c:v>25.000000000000004</c:v>
                </c:pt>
                <c:pt idx="400">
                  <c:v>24.999999999999979</c:v>
                </c:pt>
                <c:pt idx="401">
                  <c:v>25</c:v>
                </c:pt>
                <c:pt idx="402">
                  <c:v>25.000000000000018</c:v>
                </c:pt>
                <c:pt idx="403">
                  <c:v>25.000000000000036</c:v>
                </c:pt>
                <c:pt idx="404">
                  <c:v>25.000000000000036</c:v>
                </c:pt>
                <c:pt idx="405">
                  <c:v>25.000000000000018</c:v>
                </c:pt>
                <c:pt idx="406">
                  <c:v>25.000000000000021</c:v>
                </c:pt>
                <c:pt idx="407">
                  <c:v>25</c:v>
                </c:pt>
                <c:pt idx="408">
                  <c:v>25.000000000000004</c:v>
                </c:pt>
                <c:pt idx="409">
                  <c:v>25.000000000000007</c:v>
                </c:pt>
                <c:pt idx="410">
                  <c:v>25</c:v>
                </c:pt>
                <c:pt idx="411">
                  <c:v>24.999999999999993</c:v>
                </c:pt>
                <c:pt idx="412">
                  <c:v>25.000000000000025</c:v>
                </c:pt>
                <c:pt idx="413">
                  <c:v>24.999999999999989</c:v>
                </c:pt>
                <c:pt idx="414">
                  <c:v>24.999999999999989</c:v>
                </c:pt>
                <c:pt idx="415">
                  <c:v>25.000000000000028</c:v>
                </c:pt>
                <c:pt idx="416">
                  <c:v>24.999999999999986</c:v>
                </c:pt>
                <c:pt idx="417">
                  <c:v>25</c:v>
                </c:pt>
                <c:pt idx="418">
                  <c:v>24.999999999999996</c:v>
                </c:pt>
                <c:pt idx="419">
                  <c:v>24.999999999999982</c:v>
                </c:pt>
                <c:pt idx="420">
                  <c:v>25</c:v>
                </c:pt>
                <c:pt idx="421">
                  <c:v>25.000000000000025</c:v>
                </c:pt>
                <c:pt idx="422">
                  <c:v>25</c:v>
                </c:pt>
                <c:pt idx="423">
                  <c:v>25.000000000000014</c:v>
                </c:pt>
                <c:pt idx="424">
                  <c:v>25.000000000000032</c:v>
                </c:pt>
                <c:pt idx="425">
                  <c:v>25.000000000000014</c:v>
                </c:pt>
                <c:pt idx="426">
                  <c:v>25.000000000000004</c:v>
                </c:pt>
                <c:pt idx="427">
                  <c:v>25.000000000000036</c:v>
                </c:pt>
                <c:pt idx="428">
                  <c:v>25.000000000000025</c:v>
                </c:pt>
                <c:pt idx="429">
                  <c:v>25.000000000000043</c:v>
                </c:pt>
                <c:pt idx="430">
                  <c:v>25.000000000000011</c:v>
                </c:pt>
                <c:pt idx="431">
                  <c:v>25.000000000000021</c:v>
                </c:pt>
                <c:pt idx="432">
                  <c:v>25.000000000000004</c:v>
                </c:pt>
                <c:pt idx="433">
                  <c:v>25.000000000000004</c:v>
                </c:pt>
                <c:pt idx="434">
                  <c:v>25.000000000000004</c:v>
                </c:pt>
                <c:pt idx="435">
                  <c:v>25</c:v>
                </c:pt>
                <c:pt idx="436">
                  <c:v>25.000000000000014</c:v>
                </c:pt>
                <c:pt idx="437">
                  <c:v>25.000000000000014</c:v>
                </c:pt>
                <c:pt idx="438">
                  <c:v>24.999999999999989</c:v>
                </c:pt>
                <c:pt idx="439">
                  <c:v>24.999999999999996</c:v>
                </c:pt>
                <c:pt idx="440">
                  <c:v>25.000000000000032</c:v>
                </c:pt>
                <c:pt idx="441">
                  <c:v>24.999999999999993</c:v>
                </c:pt>
                <c:pt idx="442">
                  <c:v>25.000000000000011</c:v>
                </c:pt>
                <c:pt idx="443">
                  <c:v>25.000000000000007</c:v>
                </c:pt>
                <c:pt idx="444">
                  <c:v>24.999999999999993</c:v>
                </c:pt>
                <c:pt idx="445">
                  <c:v>25.000000000000028</c:v>
                </c:pt>
                <c:pt idx="446">
                  <c:v>25.000000000000025</c:v>
                </c:pt>
                <c:pt idx="447">
                  <c:v>25.000000000000007</c:v>
                </c:pt>
                <c:pt idx="448">
                  <c:v>24.999999999999996</c:v>
                </c:pt>
                <c:pt idx="449">
                  <c:v>25.000000000000025</c:v>
                </c:pt>
                <c:pt idx="450">
                  <c:v>25.000000000000021</c:v>
                </c:pt>
                <c:pt idx="451">
                  <c:v>24.999999999999989</c:v>
                </c:pt>
                <c:pt idx="452">
                  <c:v>25.000000000000011</c:v>
                </c:pt>
                <c:pt idx="453">
                  <c:v>24.999999999999982</c:v>
                </c:pt>
                <c:pt idx="454">
                  <c:v>25.000000000000011</c:v>
                </c:pt>
                <c:pt idx="455">
                  <c:v>25.000000000000032</c:v>
                </c:pt>
                <c:pt idx="456">
                  <c:v>25.000000000000014</c:v>
                </c:pt>
                <c:pt idx="457">
                  <c:v>24.999999999999993</c:v>
                </c:pt>
                <c:pt idx="458">
                  <c:v>25.000000000000004</c:v>
                </c:pt>
                <c:pt idx="459">
                  <c:v>24.999999999999996</c:v>
                </c:pt>
                <c:pt idx="460">
                  <c:v>25.000000000000018</c:v>
                </c:pt>
                <c:pt idx="461">
                  <c:v>25.000000000000011</c:v>
                </c:pt>
                <c:pt idx="462">
                  <c:v>25.000000000000011</c:v>
                </c:pt>
                <c:pt idx="463">
                  <c:v>25.000000000000011</c:v>
                </c:pt>
                <c:pt idx="464">
                  <c:v>25.000000000000014</c:v>
                </c:pt>
                <c:pt idx="465">
                  <c:v>25.000000000000032</c:v>
                </c:pt>
                <c:pt idx="466">
                  <c:v>25.000000000000028</c:v>
                </c:pt>
                <c:pt idx="467">
                  <c:v>25.000000000000028</c:v>
                </c:pt>
                <c:pt idx="468">
                  <c:v>25</c:v>
                </c:pt>
                <c:pt idx="469">
                  <c:v>25.000000000000014</c:v>
                </c:pt>
                <c:pt idx="470">
                  <c:v>24.999999999999986</c:v>
                </c:pt>
                <c:pt idx="471">
                  <c:v>25.000000000000025</c:v>
                </c:pt>
                <c:pt idx="472">
                  <c:v>25</c:v>
                </c:pt>
                <c:pt idx="473">
                  <c:v>24.999999999999989</c:v>
                </c:pt>
                <c:pt idx="474">
                  <c:v>24.999999999999989</c:v>
                </c:pt>
                <c:pt idx="475">
                  <c:v>25.000000000000007</c:v>
                </c:pt>
                <c:pt idx="476">
                  <c:v>25</c:v>
                </c:pt>
                <c:pt idx="477">
                  <c:v>25.000000000000014</c:v>
                </c:pt>
                <c:pt idx="478">
                  <c:v>25.000000000000028</c:v>
                </c:pt>
                <c:pt idx="479">
                  <c:v>24.999999999999993</c:v>
                </c:pt>
                <c:pt idx="480">
                  <c:v>25.000000000000011</c:v>
                </c:pt>
                <c:pt idx="481">
                  <c:v>25.000000000000004</c:v>
                </c:pt>
                <c:pt idx="482">
                  <c:v>25.000000000000036</c:v>
                </c:pt>
                <c:pt idx="483">
                  <c:v>24.999999999999996</c:v>
                </c:pt>
                <c:pt idx="484">
                  <c:v>24.999999999999982</c:v>
                </c:pt>
                <c:pt idx="485">
                  <c:v>25.000000000000004</c:v>
                </c:pt>
                <c:pt idx="486">
                  <c:v>25.000000000000028</c:v>
                </c:pt>
                <c:pt idx="487">
                  <c:v>24.999999999999982</c:v>
                </c:pt>
                <c:pt idx="488">
                  <c:v>25.000000000000007</c:v>
                </c:pt>
                <c:pt idx="489">
                  <c:v>25.000000000000018</c:v>
                </c:pt>
                <c:pt idx="490">
                  <c:v>25.000000000000025</c:v>
                </c:pt>
                <c:pt idx="491">
                  <c:v>25.000000000000011</c:v>
                </c:pt>
                <c:pt idx="492">
                  <c:v>25.000000000000025</c:v>
                </c:pt>
                <c:pt idx="493">
                  <c:v>25.000000000000018</c:v>
                </c:pt>
                <c:pt idx="494">
                  <c:v>25.000000000000018</c:v>
                </c:pt>
                <c:pt idx="495">
                  <c:v>25.000000000000028</c:v>
                </c:pt>
                <c:pt idx="496">
                  <c:v>25.000000000000014</c:v>
                </c:pt>
                <c:pt idx="497">
                  <c:v>25.000000000000018</c:v>
                </c:pt>
                <c:pt idx="498">
                  <c:v>25.000000000000014</c:v>
                </c:pt>
                <c:pt idx="499">
                  <c:v>24.999999999999993</c:v>
                </c:pt>
                <c:pt idx="500">
                  <c:v>25.000000000000014</c:v>
                </c:pt>
                <c:pt idx="501">
                  <c:v>25</c:v>
                </c:pt>
                <c:pt idx="502">
                  <c:v>25.000000000000014</c:v>
                </c:pt>
                <c:pt idx="503">
                  <c:v>25.000000000000007</c:v>
                </c:pt>
                <c:pt idx="504">
                  <c:v>25.000000000000014</c:v>
                </c:pt>
                <c:pt idx="505">
                  <c:v>25.000000000000025</c:v>
                </c:pt>
                <c:pt idx="506">
                  <c:v>24.999999999999989</c:v>
                </c:pt>
                <c:pt idx="507">
                  <c:v>25.000000000000025</c:v>
                </c:pt>
                <c:pt idx="508">
                  <c:v>25.000000000000007</c:v>
                </c:pt>
                <c:pt idx="509">
                  <c:v>25</c:v>
                </c:pt>
                <c:pt idx="510">
                  <c:v>25.000000000000018</c:v>
                </c:pt>
                <c:pt idx="511">
                  <c:v>25.000000000000014</c:v>
                </c:pt>
                <c:pt idx="512">
                  <c:v>25.000000000000007</c:v>
                </c:pt>
                <c:pt idx="513">
                  <c:v>24.999999999999996</c:v>
                </c:pt>
                <c:pt idx="514">
                  <c:v>25.000000000000039</c:v>
                </c:pt>
                <c:pt idx="515">
                  <c:v>24.999999999999989</c:v>
                </c:pt>
                <c:pt idx="516">
                  <c:v>25.000000000000032</c:v>
                </c:pt>
                <c:pt idx="517">
                  <c:v>24.999999999999996</c:v>
                </c:pt>
                <c:pt idx="518">
                  <c:v>25.000000000000011</c:v>
                </c:pt>
                <c:pt idx="519">
                  <c:v>25.000000000000007</c:v>
                </c:pt>
                <c:pt idx="520">
                  <c:v>25.000000000000014</c:v>
                </c:pt>
                <c:pt idx="521">
                  <c:v>25.000000000000032</c:v>
                </c:pt>
                <c:pt idx="522">
                  <c:v>25.000000000000014</c:v>
                </c:pt>
                <c:pt idx="523">
                  <c:v>25.000000000000007</c:v>
                </c:pt>
                <c:pt idx="524">
                  <c:v>24.999999999999979</c:v>
                </c:pt>
                <c:pt idx="525">
                  <c:v>25.000000000000007</c:v>
                </c:pt>
                <c:pt idx="526">
                  <c:v>25.000000000000021</c:v>
                </c:pt>
                <c:pt idx="527">
                  <c:v>25.000000000000028</c:v>
                </c:pt>
                <c:pt idx="528">
                  <c:v>24.999999999999993</c:v>
                </c:pt>
                <c:pt idx="529">
                  <c:v>25.000000000000007</c:v>
                </c:pt>
                <c:pt idx="530">
                  <c:v>24.999999999999993</c:v>
                </c:pt>
                <c:pt idx="531">
                  <c:v>25.000000000000021</c:v>
                </c:pt>
                <c:pt idx="532">
                  <c:v>25.000000000000004</c:v>
                </c:pt>
                <c:pt idx="533">
                  <c:v>24.999999999999989</c:v>
                </c:pt>
                <c:pt idx="534">
                  <c:v>25.000000000000025</c:v>
                </c:pt>
                <c:pt idx="535">
                  <c:v>25.000000000000014</c:v>
                </c:pt>
                <c:pt idx="536">
                  <c:v>25.000000000000036</c:v>
                </c:pt>
                <c:pt idx="537">
                  <c:v>25.000000000000014</c:v>
                </c:pt>
                <c:pt idx="538">
                  <c:v>25.000000000000004</c:v>
                </c:pt>
                <c:pt idx="539">
                  <c:v>25.000000000000007</c:v>
                </c:pt>
                <c:pt idx="540">
                  <c:v>24.999999999999996</c:v>
                </c:pt>
                <c:pt idx="541">
                  <c:v>25</c:v>
                </c:pt>
                <c:pt idx="542">
                  <c:v>25</c:v>
                </c:pt>
                <c:pt idx="543">
                  <c:v>24.999999999999993</c:v>
                </c:pt>
                <c:pt idx="544">
                  <c:v>24.999999999999993</c:v>
                </c:pt>
                <c:pt idx="545">
                  <c:v>25.000000000000004</c:v>
                </c:pt>
                <c:pt idx="546">
                  <c:v>25.000000000000028</c:v>
                </c:pt>
                <c:pt idx="547">
                  <c:v>24.999999999999993</c:v>
                </c:pt>
                <c:pt idx="548">
                  <c:v>25.000000000000025</c:v>
                </c:pt>
                <c:pt idx="549">
                  <c:v>25.000000000000021</c:v>
                </c:pt>
                <c:pt idx="550">
                  <c:v>25</c:v>
                </c:pt>
                <c:pt idx="551">
                  <c:v>25.000000000000021</c:v>
                </c:pt>
                <c:pt idx="552">
                  <c:v>25.000000000000021</c:v>
                </c:pt>
                <c:pt idx="553">
                  <c:v>25.000000000000007</c:v>
                </c:pt>
                <c:pt idx="554">
                  <c:v>25</c:v>
                </c:pt>
                <c:pt idx="555">
                  <c:v>24.999999999999996</c:v>
                </c:pt>
                <c:pt idx="556">
                  <c:v>25</c:v>
                </c:pt>
                <c:pt idx="557">
                  <c:v>24.999999999999996</c:v>
                </c:pt>
                <c:pt idx="558">
                  <c:v>25.000000000000007</c:v>
                </c:pt>
                <c:pt idx="559">
                  <c:v>25.000000000000021</c:v>
                </c:pt>
                <c:pt idx="560">
                  <c:v>25.000000000000011</c:v>
                </c:pt>
                <c:pt idx="561">
                  <c:v>25.000000000000007</c:v>
                </c:pt>
                <c:pt idx="562">
                  <c:v>24.999999999999982</c:v>
                </c:pt>
                <c:pt idx="563">
                  <c:v>25.000000000000007</c:v>
                </c:pt>
                <c:pt idx="564">
                  <c:v>24.999999999999996</c:v>
                </c:pt>
                <c:pt idx="565">
                  <c:v>25.000000000000025</c:v>
                </c:pt>
                <c:pt idx="566">
                  <c:v>25.000000000000018</c:v>
                </c:pt>
                <c:pt idx="567">
                  <c:v>25.000000000000014</c:v>
                </c:pt>
                <c:pt idx="568">
                  <c:v>25</c:v>
                </c:pt>
                <c:pt idx="569">
                  <c:v>24.999999999999979</c:v>
                </c:pt>
                <c:pt idx="570">
                  <c:v>24.999999999999996</c:v>
                </c:pt>
                <c:pt idx="571">
                  <c:v>24.999999999999986</c:v>
                </c:pt>
                <c:pt idx="572">
                  <c:v>25.000000000000014</c:v>
                </c:pt>
                <c:pt idx="573">
                  <c:v>24.999999999999993</c:v>
                </c:pt>
                <c:pt idx="574">
                  <c:v>25.000000000000014</c:v>
                </c:pt>
                <c:pt idx="575">
                  <c:v>25.000000000000011</c:v>
                </c:pt>
                <c:pt idx="576">
                  <c:v>25.000000000000028</c:v>
                </c:pt>
                <c:pt idx="577">
                  <c:v>25.000000000000011</c:v>
                </c:pt>
                <c:pt idx="578">
                  <c:v>24.999999999999989</c:v>
                </c:pt>
                <c:pt idx="579">
                  <c:v>25.000000000000025</c:v>
                </c:pt>
                <c:pt idx="580">
                  <c:v>25.000000000000018</c:v>
                </c:pt>
                <c:pt idx="581">
                  <c:v>25</c:v>
                </c:pt>
                <c:pt idx="582">
                  <c:v>25.000000000000014</c:v>
                </c:pt>
                <c:pt idx="583">
                  <c:v>24.999999999999986</c:v>
                </c:pt>
                <c:pt idx="584">
                  <c:v>25.000000000000004</c:v>
                </c:pt>
                <c:pt idx="585">
                  <c:v>24.999999999999993</c:v>
                </c:pt>
                <c:pt idx="586">
                  <c:v>25.000000000000025</c:v>
                </c:pt>
                <c:pt idx="587">
                  <c:v>25.000000000000036</c:v>
                </c:pt>
                <c:pt idx="588">
                  <c:v>25</c:v>
                </c:pt>
                <c:pt idx="589">
                  <c:v>25.000000000000028</c:v>
                </c:pt>
                <c:pt idx="590">
                  <c:v>24.999999999999982</c:v>
                </c:pt>
                <c:pt idx="591">
                  <c:v>25.000000000000028</c:v>
                </c:pt>
                <c:pt idx="592">
                  <c:v>24.999999999999989</c:v>
                </c:pt>
                <c:pt idx="593">
                  <c:v>25.000000000000018</c:v>
                </c:pt>
                <c:pt idx="594">
                  <c:v>25.000000000000011</c:v>
                </c:pt>
                <c:pt idx="595">
                  <c:v>25.000000000000014</c:v>
                </c:pt>
                <c:pt idx="596">
                  <c:v>24.999999999999979</c:v>
                </c:pt>
                <c:pt idx="597">
                  <c:v>24.999999999999989</c:v>
                </c:pt>
                <c:pt idx="598">
                  <c:v>24.999999999999989</c:v>
                </c:pt>
                <c:pt idx="599">
                  <c:v>25.000000000000018</c:v>
                </c:pt>
                <c:pt idx="600">
                  <c:v>24.999999999999993</c:v>
                </c:pt>
                <c:pt idx="601">
                  <c:v>25.000000000000021</c:v>
                </c:pt>
                <c:pt idx="602">
                  <c:v>25.000000000000014</c:v>
                </c:pt>
                <c:pt idx="603">
                  <c:v>25.000000000000014</c:v>
                </c:pt>
                <c:pt idx="604">
                  <c:v>25.000000000000014</c:v>
                </c:pt>
                <c:pt idx="605">
                  <c:v>24.999999999999993</c:v>
                </c:pt>
                <c:pt idx="606">
                  <c:v>25</c:v>
                </c:pt>
                <c:pt idx="607">
                  <c:v>25.000000000000032</c:v>
                </c:pt>
                <c:pt idx="608">
                  <c:v>25</c:v>
                </c:pt>
                <c:pt idx="609">
                  <c:v>25.000000000000021</c:v>
                </c:pt>
                <c:pt idx="610">
                  <c:v>24.999999999999996</c:v>
                </c:pt>
                <c:pt idx="611">
                  <c:v>25</c:v>
                </c:pt>
                <c:pt idx="612">
                  <c:v>24.999999999999986</c:v>
                </c:pt>
                <c:pt idx="613">
                  <c:v>25.000000000000025</c:v>
                </c:pt>
                <c:pt idx="614">
                  <c:v>25.000000000000011</c:v>
                </c:pt>
                <c:pt idx="615">
                  <c:v>24.999999999999982</c:v>
                </c:pt>
                <c:pt idx="616">
                  <c:v>25.000000000000007</c:v>
                </c:pt>
                <c:pt idx="617">
                  <c:v>25.000000000000007</c:v>
                </c:pt>
                <c:pt idx="618">
                  <c:v>24.999999999999993</c:v>
                </c:pt>
                <c:pt idx="619">
                  <c:v>24.999999999999986</c:v>
                </c:pt>
                <c:pt idx="620">
                  <c:v>25.000000000000011</c:v>
                </c:pt>
                <c:pt idx="621">
                  <c:v>25</c:v>
                </c:pt>
                <c:pt idx="622">
                  <c:v>25.000000000000021</c:v>
                </c:pt>
                <c:pt idx="623">
                  <c:v>25.000000000000014</c:v>
                </c:pt>
                <c:pt idx="624">
                  <c:v>25.000000000000014</c:v>
                </c:pt>
                <c:pt idx="625">
                  <c:v>25.000000000000028</c:v>
                </c:pt>
                <c:pt idx="626">
                  <c:v>25.000000000000021</c:v>
                </c:pt>
                <c:pt idx="627">
                  <c:v>25.000000000000011</c:v>
                </c:pt>
                <c:pt idx="628">
                  <c:v>25.000000000000011</c:v>
                </c:pt>
                <c:pt idx="629">
                  <c:v>25.000000000000007</c:v>
                </c:pt>
                <c:pt idx="630">
                  <c:v>24.999999999999993</c:v>
                </c:pt>
                <c:pt idx="631">
                  <c:v>25.000000000000011</c:v>
                </c:pt>
                <c:pt idx="632">
                  <c:v>25.000000000000021</c:v>
                </c:pt>
                <c:pt idx="633">
                  <c:v>25</c:v>
                </c:pt>
                <c:pt idx="634">
                  <c:v>25.000000000000021</c:v>
                </c:pt>
                <c:pt idx="635">
                  <c:v>24.999999999999986</c:v>
                </c:pt>
                <c:pt idx="636">
                  <c:v>25.000000000000018</c:v>
                </c:pt>
                <c:pt idx="637">
                  <c:v>25.000000000000004</c:v>
                </c:pt>
                <c:pt idx="638">
                  <c:v>25.000000000000025</c:v>
                </c:pt>
                <c:pt idx="639">
                  <c:v>25.000000000000014</c:v>
                </c:pt>
                <c:pt idx="640">
                  <c:v>24.999999999999982</c:v>
                </c:pt>
                <c:pt idx="641">
                  <c:v>25.000000000000011</c:v>
                </c:pt>
                <c:pt idx="642">
                  <c:v>24.999999999999996</c:v>
                </c:pt>
                <c:pt idx="643">
                  <c:v>25</c:v>
                </c:pt>
                <c:pt idx="644">
                  <c:v>24.999999999999996</c:v>
                </c:pt>
                <c:pt idx="645">
                  <c:v>24.999999999999996</c:v>
                </c:pt>
                <c:pt idx="646">
                  <c:v>25.000000000000014</c:v>
                </c:pt>
                <c:pt idx="647">
                  <c:v>25.000000000000028</c:v>
                </c:pt>
                <c:pt idx="648">
                  <c:v>25.000000000000014</c:v>
                </c:pt>
                <c:pt idx="649">
                  <c:v>25.000000000000007</c:v>
                </c:pt>
                <c:pt idx="650">
                  <c:v>25.000000000000021</c:v>
                </c:pt>
                <c:pt idx="651">
                  <c:v>25</c:v>
                </c:pt>
                <c:pt idx="652">
                  <c:v>25.000000000000028</c:v>
                </c:pt>
                <c:pt idx="653">
                  <c:v>25</c:v>
                </c:pt>
                <c:pt idx="654">
                  <c:v>25.000000000000021</c:v>
                </c:pt>
                <c:pt idx="655">
                  <c:v>25.000000000000014</c:v>
                </c:pt>
                <c:pt idx="656">
                  <c:v>25.000000000000021</c:v>
                </c:pt>
                <c:pt idx="657">
                  <c:v>25.000000000000025</c:v>
                </c:pt>
                <c:pt idx="658">
                  <c:v>25.000000000000014</c:v>
                </c:pt>
                <c:pt idx="659">
                  <c:v>25.000000000000021</c:v>
                </c:pt>
                <c:pt idx="660">
                  <c:v>25.000000000000011</c:v>
                </c:pt>
                <c:pt idx="661">
                  <c:v>24.999999999999996</c:v>
                </c:pt>
                <c:pt idx="662">
                  <c:v>25</c:v>
                </c:pt>
                <c:pt idx="663">
                  <c:v>25.000000000000011</c:v>
                </c:pt>
                <c:pt idx="664">
                  <c:v>25.000000000000018</c:v>
                </c:pt>
                <c:pt idx="665">
                  <c:v>25.000000000000004</c:v>
                </c:pt>
                <c:pt idx="666">
                  <c:v>24.999999999999982</c:v>
                </c:pt>
                <c:pt idx="667">
                  <c:v>25.000000000000011</c:v>
                </c:pt>
                <c:pt idx="668">
                  <c:v>25.000000000000007</c:v>
                </c:pt>
                <c:pt idx="669">
                  <c:v>25.000000000000014</c:v>
                </c:pt>
                <c:pt idx="670">
                  <c:v>25.000000000000007</c:v>
                </c:pt>
                <c:pt idx="671">
                  <c:v>24.999999999999986</c:v>
                </c:pt>
                <c:pt idx="672">
                  <c:v>24.999999999999993</c:v>
                </c:pt>
                <c:pt idx="673">
                  <c:v>25.000000000000007</c:v>
                </c:pt>
                <c:pt idx="674">
                  <c:v>25</c:v>
                </c:pt>
                <c:pt idx="675">
                  <c:v>25.000000000000014</c:v>
                </c:pt>
                <c:pt idx="676">
                  <c:v>25.000000000000004</c:v>
                </c:pt>
                <c:pt idx="677">
                  <c:v>25.000000000000014</c:v>
                </c:pt>
                <c:pt idx="678">
                  <c:v>25.000000000000018</c:v>
                </c:pt>
                <c:pt idx="679">
                  <c:v>24.999999999999993</c:v>
                </c:pt>
                <c:pt idx="680">
                  <c:v>25.000000000000021</c:v>
                </c:pt>
                <c:pt idx="681">
                  <c:v>25</c:v>
                </c:pt>
                <c:pt idx="682">
                  <c:v>25.000000000000011</c:v>
                </c:pt>
                <c:pt idx="683">
                  <c:v>25.000000000000014</c:v>
                </c:pt>
                <c:pt idx="684">
                  <c:v>25.000000000000004</c:v>
                </c:pt>
                <c:pt idx="685">
                  <c:v>24.999999999999989</c:v>
                </c:pt>
                <c:pt idx="686">
                  <c:v>25.000000000000014</c:v>
                </c:pt>
                <c:pt idx="687">
                  <c:v>24.999999999999989</c:v>
                </c:pt>
                <c:pt idx="688">
                  <c:v>25.000000000000007</c:v>
                </c:pt>
                <c:pt idx="689">
                  <c:v>24.999999999999993</c:v>
                </c:pt>
                <c:pt idx="690">
                  <c:v>24.999999999999996</c:v>
                </c:pt>
                <c:pt idx="691">
                  <c:v>25.000000000000007</c:v>
                </c:pt>
                <c:pt idx="692">
                  <c:v>25.000000000000014</c:v>
                </c:pt>
                <c:pt idx="693">
                  <c:v>25.000000000000018</c:v>
                </c:pt>
                <c:pt idx="694">
                  <c:v>25.000000000000018</c:v>
                </c:pt>
                <c:pt idx="695">
                  <c:v>25</c:v>
                </c:pt>
                <c:pt idx="696">
                  <c:v>25.000000000000021</c:v>
                </c:pt>
                <c:pt idx="697">
                  <c:v>25.000000000000014</c:v>
                </c:pt>
                <c:pt idx="698">
                  <c:v>25.000000000000011</c:v>
                </c:pt>
                <c:pt idx="699">
                  <c:v>25.000000000000014</c:v>
                </c:pt>
                <c:pt idx="700">
                  <c:v>25.000000000000011</c:v>
                </c:pt>
                <c:pt idx="701">
                  <c:v>25.000000000000021</c:v>
                </c:pt>
                <c:pt idx="702">
                  <c:v>24.999999999999982</c:v>
                </c:pt>
                <c:pt idx="703">
                  <c:v>25.000000000000011</c:v>
                </c:pt>
                <c:pt idx="704">
                  <c:v>25.000000000000004</c:v>
                </c:pt>
                <c:pt idx="705">
                  <c:v>25.000000000000011</c:v>
                </c:pt>
                <c:pt idx="706">
                  <c:v>24.999999999999989</c:v>
                </c:pt>
                <c:pt idx="707">
                  <c:v>25.000000000000021</c:v>
                </c:pt>
                <c:pt idx="708">
                  <c:v>25.000000000000004</c:v>
                </c:pt>
                <c:pt idx="709">
                  <c:v>25.000000000000018</c:v>
                </c:pt>
                <c:pt idx="710">
                  <c:v>25.000000000000014</c:v>
                </c:pt>
                <c:pt idx="711">
                  <c:v>25.000000000000007</c:v>
                </c:pt>
                <c:pt idx="712">
                  <c:v>25.000000000000021</c:v>
                </c:pt>
                <c:pt idx="713">
                  <c:v>25.000000000000004</c:v>
                </c:pt>
                <c:pt idx="714">
                  <c:v>25.000000000000011</c:v>
                </c:pt>
                <c:pt idx="715">
                  <c:v>24.999999999999996</c:v>
                </c:pt>
                <c:pt idx="716">
                  <c:v>25.000000000000025</c:v>
                </c:pt>
                <c:pt idx="717">
                  <c:v>25.000000000000025</c:v>
                </c:pt>
                <c:pt idx="718">
                  <c:v>25</c:v>
                </c:pt>
                <c:pt idx="719">
                  <c:v>25.000000000000021</c:v>
                </c:pt>
                <c:pt idx="720">
                  <c:v>25.000000000000014</c:v>
                </c:pt>
                <c:pt idx="721">
                  <c:v>24.999999999999996</c:v>
                </c:pt>
                <c:pt idx="722">
                  <c:v>25.000000000000011</c:v>
                </c:pt>
                <c:pt idx="723">
                  <c:v>25</c:v>
                </c:pt>
                <c:pt idx="724">
                  <c:v>24.999999999999993</c:v>
                </c:pt>
                <c:pt idx="725">
                  <c:v>25.000000000000004</c:v>
                </c:pt>
                <c:pt idx="726">
                  <c:v>25.000000000000014</c:v>
                </c:pt>
                <c:pt idx="727">
                  <c:v>25.000000000000007</c:v>
                </c:pt>
                <c:pt idx="728">
                  <c:v>25.000000000000004</c:v>
                </c:pt>
                <c:pt idx="729">
                  <c:v>25.000000000000014</c:v>
                </c:pt>
                <c:pt idx="730">
                  <c:v>25.000000000000011</c:v>
                </c:pt>
                <c:pt idx="731">
                  <c:v>25.000000000000011</c:v>
                </c:pt>
                <c:pt idx="732">
                  <c:v>25.000000000000011</c:v>
                </c:pt>
                <c:pt idx="733">
                  <c:v>25.000000000000018</c:v>
                </c:pt>
                <c:pt idx="734">
                  <c:v>25.000000000000011</c:v>
                </c:pt>
                <c:pt idx="735">
                  <c:v>25.000000000000007</c:v>
                </c:pt>
                <c:pt idx="736">
                  <c:v>24.999999999999986</c:v>
                </c:pt>
                <c:pt idx="737">
                  <c:v>24.999999999999996</c:v>
                </c:pt>
                <c:pt idx="738">
                  <c:v>25.000000000000004</c:v>
                </c:pt>
                <c:pt idx="739">
                  <c:v>25.000000000000021</c:v>
                </c:pt>
                <c:pt idx="740">
                  <c:v>25.000000000000025</c:v>
                </c:pt>
                <c:pt idx="741">
                  <c:v>25</c:v>
                </c:pt>
                <c:pt idx="742">
                  <c:v>25.000000000000007</c:v>
                </c:pt>
                <c:pt idx="743">
                  <c:v>24.999999999999993</c:v>
                </c:pt>
                <c:pt idx="744">
                  <c:v>24.999999999999996</c:v>
                </c:pt>
                <c:pt idx="745">
                  <c:v>25.000000000000011</c:v>
                </c:pt>
                <c:pt idx="746">
                  <c:v>25.000000000000011</c:v>
                </c:pt>
                <c:pt idx="747">
                  <c:v>24.999999999999993</c:v>
                </c:pt>
                <c:pt idx="748">
                  <c:v>25</c:v>
                </c:pt>
                <c:pt idx="749">
                  <c:v>25.000000000000004</c:v>
                </c:pt>
                <c:pt idx="750">
                  <c:v>24.999999999999996</c:v>
                </c:pt>
                <c:pt idx="751">
                  <c:v>25.000000000000007</c:v>
                </c:pt>
                <c:pt idx="752">
                  <c:v>25</c:v>
                </c:pt>
                <c:pt idx="753">
                  <c:v>25.000000000000018</c:v>
                </c:pt>
                <c:pt idx="754">
                  <c:v>25.000000000000007</c:v>
                </c:pt>
                <c:pt idx="755">
                  <c:v>25.000000000000004</c:v>
                </c:pt>
                <c:pt idx="756">
                  <c:v>24.999999999999993</c:v>
                </c:pt>
                <c:pt idx="757">
                  <c:v>25.000000000000018</c:v>
                </c:pt>
                <c:pt idx="758">
                  <c:v>25.000000000000004</c:v>
                </c:pt>
                <c:pt idx="759">
                  <c:v>25.000000000000021</c:v>
                </c:pt>
                <c:pt idx="760">
                  <c:v>25.000000000000021</c:v>
                </c:pt>
                <c:pt idx="761">
                  <c:v>25.000000000000004</c:v>
                </c:pt>
                <c:pt idx="762">
                  <c:v>25.000000000000011</c:v>
                </c:pt>
                <c:pt idx="763">
                  <c:v>25.000000000000007</c:v>
                </c:pt>
                <c:pt idx="764">
                  <c:v>24.999999999999993</c:v>
                </c:pt>
                <c:pt idx="765">
                  <c:v>25.000000000000014</c:v>
                </c:pt>
                <c:pt idx="766">
                  <c:v>25.000000000000018</c:v>
                </c:pt>
                <c:pt idx="767">
                  <c:v>25.000000000000007</c:v>
                </c:pt>
                <c:pt idx="768">
                  <c:v>25.000000000000018</c:v>
                </c:pt>
                <c:pt idx="769">
                  <c:v>25.000000000000011</c:v>
                </c:pt>
                <c:pt idx="770">
                  <c:v>25.000000000000025</c:v>
                </c:pt>
                <c:pt idx="771">
                  <c:v>25</c:v>
                </c:pt>
                <c:pt idx="772">
                  <c:v>24.999999999999996</c:v>
                </c:pt>
                <c:pt idx="773">
                  <c:v>25.000000000000004</c:v>
                </c:pt>
                <c:pt idx="774">
                  <c:v>25.000000000000007</c:v>
                </c:pt>
                <c:pt idx="775">
                  <c:v>24.999999999999996</c:v>
                </c:pt>
                <c:pt idx="776">
                  <c:v>24.999999999999996</c:v>
                </c:pt>
                <c:pt idx="777">
                  <c:v>24.999999999999996</c:v>
                </c:pt>
                <c:pt idx="778">
                  <c:v>25</c:v>
                </c:pt>
                <c:pt idx="779">
                  <c:v>25.000000000000004</c:v>
                </c:pt>
                <c:pt idx="780">
                  <c:v>25</c:v>
                </c:pt>
                <c:pt idx="781">
                  <c:v>25.000000000000021</c:v>
                </c:pt>
                <c:pt idx="782">
                  <c:v>25.000000000000011</c:v>
                </c:pt>
                <c:pt idx="783">
                  <c:v>25.000000000000004</c:v>
                </c:pt>
                <c:pt idx="784">
                  <c:v>25.000000000000018</c:v>
                </c:pt>
                <c:pt idx="785">
                  <c:v>25.000000000000004</c:v>
                </c:pt>
                <c:pt idx="786">
                  <c:v>25</c:v>
                </c:pt>
                <c:pt idx="787">
                  <c:v>25</c:v>
                </c:pt>
                <c:pt idx="788">
                  <c:v>25.000000000000028</c:v>
                </c:pt>
                <c:pt idx="789">
                  <c:v>25.000000000000014</c:v>
                </c:pt>
                <c:pt idx="790">
                  <c:v>25.000000000000004</c:v>
                </c:pt>
                <c:pt idx="791">
                  <c:v>25.000000000000014</c:v>
                </c:pt>
                <c:pt idx="792">
                  <c:v>24.999999999999996</c:v>
                </c:pt>
                <c:pt idx="793">
                  <c:v>25</c:v>
                </c:pt>
                <c:pt idx="794">
                  <c:v>25.000000000000004</c:v>
                </c:pt>
                <c:pt idx="795">
                  <c:v>24.999999999999993</c:v>
                </c:pt>
                <c:pt idx="796">
                  <c:v>25.000000000000007</c:v>
                </c:pt>
                <c:pt idx="797">
                  <c:v>25.000000000000021</c:v>
                </c:pt>
                <c:pt idx="798">
                  <c:v>25.000000000000021</c:v>
                </c:pt>
                <c:pt idx="799">
                  <c:v>25</c:v>
                </c:pt>
                <c:pt idx="800">
                  <c:v>25.000000000000028</c:v>
                </c:pt>
                <c:pt idx="801">
                  <c:v>25</c:v>
                </c:pt>
                <c:pt idx="802">
                  <c:v>25.000000000000018</c:v>
                </c:pt>
                <c:pt idx="803">
                  <c:v>25.000000000000007</c:v>
                </c:pt>
                <c:pt idx="804">
                  <c:v>24.999999999999996</c:v>
                </c:pt>
                <c:pt idx="805">
                  <c:v>25.000000000000028</c:v>
                </c:pt>
                <c:pt idx="806">
                  <c:v>25.000000000000011</c:v>
                </c:pt>
                <c:pt idx="807">
                  <c:v>25</c:v>
                </c:pt>
                <c:pt idx="808">
                  <c:v>25.000000000000004</c:v>
                </c:pt>
                <c:pt idx="809">
                  <c:v>25</c:v>
                </c:pt>
                <c:pt idx="810">
                  <c:v>25.000000000000011</c:v>
                </c:pt>
                <c:pt idx="811">
                  <c:v>25.000000000000011</c:v>
                </c:pt>
                <c:pt idx="812">
                  <c:v>24.999999999999996</c:v>
                </c:pt>
                <c:pt idx="813">
                  <c:v>25.000000000000021</c:v>
                </c:pt>
                <c:pt idx="814">
                  <c:v>25.000000000000007</c:v>
                </c:pt>
                <c:pt idx="815">
                  <c:v>25.000000000000004</c:v>
                </c:pt>
                <c:pt idx="816">
                  <c:v>25.000000000000011</c:v>
                </c:pt>
                <c:pt idx="817">
                  <c:v>25.000000000000007</c:v>
                </c:pt>
                <c:pt idx="818">
                  <c:v>24.999999999999996</c:v>
                </c:pt>
                <c:pt idx="819">
                  <c:v>25.000000000000011</c:v>
                </c:pt>
                <c:pt idx="820">
                  <c:v>24.999999999999993</c:v>
                </c:pt>
                <c:pt idx="821">
                  <c:v>25.000000000000004</c:v>
                </c:pt>
                <c:pt idx="822">
                  <c:v>25.000000000000018</c:v>
                </c:pt>
                <c:pt idx="823">
                  <c:v>25.000000000000011</c:v>
                </c:pt>
                <c:pt idx="824">
                  <c:v>24.999999999999989</c:v>
                </c:pt>
                <c:pt idx="825">
                  <c:v>25.000000000000011</c:v>
                </c:pt>
                <c:pt idx="826">
                  <c:v>24.999999999999996</c:v>
                </c:pt>
                <c:pt idx="827">
                  <c:v>24.999999999999993</c:v>
                </c:pt>
                <c:pt idx="828">
                  <c:v>24.999999999999996</c:v>
                </c:pt>
                <c:pt idx="829">
                  <c:v>25.000000000000004</c:v>
                </c:pt>
                <c:pt idx="830">
                  <c:v>25.000000000000021</c:v>
                </c:pt>
                <c:pt idx="831">
                  <c:v>25.000000000000018</c:v>
                </c:pt>
                <c:pt idx="832">
                  <c:v>25.000000000000011</c:v>
                </c:pt>
                <c:pt idx="833">
                  <c:v>25.000000000000018</c:v>
                </c:pt>
                <c:pt idx="834">
                  <c:v>25.000000000000007</c:v>
                </c:pt>
                <c:pt idx="835">
                  <c:v>25.000000000000007</c:v>
                </c:pt>
                <c:pt idx="836">
                  <c:v>25.000000000000025</c:v>
                </c:pt>
                <c:pt idx="837">
                  <c:v>24.999999999999986</c:v>
                </c:pt>
                <c:pt idx="838">
                  <c:v>25</c:v>
                </c:pt>
                <c:pt idx="839">
                  <c:v>25.000000000000025</c:v>
                </c:pt>
                <c:pt idx="840">
                  <c:v>25</c:v>
                </c:pt>
                <c:pt idx="841">
                  <c:v>24.999999999999989</c:v>
                </c:pt>
                <c:pt idx="842">
                  <c:v>25.000000000000007</c:v>
                </c:pt>
                <c:pt idx="843">
                  <c:v>25.000000000000007</c:v>
                </c:pt>
                <c:pt idx="844">
                  <c:v>25</c:v>
                </c:pt>
                <c:pt idx="845">
                  <c:v>25</c:v>
                </c:pt>
                <c:pt idx="846">
                  <c:v>25.000000000000014</c:v>
                </c:pt>
                <c:pt idx="847">
                  <c:v>25.000000000000011</c:v>
                </c:pt>
                <c:pt idx="848">
                  <c:v>24.999999999999989</c:v>
                </c:pt>
                <c:pt idx="849">
                  <c:v>25.000000000000021</c:v>
                </c:pt>
                <c:pt idx="850">
                  <c:v>24.999999999999993</c:v>
                </c:pt>
                <c:pt idx="851">
                  <c:v>25.000000000000004</c:v>
                </c:pt>
                <c:pt idx="852">
                  <c:v>25.000000000000011</c:v>
                </c:pt>
                <c:pt idx="853">
                  <c:v>25.000000000000004</c:v>
                </c:pt>
                <c:pt idx="854">
                  <c:v>25</c:v>
                </c:pt>
                <c:pt idx="855">
                  <c:v>25.000000000000011</c:v>
                </c:pt>
                <c:pt idx="856">
                  <c:v>25.000000000000014</c:v>
                </c:pt>
                <c:pt idx="857">
                  <c:v>25.000000000000028</c:v>
                </c:pt>
                <c:pt idx="858">
                  <c:v>25</c:v>
                </c:pt>
                <c:pt idx="859">
                  <c:v>24.999999999999989</c:v>
                </c:pt>
                <c:pt idx="860">
                  <c:v>25.000000000000004</c:v>
                </c:pt>
                <c:pt idx="861">
                  <c:v>25.000000000000004</c:v>
                </c:pt>
                <c:pt idx="862">
                  <c:v>25.000000000000014</c:v>
                </c:pt>
                <c:pt idx="863">
                  <c:v>25.000000000000014</c:v>
                </c:pt>
                <c:pt idx="864">
                  <c:v>25</c:v>
                </c:pt>
                <c:pt idx="865">
                  <c:v>24.999999999999993</c:v>
                </c:pt>
                <c:pt idx="866">
                  <c:v>25.000000000000021</c:v>
                </c:pt>
                <c:pt idx="867">
                  <c:v>25</c:v>
                </c:pt>
                <c:pt idx="868">
                  <c:v>25.000000000000011</c:v>
                </c:pt>
                <c:pt idx="869">
                  <c:v>25.000000000000028</c:v>
                </c:pt>
                <c:pt idx="870">
                  <c:v>24.999999999999989</c:v>
                </c:pt>
                <c:pt idx="871">
                  <c:v>25.000000000000018</c:v>
                </c:pt>
                <c:pt idx="872">
                  <c:v>24.999999999999996</c:v>
                </c:pt>
                <c:pt idx="873">
                  <c:v>25.000000000000018</c:v>
                </c:pt>
                <c:pt idx="874">
                  <c:v>25.000000000000018</c:v>
                </c:pt>
                <c:pt idx="875">
                  <c:v>25.000000000000011</c:v>
                </c:pt>
                <c:pt idx="876">
                  <c:v>24.999999999999996</c:v>
                </c:pt>
                <c:pt idx="877">
                  <c:v>25.000000000000004</c:v>
                </c:pt>
                <c:pt idx="878">
                  <c:v>25.000000000000007</c:v>
                </c:pt>
                <c:pt idx="879">
                  <c:v>25.000000000000025</c:v>
                </c:pt>
                <c:pt idx="880">
                  <c:v>25.000000000000014</c:v>
                </c:pt>
                <c:pt idx="881">
                  <c:v>25</c:v>
                </c:pt>
                <c:pt idx="882">
                  <c:v>24.999999999999993</c:v>
                </c:pt>
                <c:pt idx="883">
                  <c:v>25.000000000000007</c:v>
                </c:pt>
                <c:pt idx="884">
                  <c:v>25.000000000000021</c:v>
                </c:pt>
                <c:pt idx="885">
                  <c:v>25.000000000000004</c:v>
                </c:pt>
                <c:pt idx="886">
                  <c:v>25.000000000000014</c:v>
                </c:pt>
                <c:pt idx="887">
                  <c:v>25.000000000000018</c:v>
                </c:pt>
                <c:pt idx="888">
                  <c:v>25.000000000000007</c:v>
                </c:pt>
                <c:pt idx="889">
                  <c:v>25.000000000000004</c:v>
                </c:pt>
                <c:pt idx="890">
                  <c:v>25.000000000000011</c:v>
                </c:pt>
                <c:pt idx="891">
                  <c:v>25.000000000000004</c:v>
                </c:pt>
                <c:pt idx="892">
                  <c:v>25.000000000000018</c:v>
                </c:pt>
                <c:pt idx="893">
                  <c:v>25.000000000000007</c:v>
                </c:pt>
                <c:pt idx="894">
                  <c:v>25.000000000000018</c:v>
                </c:pt>
                <c:pt idx="895">
                  <c:v>25.000000000000011</c:v>
                </c:pt>
                <c:pt idx="896">
                  <c:v>25.000000000000004</c:v>
                </c:pt>
                <c:pt idx="897">
                  <c:v>25.000000000000011</c:v>
                </c:pt>
                <c:pt idx="898">
                  <c:v>25.000000000000028</c:v>
                </c:pt>
                <c:pt idx="899">
                  <c:v>25.000000000000007</c:v>
                </c:pt>
                <c:pt idx="900">
                  <c:v>25.000000000000018</c:v>
                </c:pt>
                <c:pt idx="901">
                  <c:v>25.000000000000018</c:v>
                </c:pt>
                <c:pt idx="902">
                  <c:v>25.000000000000018</c:v>
                </c:pt>
                <c:pt idx="903">
                  <c:v>25</c:v>
                </c:pt>
                <c:pt idx="904">
                  <c:v>25.000000000000004</c:v>
                </c:pt>
                <c:pt idx="905">
                  <c:v>24.999999999999986</c:v>
                </c:pt>
                <c:pt idx="906">
                  <c:v>24.999999999999996</c:v>
                </c:pt>
                <c:pt idx="907">
                  <c:v>25.000000000000014</c:v>
                </c:pt>
                <c:pt idx="908">
                  <c:v>25.000000000000025</c:v>
                </c:pt>
                <c:pt idx="909">
                  <c:v>24.999999999999996</c:v>
                </c:pt>
                <c:pt idx="910">
                  <c:v>25.000000000000025</c:v>
                </c:pt>
                <c:pt idx="911">
                  <c:v>25.000000000000018</c:v>
                </c:pt>
                <c:pt idx="912">
                  <c:v>25.000000000000007</c:v>
                </c:pt>
                <c:pt idx="913">
                  <c:v>25.000000000000014</c:v>
                </c:pt>
                <c:pt idx="914">
                  <c:v>25.000000000000004</c:v>
                </c:pt>
                <c:pt idx="915">
                  <c:v>25.000000000000007</c:v>
                </c:pt>
                <c:pt idx="916">
                  <c:v>25</c:v>
                </c:pt>
                <c:pt idx="917">
                  <c:v>25.000000000000011</c:v>
                </c:pt>
                <c:pt idx="918">
                  <c:v>25.000000000000014</c:v>
                </c:pt>
                <c:pt idx="919">
                  <c:v>25.000000000000004</c:v>
                </c:pt>
                <c:pt idx="920">
                  <c:v>25.000000000000028</c:v>
                </c:pt>
                <c:pt idx="921">
                  <c:v>25</c:v>
                </c:pt>
                <c:pt idx="922">
                  <c:v>25.000000000000007</c:v>
                </c:pt>
                <c:pt idx="923">
                  <c:v>25.000000000000011</c:v>
                </c:pt>
                <c:pt idx="924">
                  <c:v>24.999999999999993</c:v>
                </c:pt>
                <c:pt idx="925">
                  <c:v>25.000000000000007</c:v>
                </c:pt>
                <c:pt idx="926">
                  <c:v>25.000000000000011</c:v>
                </c:pt>
                <c:pt idx="927">
                  <c:v>25.000000000000004</c:v>
                </c:pt>
                <c:pt idx="928">
                  <c:v>25</c:v>
                </c:pt>
                <c:pt idx="929">
                  <c:v>25</c:v>
                </c:pt>
                <c:pt idx="930">
                  <c:v>24.999999999999993</c:v>
                </c:pt>
                <c:pt idx="931">
                  <c:v>25.000000000000011</c:v>
                </c:pt>
                <c:pt idx="932">
                  <c:v>25</c:v>
                </c:pt>
                <c:pt idx="933">
                  <c:v>25.000000000000014</c:v>
                </c:pt>
                <c:pt idx="934">
                  <c:v>24.999999999999993</c:v>
                </c:pt>
                <c:pt idx="935">
                  <c:v>24.999999999999989</c:v>
                </c:pt>
                <c:pt idx="936">
                  <c:v>25.000000000000018</c:v>
                </c:pt>
                <c:pt idx="937">
                  <c:v>25</c:v>
                </c:pt>
                <c:pt idx="938">
                  <c:v>25.000000000000007</c:v>
                </c:pt>
                <c:pt idx="939">
                  <c:v>25.000000000000028</c:v>
                </c:pt>
                <c:pt idx="940">
                  <c:v>24.999999999999986</c:v>
                </c:pt>
                <c:pt idx="941">
                  <c:v>24.999999999999993</c:v>
                </c:pt>
                <c:pt idx="942">
                  <c:v>25.000000000000014</c:v>
                </c:pt>
                <c:pt idx="943">
                  <c:v>24.999999999999986</c:v>
                </c:pt>
                <c:pt idx="944">
                  <c:v>25.000000000000025</c:v>
                </c:pt>
                <c:pt idx="945">
                  <c:v>24.999999999999989</c:v>
                </c:pt>
                <c:pt idx="946">
                  <c:v>25</c:v>
                </c:pt>
                <c:pt idx="947">
                  <c:v>25.000000000000011</c:v>
                </c:pt>
                <c:pt idx="948">
                  <c:v>24.999999999999996</c:v>
                </c:pt>
                <c:pt idx="949">
                  <c:v>25.000000000000007</c:v>
                </c:pt>
                <c:pt idx="950">
                  <c:v>25.000000000000025</c:v>
                </c:pt>
                <c:pt idx="951">
                  <c:v>25</c:v>
                </c:pt>
                <c:pt idx="952">
                  <c:v>24.999999999999986</c:v>
                </c:pt>
                <c:pt idx="953">
                  <c:v>25.000000000000021</c:v>
                </c:pt>
                <c:pt idx="954">
                  <c:v>25.000000000000004</c:v>
                </c:pt>
                <c:pt idx="955">
                  <c:v>25.000000000000007</c:v>
                </c:pt>
                <c:pt idx="956">
                  <c:v>25.000000000000007</c:v>
                </c:pt>
                <c:pt idx="957">
                  <c:v>25</c:v>
                </c:pt>
                <c:pt idx="958">
                  <c:v>25.000000000000004</c:v>
                </c:pt>
                <c:pt idx="959">
                  <c:v>25.000000000000021</c:v>
                </c:pt>
                <c:pt idx="960">
                  <c:v>25.000000000000011</c:v>
                </c:pt>
                <c:pt idx="961">
                  <c:v>24.999999999999996</c:v>
                </c:pt>
                <c:pt idx="962">
                  <c:v>25.000000000000004</c:v>
                </c:pt>
                <c:pt idx="963">
                  <c:v>25.000000000000007</c:v>
                </c:pt>
                <c:pt idx="964">
                  <c:v>24.999999999999996</c:v>
                </c:pt>
                <c:pt idx="965">
                  <c:v>25</c:v>
                </c:pt>
                <c:pt idx="966">
                  <c:v>25.000000000000014</c:v>
                </c:pt>
                <c:pt idx="967">
                  <c:v>25.000000000000011</c:v>
                </c:pt>
                <c:pt idx="968">
                  <c:v>25</c:v>
                </c:pt>
                <c:pt idx="969">
                  <c:v>25.000000000000007</c:v>
                </c:pt>
                <c:pt idx="970">
                  <c:v>24.999999999999986</c:v>
                </c:pt>
                <c:pt idx="971">
                  <c:v>24.999999999999996</c:v>
                </c:pt>
                <c:pt idx="972">
                  <c:v>24.999999999999989</c:v>
                </c:pt>
                <c:pt idx="973">
                  <c:v>25.000000000000014</c:v>
                </c:pt>
                <c:pt idx="974">
                  <c:v>25.000000000000025</c:v>
                </c:pt>
                <c:pt idx="975">
                  <c:v>25.000000000000014</c:v>
                </c:pt>
                <c:pt idx="976">
                  <c:v>24.999999999999989</c:v>
                </c:pt>
                <c:pt idx="977">
                  <c:v>25.000000000000021</c:v>
                </c:pt>
                <c:pt idx="978">
                  <c:v>24.999999999999993</c:v>
                </c:pt>
                <c:pt idx="979">
                  <c:v>25.000000000000011</c:v>
                </c:pt>
                <c:pt idx="980">
                  <c:v>25.000000000000007</c:v>
                </c:pt>
                <c:pt idx="981">
                  <c:v>25.000000000000021</c:v>
                </c:pt>
                <c:pt idx="982">
                  <c:v>25.000000000000018</c:v>
                </c:pt>
                <c:pt idx="983">
                  <c:v>24.999999999999996</c:v>
                </c:pt>
                <c:pt idx="984">
                  <c:v>25.000000000000021</c:v>
                </c:pt>
                <c:pt idx="985">
                  <c:v>25.000000000000004</c:v>
                </c:pt>
                <c:pt idx="986">
                  <c:v>25.000000000000011</c:v>
                </c:pt>
                <c:pt idx="987">
                  <c:v>25.000000000000007</c:v>
                </c:pt>
                <c:pt idx="988">
                  <c:v>25.000000000000011</c:v>
                </c:pt>
                <c:pt idx="989">
                  <c:v>25</c:v>
                </c:pt>
                <c:pt idx="990">
                  <c:v>24.999999999999993</c:v>
                </c:pt>
                <c:pt idx="991">
                  <c:v>25.000000000000004</c:v>
                </c:pt>
                <c:pt idx="992">
                  <c:v>25.000000000000011</c:v>
                </c:pt>
                <c:pt idx="993">
                  <c:v>24.999999999999996</c:v>
                </c:pt>
                <c:pt idx="994">
                  <c:v>24.999999999999996</c:v>
                </c:pt>
                <c:pt idx="995">
                  <c:v>25.000000000000014</c:v>
                </c:pt>
                <c:pt idx="996">
                  <c:v>24.999999999999996</c:v>
                </c:pt>
                <c:pt idx="997">
                  <c:v>25.000000000000007</c:v>
                </c:pt>
                <c:pt idx="998">
                  <c:v>25.000000000000021</c:v>
                </c:pt>
                <c:pt idx="999">
                  <c:v>25.000000000000011</c:v>
                </c:pt>
                <c:pt idx="1000">
                  <c:v>25</c:v>
                </c:pt>
                <c:pt idx="1001">
                  <c:v>24.999999999999996</c:v>
                </c:pt>
                <c:pt idx="1002">
                  <c:v>25.000000000000025</c:v>
                </c:pt>
                <c:pt idx="1003">
                  <c:v>25.000000000000014</c:v>
                </c:pt>
                <c:pt idx="1004">
                  <c:v>25.000000000000021</c:v>
                </c:pt>
                <c:pt idx="1005">
                  <c:v>25.000000000000004</c:v>
                </c:pt>
                <c:pt idx="1006">
                  <c:v>25.000000000000007</c:v>
                </c:pt>
                <c:pt idx="1007">
                  <c:v>25</c:v>
                </c:pt>
                <c:pt idx="1008">
                  <c:v>25.000000000000007</c:v>
                </c:pt>
                <c:pt idx="1009">
                  <c:v>25.000000000000021</c:v>
                </c:pt>
                <c:pt idx="1010">
                  <c:v>25.000000000000021</c:v>
                </c:pt>
                <c:pt idx="1011">
                  <c:v>25.000000000000011</c:v>
                </c:pt>
                <c:pt idx="1012">
                  <c:v>25.000000000000004</c:v>
                </c:pt>
                <c:pt idx="1013">
                  <c:v>25.000000000000011</c:v>
                </c:pt>
                <c:pt idx="1014">
                  <c:v>25.000000000000007</c:v>
                </c:pt>
                <c:pt idx="1015">
                  <c:v>25.000000000000011</c:v>
                </c:pt>
                <c:pt idx="1016">
                  <c:v>24.999999999999996</c:v>
                </c:pt>
                <c:pt idx="1017">
                  <c:v>25.000000000000014</c:v>
                </c:pt>
                <c:pt idx="1018">
                  <c:v>24.999999999999996</c:v>
                </c:pt>
                <c:pt idx="1019">
                  <c:v>25</c:v>
                </c:pt>
                <c:pt idx="1020">
                  <c:v>25.000000000000021</c:v>
                </c:pt>
                <c:pt idx="1021">
                  <c:v>25.000000000000007</c:v>
                </c:pt>
                <c:pt idx="1022">
                  <c:v>25.000000000000025</c:v>
                </c:pt>
                <c:pt idx="1023">
                  <c:v>24.999999999999996</c:v>
                </c:pt>
                <c:pt idx="1024">
                  <c:v>25.000000000000004</c:v>
                </c:pt>
                <c:pt idx="1025">
                  <c:v>25</c:v>
                </c:pt>
                <c:pt idx="1026">
                  <c:v>25.000000000000014</c:v>
                </c:pt>
                <c:pt idx="1027">
                  <c:v>25.000000000000004</c:v>
                </c:pt>
                <c:pt idx="1028">
                  <c:v>24.999999999999989</c:v>
                </c:pt>
                <c:pt idx="1029">
                  <c:v>25.000000000000014</c:v>
                </c:pt>
                <c:pt idx="1030">
                  <c:v>25.000000000000004</c:v>
                </c:pt>
                <c:pt idx="1031">
                  <c:v>25.000000000000007</c:v>
                </c:pt>
                <c:pt idx="1032">
                  <c:v>24.999999999999996</c:v>
                </c:pt>
                <c:pt idx="1033">
                  <c:v>24.999999999999996</c:v>
                </c:pt>
                <c:pt idx="1034">
                  <c:v>25.000000000000014</c:v>
                </c:pt>
                <c:pt idx="1035">
                  <c:v>25.000000000000021</c:v>
                </c:pt>
                <c:pt idx="1036">
                  <c:v>24.999999999999996</c:v>
                </c:pt>
                <c:pt idx="1037">
                  <c:v>25.000000000000025</c:v>
                </c:pt>
                <c:pt idx="1038">
                  <c:v>25</c:v>
                </c:pt>
                <c:pt idx="1039">
                  <c:v>25.000000000000011</c:v>
                </c:pt>
                <c:pt idx="1040">
                  <c:v>25</c:v>
                </c:pt>
                <c:pt idx="1041">
                  <c:v>25.000000000000014</c:v>
                </c:pt>
                <c:pt idx="1042">
                  <c:v>25.000000000000021</c:v>
                </c:pt>
                <c:pt idx="1043">
                  <c:v>24.999999999999986</c:v>
                </c:pt>
                <c:pt idx="1044">
                  <c:v>25.000000000000018</c:v>
                </c:pt>
                <c:pt idx="1045">
                  <c:v>25.000000000000011</c:v>
                </c:pt>
                <c:pt idx="1046">
                  <c:v>25.000000000000004</c:v>
                </c:pt>
                <c:pt idx="1047">
                  <c:v>25.000000000000018</c:v>
                </c:pt>
                <c:pt idx="1048">
                  <c:v>25</c:v>
                </c:pt>
                <c:pt idx="1049">
                  <c:v>24.999999999999993</c:v>
                </c:pt>
                <c:pt idx="1050">
                  <c:v>25.000000000000007</c:v>
                </c:pt>
                <c:pt idx="1051">
                  <c:v>25.000000000000007</c:v>
                </c:pt>
                <c:pt idx="1052">
                  <c:v>25.000000000000028</c:v>
                </c:pt>
                <c:pt idx="1053">
                  <c:v>25.000000000000004</c:v>
                </c:pt>
                <c:pt idx="1054">
                  <c:v>25.000000000000014</c:v>
                </c:pt>
                <c:pt idx="1055">
                  <c:v>25.000000000000018</c:v>
                </c:pt>
                <c:pt idx="1056">
                  <c:v>24.999999999999993</c:v>
                </c:pt>
                <c:pt idx="1057">
                  <c:v>24.999999999999989</c:v>
                </c:pt>
                <c:pt idx="1058">
                  <c:v>24.999999999999989</c:v>
                </c:pt>
                <c:pt idx="1059">
                  <c:v>25.000000000000011</c:v>
                </c:pt>
                <c:pt idx="1060">
                  <c:v>25.000000000000007</c:v>
                </c:pt>
                <c:pt idx="1061">
                  <c:v>25.000000000000021</c:v>
                </c:pt>
                <c:pt idx="1062">
                  <c:v>25.000000000000014</c:v>
                </c:pt>
                <c:pt idx="1063">
                  <c:v>25.000000000000014</c:v>
                </c:pt>
                <c:pt idx="1064">
                  <c:v>25.000000000000011</c:v>
                </c:pt>
                <c:pt idx="1065">
                  <c:v>25.000000000000018</c:v>
                </c:pt>
                <c:pt idx="1066">
                  <c:v>25</c:v>
                </c:pt>
                <c:pt idx="1067">
                  <c:v>25.000000000000004</c:v>
                </c:pt>
                <c:pt idx="1068">
                  <c:v>25.000000000000018</c:v>
                </c:pt>
                <c:pt idx="1069">
                  <c:v>25.000000000000004</c:v>
                </c:pt>
                <c:pt idx="1070">
                  <c:v>25.000000000000021</c:v>
                </c:pt>
                <c:pt idx="1071">
                  <c:v>25.000000000000007</c:v>
                </c:pt>
                <c:pt idx="1072">
                  <c:v>25.000000000000021</c:v>
                </c:pt>
                <c:pt idx="1073">
                  <c:v>25.000000000000014</c:v>
                </c:pt>
                <c:pt idx="1074">
                  <c:v>25.000000000000014</c:v>
                </c:pt>
                <c:pt idx="1075">
                  <c:v>25.000000000000011</c:v>
                </c:pt>
                <c:pt idx="1076">
                  <c:v>25.000000000000021</c:v>
                </c:pt>
                <c:pt idx="1077">
                  <c:v>25.000000000000018</c:v>
                </c:pt>
                <c:pt idx="1078">
                  <c:v>25.000000000000018</c:v>
                </c:pt>
                <c:pt idx="1079">
                  <c:v>25</c:v>
                </c:pt>
                <c:pt idx="1080">
                  <c:v>24.999999999999993</c:v>
                </c:pt>
                <c:pt idx="1081">
                  <c:v>25</c:v>
                </c:pt>
                <c:pt idx="1082">
                  <c:v>25.000000000000004</c:v>
                </c:pt>
                <c:pt idx="1083">
                  <c:v>25.000000000000004</c:v>
                </c:pt>
                <c:pt idx="1084">
                  <c:v>25.000000000000021</c:v>
                </c:pt>
                <c:pt idx="1085">
                  <c:v>25.000000000000011</c:v>
                </c:pt>
                <c:pt idx="1086">
                  <c:v>25.000000000000007</c:v>
                </c:pt>
                <c:pt idx="1087">
                  <c:v>25</c:v>
                </c:pt>
                <c:pt idx="1088">
                  <c:v>25.000000000000028</c:v>
                </c:pt>
                <c:pt idx="1089">
                  <c:v>24.999999999999993</c:v>
                </c:pt>
                <c:pt idx="1090">
                  <c:v>25.000000000000018</c:v>
                </c:pt>
                <c:pt idx="1091">
                  <c:v>25.000000000000021</c:v>
                </c:pt>
                <c:pt idx="1092">
                  <c:v>24.999999999999996</c:v>
                </c:pt>
                <c:pt idx="1093">
                  <c:v>25.000000000000011</c:v>
                </c:pt>
                <c:pt idx="1094">
                  <c:v>25.000000000000011</c:v>
                </c:pt>
                <c:pt idx="1095">
                  <c:v>25.000000000000007</c:v>
                </c:pt>
                <c:pt idx="1096">
                  <c:v>25.000000000000011</c:v>
                </c:pt>
                <c:pt idx="1097">
                  <c:v>25.000000000000011</c:v>
                </c:pt>
                <c:pt idx="1098">
                  <c:v>24.999999999999996</c:v>
                </c:pt>
                <c:pt idx="1099">
                  <c:v>25.000000000000007</c:v>
                </c:pt>
                <c:pt idx="1100">
                  <c:v>25.000000000000007</c:v>
                </c:pt>
                <c:pt idx="1101">
                  <c:v>25.000000000000011</c:v>
                </c:pt>
                <c:pt idx="1102">
                  <c:v>24.999999999999986</c:v>
                </c:pt>
                <c:pt idx="1103">
                  <c:v>25.000000000000021</c:v>
                </c:pt>
                <c:pt idx="1104">
                  <c:v>25.000000000000007</c:v>
                </c:pt>
                <c:pt idx="1105">
                  <c:v>25.000000000000014</c:v>
                </c:pt>
                <c:pt idx="1106">
                  <c:v>25.000000000000025</c:v>
                </c:pt>
                <c:pt idx="1107">
                  <c:v>25.000000000000007</c:v>
                </c:pt>
                <c:pt idx="1108">
                  <c:v>25.000000000000007</c:v>
                </c:pt>
                <c:pt idx="1109">
                  <c:v>25.000000000000004</c:v>
                </c:pt>
                <c:pt idx="1110">
                  <c:v>25.000000000000014</c:v>
                </c:pt>
                <c:pt idx="1111">
                  <c:v>25</c:v>
                </c:pt>
                <c:pt idx="1112">
                  <c:v>25.000000000000004</c:v>
                </c:pt>
                <c:pt idx="1113">
                  <c:v>25.000000000000004</c:v>
                </c:pt>
                <c:pt idx="1114">
                  <c:v>25.000000000000007</c:v>
                </c:pt>
                <c:pt idx="1115">
                  <c:v>25.000000000000011</c:v>
                </c:pt>
                <c:pt idx="1116">
                  <c:v>25.000000000000014</c:v>
                </c:pt>
                <c:pt idx="1117">
                  <c:v>25.000000000000007</c:v>
                </c:pt>
                <c:pt idx="1118">
                  <c:v>25.000000000000004</c:v>
                </c:pt>
                <c:pt idx="1119">
                  <c:v>25.000000000000004</c:v>
                </c:pt>
                <c:pt idx="1120">
                  <c:v>25.000000000000011</c:v>
                </c:pt>
                <c:pt idx="1121">
                  <c:v>25.000000000000007</c:v>
                </c:pt>
                <c:pt idx="1122">
                  <c:v>25.000000000000007</c:v>
                </c:pt>
                <c:pt idx="1123">
                  <c:v>25</c:v>
                </c:pt>
                <c:pt idx="1124">
                  <c:v>25.000000000000004</c:v>
                </c:pt>
                <c:pt idx="1125">
                  <c:v>25.000000000000004</c:v>
                </c:pt>
                <c:pt idx="1126">
                  <c:v>25.000000000000014</c:v>
                </c:pt>
                <c:pt idx="1127">
                  <c:v>25.000000000000007</c:v>
                </c:pt>
                <c:pt idx="1128">
                  <c:v>25.000000000000004</c:v>
                </c:pt>
                <c:pt idx="1129">
                  <c:v>25</c:v>
                </c:pt>
                <c:pt idx="1130">
                  <c:v>25.000000000000004</c:v>
                </c:pt>
                <c:pt idx="1131">
                  <c:v>25.000000000000007</c:v>
                </c:pt>
                <c:pt idx="1132">
                  <c:v>25</c:v>
                </c:pt>
                <c:pt idx="1133">
                  <c:v>25.000000000000004</c:v>
                </c:pt>
                <c:pt idx="1134">
                  <c:v>25.000000000000004</c:v>
                </c:pt>
                <c:pt idx="1135">
                  <c:v>25.000000000000007</c:v>
                </c:pt>
                <c:pt idx="1136">
                  <c:v>25.000000000000004</c:v>
                </c:pt>
                <c:pt idx="1137">
                  <c:v>25.000000000000007</c:v>
                </c:pt>
                <c:pt idx="1138">
                  <c:v>25.000000000000018</c:v>
                </c:pt>
                <c:pt idx="1139">
                  <c:v>25.000000000000011</c:v>
                </c:pt>
                <c:pt idx="1140">
                  <c:v>25.000000000000007</c:v>
                </c:pt>
                <c:pt idx="1141">
                  <c:v>25</c:v>
                </c:pt>
                <c:pt idx="1142">
                  <c:v>25.000000000000011</c:v>
                </c:pt>
                <c:pt idx="1143">
                  <c:v>25.000000000000014</c:v>
                </c:pt>
                <c:pt idx="1144">
                  <c:v>25.000000000000014</c:v>
                </c:pt>
                <c:pt idx="1145">
                  <c:v>25.000000000000011</c:v>
                </c:pt>
                <c:pt idx="1146">
                  <c:v>25.000000000000014</c:v>
                </c:pt>
                <c:pt idx="1147">
                  <c:v>25.000000000000004</c:v>
                </c:pt>
                <c:pt idx="1148">
                  <c:v>25</c:v>
                </c:pt>
                <c:pt idx="1149">
                  <c:v>25.000000000000004</c:v>
                </c:pt>
                <c:pt idx="1150">
                  <c:v>25.000000000000007</c:v>
                </c:pt>
                <c:pt idx="1151">
                  <c:v>25.000000000000004</c:v>
                </c:pt>
                <c:pt idx="1152">
                  <c:v>25.000000000000004</c:v>
                </c:pt>
                <c:pt idx="1153">
                  <c:v>25.000000000000004</c:v>
                </c:pt>
                <c:pt idx="1154">
                  <c:v>25.000000000000007</c:v>
                </c:pt>
                <c:pt idx="1155">
                  <c:v>25.000000000000014</c:v>
                </c:pt>
                <c:pt idx="1156">
                  <c:v>25.000000000000021</c:v>
                </c:pt>
                <c:pt idx="1157">
                  <c:v>25.000000000000014</c:v>
                </c:pt>
                <c:pt idx="1158">
                  <c:v>25.000000000000007</c:v>
                </c:pt>
                <c:pt idx="1159">
                  <c:v>25.000000000000004</c:v>
                </c:pt>
                <c:pt idx="1160">
                  <c:v>25.000000000000011</c:v>
                </c:pt>
                <c:pt idx="1161">
                  <c:v>25.000000000000007</c:v>
                </c:pt>
                <c:pt idx="1162">
                  <c:v>25.000000000000011</c:v>
                </c:pt>
                <c:pt idx="1163">
                  <c:v>25.000000000000014</c:v>
                </c:pt>
                <c:pt idx="1164">
                  <c:v>25.000000000000004</c:v>
                </c:pt>
                <c:pt idx="1165">
                  <c:v>24.999999999999996</c:v>
                </c:pt>
                <c:pt idx="1166">
                  <c:v>25.000000000000018</c:v>
                </c:pt>
                <c:pt idx="1167">
                  <c:v>25</c:v>
                </c:pt>
                <c:pt idx="1168">
                  <c:v>25.000000000000004</c:v>
                </c:pt>
                <c:pt idx="1169">
                  <c:v>25.000000000000004</c:v>
                </c:pt>
                <c:pt idx="1170">
                  <c:v>25.000000000000011</c:v>
                </c:pt>
                <c:pt idx="1171">
                  <c:v>25.000000000000007</c:v>
                </c:pt>
                <c:pt idx="1172">
                  <c:v>25.000000000000007</c:v>
                </c:pt>
                <c:pt idx="1173">
                  <c:v>25</c:v>
                </c:pt>
                <c:pt idx="1174">
                  <c:v>25.000000000000004</c:v>
                </c:pt>
                <c:pt idx="1175">
                  <c:v>25.000000000000011</c:v>
                </c:pt>
                <c:pt idx="1176">
                  <c:v>25.000000000000007</c:v>
                </c:pt>
                <c:pt idx="1177">
                  <c:v>25.000000000000018</c:v>
                </c:pt>
                <c:pt idx="1178">
                  <c:v>25.000000000000007</c:v>
                </c:pt>
                <c:pt idx="1179">
                  <c:v>25.000000000000014</c:v>
                </c:pt>
                <c:pt idx="1180">
                  <c:v>25</c:v>
                </c:pt>
                <c:pt idx="1181">
                  <c:v>25.000000000000004</c:v>
                </c:pt>
                <c:pt idx="1182">
                  <c:v>25.000000000000021</c:v>
                </c:pt>
                <c:pt idx="1183">
                  <c:v>25.000000000000004</c:v>
                </c:pt>
                <c:pt idx="1184">
                  <c:v>25.000000000000007</c:v>
                </c:pt>
                <c:pt idx="1185">
                  <c:v>25.000000000000014</c:v>
                </c:pt>
                <c:pt idx="1186">
                  <c:v>25.000000000000004</c:v>
                </c:pt>
                <c:pt idx="1187">
                  <c:v>25.000000000000004</c:v>
                </c:pt>
                <c:pt idx="1188">
                  <c:v>25.000000000000004</c:v>
                </c:pt>
                <c:pt idx="1189">
                  <c:v>25.000000000000014</c:v>
                </c:pt>
                <c:pt idx="1190">
                  <c:v>25</c:v>
                </c:pt>
                <c:pt idx="1191">
                  <c:v>25.000000000000018</c:v>
                </c:pt>
                <c:pt idx="1192">
                  <c:v>25.000000000000007</c:v>
                </c:pt>
                <c:pt idx="1193">
                  <c:v>25.000000000000007</c:v>
                </c:pt>
                <c:pt idx="1194">
                  <c:v>25.000000000000007</c:v>
                </c:pt>
                <c:pt idx="1195">
                  <c:v>25.000000000000004</c:v>
                </c:pt>
                <c:pt idx="1196">
                  <c:v>25.000000000000004</c:v>
                </c:pt>
                <c:pt idx="1197">
                  <c:v>25.000000000000004</c:v>
                </c:pt>
                <c:pt idx="1198">
                  <c:v>25.000000000000004</c:v>
                </c:pt>
                <c:pt idx="1199">
                  <c:v>25.000000000000004</c:v>
                </c:pt>
                <c:pt idx="1200">
                  <c:v>25.000000000000007</c:v>
                </c:pt>
                <c:pt idx="1201">
                  <c:v>25.000000000000007</c:v>
                </c:pt>
                <c:pt idx="1202">
                  <c:v>25.000000000000011</c:v>
                </c:pt>
                <c:pt idx="1203">
                  <c:v>25.000000000000018</c:v>
                </c:pt>
                <c:pt idx="1204">
                  <c:v>25.000000000000007</c:v>
                </c:pt>
                <c:pt idx="1205">
                  <c:v>25</c:v>
                </c:pt>
                <c:pt idx="1206">
                  <c:v>25.000000000000004</c:v>
                </c:pt>
                <c:pt idx="1207">
                  <c:v>25.000000000000007</c:v>
                </c:pt>
                <c:pt idx="1208">
                  <c:v>24.999999999999996</c:v>
                </c:pt>
                <c:pt idx="1209">
                  <c:v>25.000000000000014</c:v>
                </c:pt>
                <c:pt idx="1210">
                  <c:v>25.000000000000014</c:v>
                </c:pt>
                <c:pt idx="1211">
                  <c:v>25.000000000000007</c:v>
                </c:pt>
                <c:pt idx="1212">
                  <c:v>25</c:v>
                </c:pt>
                <c:pt idx="1213">
                  <c:v>25.000000000000007</c:v>
                </c:pt>
                <c:pt idx="1214">
                  <c:v>25.000000000000011</c:v>
                </c:pt>
                <c:pt idx="1215">
                  <c:v>25.000000000000004</c:v>
                </c:pt>
                <c:pt idx="1216">
                  <c:v>25</c:v>
                </c:pt>
                <c:pt idx="1217">
                  <c:v>24.999999999999996</c:v>
                </c:pt>
                <c:pt idx="1218">
                  <c:v>24.999999999999996</c:v>
                </c:pt>
                <c:pt idx="1219">
                  <c:v>25</c:v>
                </c:pt>
                <c:pt idx="1220">
                  <c:v>25</c:v>
                </c:pt>
                <c:pt idx="1221">
                  <c:v>25.000000000000018</c:v>
                </c:pt>
                <c:pt idx="1222">
                  <c:v>24.999999999999993</c:v>
                </c:pt>
                <c:pt idx="1223">
                  <c:v>25.000000000000007</c:v>
                </c:pt>
                <c:pt idx="1224">
                  <c:v>25.000000000000014</c:v>
                </c:pt>
                <c:pt idx="1225">
                  <c:v>25.000000000000007</c:v>
                </c:pt>
                <c:pt idx="1226">
                  <c:v>25.000000000000011</c:v>
                </c:pt>
                <c:pt idx="1227">
                  <c:v>25.000000000000014</c:v>
                </c:pt>
                <c:pt idx="1228">
                  <c:v>25.000000000000004</c:v>
                </c:pt>
                <c:pt idx="1229">
                  <c:v>25.000000000000007</c:v>
                </c:pt>
                <c:pt idx="1230">
                  <c:v>24.999999999999993</c:v>
                </c:pt>
                <c:pt idx="1231">
                  <c:v>25.000000000000004</c:v>
                </c:pt>
                <c:pt idx="1232">
                  <c:v>25.000000000000011</c:v>
                </c:pt>
                <c:pt idx="1233">
                  <c:v>25.000000000000004</c:v>
                </c:pt>
                <c:pt idx="1234">
                  <c:v>25.000000000000004</c:v>
                </c:pt>
                <c:pt idx="1235">
                  <c:v>25.000000000000018</c:v>
                </c:pt>
                <c:pt idx="1236">
                  <c:v>25.000000000000011</c:v>
                </c:pt>
                <c:pt idx="1237">
                  <c:v>24.999999999999996</c:v>
                </c:pt>
                <c:pt idx="1238">
                  <c:v>25</c:v>
                </c:pt>
                <c:pt idx="1239">
                  <c:v>25.000000000000007</c:v>
                </c:pt>
                <c:pt idx="1240">
                  <c:v>25.000000000000011</c:v>
                </c:pt>
                <c:pt idx="1241">
                  <c:v>25.000000000000021</c:v>
                </c:pt>
                <c:pt idx="1242">
                  <c:v>24.999999999999996</c:v>
                </c:pt>
                <c:pt idx="1243">
                  <c:v>24.999999999999993</c:v>
                </c:pt>
                <c:pt idx="1244">
                  <c:v>25.000000000000007</c:v>
                </c:pt>
                <c:pt idx="1245">
                  <c:v>25.000000000000007</c:v>
                </c:pt>
                <c:pt idx="1246">
                  <c:v>25.000000000000011</c:v>
                </c:pt>
                <c:pt idx="1247">
                  <c:v>25.000000000000004</c:v>
                </c:pt>
                <c:pt idx="1248">
                  <c:v>25.000000000000007</c:v>
                </c:pt>
                <c:pt idx="1249">
                  <c:v>25.000000000000018</c:v>
                </c:pt>
                <c:pt idx="1250">
                  <c:v>24.999999999999996</c:v>
                </c:pt>
                <c:pt idx="1251">
                  <c:v>25.000000000000007</c:v>
                </c:pt>
                <c:pt idx="1252">
                  <c:v>24.999999999999996</c:v>
                </c:pt>
                <c:pt idx="1253">
                  <c:v>25.000000000000007</c:v>
                </c:pt>
                <c:pt idx="1254">
                  <c:v>25.000000000000004</c:v>
                </c:pt>
                <c:pt idx="1255">
                  <c:v>25.000000000000021</c:v>
                </c:pt>
                <c:pt idx="1256">
                  <c:v>24.999999999999996</c:v>
                </c:pt>
                <c:pt idx="1257">
                  <c:v>25</c:v>
                </c:pt>
                <c:pt idx="1258">
                  <c:v>25</c:v>
                </c:pt>
                <c:pt idx="1259">
                  <c:v>25.000000000000011</c:v>
                </c:pt>
                <c:pt idx="1260">
                  <c:v>24.999999999999996</c:v>
                </c:pt>
                <c:pt idx="1261">
                  <c:v>25.000000000000014</c:v>
                </c:pt>
                <c:pt idx="1262">
                  <c:v>25.000000000000011</c:v>
                </c:pt>
                <c:pt idx="1263">
                  <c:v>25.000000000000007</c:v>
                </c:pt>
                <c:pt idx="1264">
                  <c:v>25.000000000000004</c:v>
                </c:pt>
                <c:pt idx="1265">
                  <c:v>25.000000000000007</c:v>
                </c:pt>
                <c:pt idx="1266">
                  <c:v>24.999999999999996</c:v>
                </c:pt>
                <c:pt idx="1267">
                  <c:v>25.000000000000004</c:v>
                </c:pt>
                <c:pt idx="1268">
                  <c:v>24.999999999999996</c:v>
                </c:pt>
                <c:pt idx="1269">
                  <c:v>25.000000000000007</c:v>
                </c:pt>
                <c:pt idx="1270">
                  <c:v>25.000000000000007</c:v>
                </c:pt>
                <c:pt idx="1271">
                  <c:v>25.000000000000011</c:v>
                </c:pt>
                <c:pt idx="1272">
                  <c:v>25.000000000000011</c:v>
                </c:pt>
                <c:pt idx="1273">
                  <c:v>25.000000000000007</c:v>
                </c:pt>
                <c:pt idx="1274">
                  <c:v>25</c:v>
                </c:pt>
                <c:pt idx="1275">
                  <c:v>25.000000000000014</c:v>
                </c:pt>
                <c:pt idx="1276">
                  <c:v>25.000000000000004</c:v>
                </c:pt>
                <c:pt idx="1277">
                  <c:v>25.000000000000007</c:v>
                </c:pt>
                <c:pt idx="1278">
                  <c:v>25</c:v>
                </c:pt>
                <c:pt idx="1279">
                  <c:v>25</c:v>
                </c:pt>
                <c:pt idx="1280">
                  <c:v>25.000000000000004</c:v>
                </c:pt>
                <c:pt idx="1281">
                  <c:v>25.000000000000011</c:v>
                </c:pt>
                <c:pt idx="1282">
                  <c:v>25.000000000000004</c:v>
                </c:pt>
                <c:pt idx="1283">
                  <c:v>25.000000000000007</c:v>
                </c:pt>
                <c:pt idx="1284">
                  <c:v>25.000000000000021</c:v>
                </c:pt>
                <c:pt idx="1285">
                  <c:v>25.000000000000018</c:v>
                </c:pt>
                <c:pt idx="1286">
                  <c:v>25.000000000000014</c:v>
                </c:pt>
                <c:pt idx="1287">
                  <c:v>25.000000000000007</c:v>
                </c:pt>
                <c:pt idx="1288">
                  <c:v>25.000000000000004</c:v>
                </c:pt>
                <c:pt idx="1289">
                  <c:v>25.000000000000004</c:v>
                </c:pt>
                <c:pt idx="1290">
                  <c:v>25</c:v>
                </c:pt>
                <c:pt idx="1291">
                  <c:v>25.000000000000011</c:v>
                </c:pt>
                <c:pt idx="1292">
                  <c:v>24.999999999999996</c:v>
                </c:pt>
                <c:pt idx="1293">
                  <c:v>25.000000000000007</c:v>
                </c:pt>
                <c:pt idx="1294">
                  <c:v>25.000000000000004</c:v>
                </c:pt>
                <c:pt idx="1295">
                  <c:v>25</c:v>
                </c:pt>
                <c:pt idx="1296">
                  <c:v>25.000000000000014</c:v>
                </c:pt>
                <c:pt idx="1297">
                  <c:v>25.000000000000018</c:v>
                </c:pt>
                <c:pt idx="1298">
                  <c:v>25.000000000000011</c:v>
                </c:pt>
                <c:pt idx="1299">
                  <c:v>25.000000000000011</c:v>
                </c:pt>
                <c:pt idx="1300">
                  <c:v>25.000000000000014</c:v>
                </c:pt>
                <c:pt idx="1301">
                  <c:v>25.000000000000007</c:v>
                </c:pt>
                <c:pt idx="1302">
                  <c:v>25.000000000000007</c:v>
                </c:pt>
                <c:pt idx="1303">
                  <c:v>25.000000000000004</c:v>
                </c:pt>
                <c:pt idx="1304">
                  <c:v>25.000000000000007</c:v>
                </c:pt>
                <c:pt idx="1305">
                  <c:v>25.000000000000011</c:v>
                </c:pt>
                <c:pt idx="1306">
                  <c:v>25</c:v>
                </c:pt>
                <c:pt idx="1307">
                  <c:v>25.000000000000007</c:v>
                </c:pt>
                <c:pt idx="1308">
                  <c:v>25.000000000000007</c:v>
                </c:pt>
                <c:pt idx="1309">
                  <c:v>25.000000000000007</c:v>
                </c:pt>
                <c:pt idx="1310">
                  <c:v>25.000000000000004</c:v>
                </c:pt>
                <c:pt idx="1311">
                  <c:v>25.000000000000007</c:v>
                </c:pt>
                <c:pt idx="1312">
                  <c:v>25.000000000000014</c:v>
                </c:pt>
                <c:pt idx="1313">
                  <c:v>25.000000000000011</c:v>
                </c:pt>
                <c:pt idx="1314">
                  <c:v>25.000000000000011</c:v>
                </c:pt>
                <c:pt idx="1315">
                  <c:v>25.000000000000004</c:v>
                </c:pt>
                <c:pt idx="1316">
                  <c:v>25.000000000000014</c:v>
                </c:pt>
                <c:pt idx="1317">
                  <c:v>25.000000000000011</c:v>
                </c:pt>
                <c:pt idx="1318">
                  <c:v>25.000000000000007</c:v>
                </c:pt>
                <c:pt idx="1319">
                  <c:v>25.000000000000007</c:v>
                </c:pt>
                <c:pt idx="1320">
                  <c:v>25.000000000000007</c:v>
                </c:pt>
                <c:pt idx="1321">
                  <c:v>25.000000000000007</c:v>
                </c:pt>
                <c:pt idx="1322">
                  <c:v>25.000000000000007</c:v>
                </c:pt>
                <c:pt idx="1323">
                  <c:v>25.000000000000007</c:v>
                </c:pt>
                <c:pt idx="1324">
                  <c:v>25.000000000000007</c:v>
                </c:pt>
                <c:pt idx="1325">
                  <c:v>24.999999999999996</c:v>
                </c:pt>
                <c:pt idx="1326">
                  <c:v>25.000000000000014</c:v>
                </c:pt>
                <c:pt idx="1327">
                  <c:v>25.000000000000014</c:v>
                </c:pt>
                <c:pt idx="1328">
                  <c:v>24.999999999999993</c:v>
                </c:pt>
                <c:pt idx="1329">
                  <c:v>25</c:v>
                </c:pt>
                <c:pt idx="1330">
                  <c:v>25</c:v>
                </c:pt>
                <c:pt idx="1331">
                  <c:v>25.000000000000004</c:v>
                </c:pt>
                <c:pt idx="1332">
                  <c:v>25.000000000000007</c:v>
                </c:pt>
                <c:pt idx="1333">
                  <c:v>25.000000000000007</c:v>
                </c:pt>
                <c:pt idx="1334">
                  <c:v>24.999999999999996</c:v>
                </c:pt>
                <c:pt idx="1335">
                  <c:v>25.000000000000018</c:v>
                </c:pt>
                <c:pt idx="1336">
                  <c:v>25</c:v>
                </c:pt>
                <c:pt idx="1337">
                  <c:v>24.999999999999993</c:v>
                </c:pt>
                <c:pt idx="1338">
                  <c:v>25.000000000000007</c:v>
                </c:pt>
                <c:pt idx="1339">
                  <c:v>25.000000000000004</c:v>
                </c:pt>
                <c:pt idx="1340">
                  <c:v>25.000000000000004</c:v>
                </c:pt>
                <c:pt idx="1341">
                  <c:v>25</c:v>
                </c:pt>
                <c:pt idx="1342">
                  <c:v>25.000000000000004</c:v>
                </c:pt>
                <c:pt idx="1343">
                  <c:v>25.000000000000011</c:v>
                </c:pt>
                <c:pt idx="1344">
                  <c:v>25.000000000000018</c:v>
                </c:pt>
                <c:pt idx="1345">
                  <c:v>25.000000000000011</c:v>
                </c:pt>
                <c:pt idx="1346">
                  <c:v>25.000000000000011</c:v>
                </c:pt>
                <c:pt idx="1347">
                  <c:v>24.999999999999996</c:v>
                </c:pt>
                <c:pt idx="1348">
                  <c:v>25.000000000000011</c:v>
                </c:pt>
                <c:pt idx="1349">
                  <c:v>25.000000000000011</c:v>
                </c:pt>
                <c:pt idx="1350">
                  <c:v>25.000000000000007</c:v>
                </c:pt>
                <c:pt idx="1351">
                  <c:v>25.000000000000018</c:v>
                </c:pt>
                <c:pt idx="1352">
                  <c:v>25.000000000000011</c:v>
                </c:pt>
                <c:pt idx="1353">
                  <c:v>25.000000000000007</c:v>
                </c:pt>
                <c:pt idx="1354">
                  <c:v>25.000000000000004</c:v>
                </c:pt>
                <c:pt idx="1355">
                  <c:v>25.000000000000007</c:v>
                </c:pt>
                <c:pt idx="1356">
                  <c:v>25.000000000000011</c:v>
                </c:pt>
                <c:pt idx="1357">
                  <c:v>25</c:v>
                </c:pt>
                <c:pt idx="1358">
                  <c:v>25.000000000000011</c:v>
                </c:pt>
                <c:pt idx="1359">
                  <c:v>25</c:v>
                </c:pt>
                <c:pt idx="1360">
                  <c:v>24.999999999999996</c:v>
                </c:pt>
                <c:pt idx="1361">
                  <c:v>25.000000000000004</c:v>
                </c:pt>
                <c:pt idx="1362">
                  <c:v>25.000000000000004</c:v>
                </c:pt>
                <c:pt idx="1363">
                  <c:v>25.000000000000011</c:v>
                </c:pt>
                <c:pt idx="1364">
                  <c:v>25.000000000000014</c:v>
                </c:pt>
                <c:pt idx="1365">
                  <c:v>25.000000000000014</c:v>
                </c:pt>
                <c:pt idx="1366">
                  <c:v>25.000000000000004</c:v>
                </c:pt>
                <c:pt idx="1367">
                  <c:v>25</c:v>
                </c:pt>
                <c:pt idx="1368">
                  <c:v>25.000000000000004</c:v>
                </c:pt>
                <c:pt idx="1369">
                  <c:v>25.000000000000007</c:v>
                </c:pt>
                <c:pt idx="1370">
                  <c:v>25.000000000000007</c:v>
                </c:pt>
                <c:pt idx="1371">
                  <c:v>25.000000000000004</c:v>
                </c:pt>
                <c:pt idx="1372">
                  <c:v>25.000000000000011</c:v>
                </c:pt>
                <c:pt idx="1373">
                  <c:v>25</c:v>
                </c:pt>
                <c:pt idx="1374">
                  <c:v>25.000000000000007</c:v>
                </c:pt>
                <c:pt idx="1375">
                  <c:v>25.000000000000007</c:v>
                </c:pt>
                <c:pt idx="1376">
                  <c:v>25.000000000000007</c:v>
                </c:pt>
                <c:pt idx="1377">
                  <c:v>25.000000000000014</c:v>
                </c:pt>
                <c:pt idx="1378">
                  <c:v>25.000000000000011</c:v>
                </c:pt>
                <c:pt idx="1379">
                  <c:v>25.000000000000014</c:v>
                </c:pt>
                <c:pt idx="1380">
                  <c:v>25.000000000000004</c:v>
                </c:pt>
                <c:pt idx="1381">
                  <c:v>25.000000000000011</c:v>
                </c:pt>
                <c:pt idx="1382">
                  <c:v>24.999999999999993</c:v>
                </c:pt>
                <c:pt idx="1383">
                  <c:v>25.000000000000014</c:v>
                </c:pt>
                <c:pt idx="1384">
                  <c:v>25.000000000000011</c:v>
                </c:pt>
                <c:pt idx="1385">
                  <c:v>25.000000000000007</c:v>
                </c:pt>
                <c:pt idx="1386">
                  <c:v>25.000000000000007</c:v>
                </c:pt>
                <c:pt idx="1387">
                  <c:v>25</c:v>
                </c:pt>
                <c:pt idx="1388">
                  <c:v>25.000000000000007</c:v>
                </c:pt>
                <c:pt idx="1389">
                  <c:v>25.000000000000007</c:v>
                </c:pt>
                <c:pt idx="1390">
                  <c:v>25.000000000000014</c:v>
                </c:pt>
                <c:pt idx="1391">
                  <c:v>25.000000000000004</c:v>
                </c:pt>
                <c:pt idx="1392">
                  <c:v>24.999999999999996</c:v>
                </c:pt>
                <c:pt idx="1393">
                  <c:v>25.000000000000007</c:v>
                </c:pt>
                <c:pt idx="1394">
                  <c:v>25.000000000000018</c:v>
                </c:pt>
                <c:pt idx="1395">
                  <c:v>24.999999999999996</c:v>
                </c:pt>
                <c:pt idx="1396">
                  <c:v>25.000000000000011</c:v>
                </c:pt>
                <c:pt idx="1397">
                  <c:v>24.999999999999996</c:v>
                </c:pt>
                <c:pt idx="1398">
                  <c:v>25.000000000000007</c:v>
                </c:pt>
                <c:pt idx="1399">
                  <c:v>24.999999999999996</c:v>
                </c:pt>
                <c:pt idx="1400">
                  <c:v>25.000000000000018</c:v>
                </c:pt>
                <c:pt idx="1401">
                  <c:v>25</c:v>
                </c:pt>
                <c:pt idx="1402">
                  <c:v>25</c:v>
                </c:pt>
                <c:pt idx="1403">
                  <c:v>24.999999999999989</c:v>
                </c:pt>
                <c:pt idx="1404">
                  <c:v>25.000000000000007</c:v>
                </c:pt>
                <c:pt idx="1405">
                  <c:v>25.000000000000011</c:v>
                </c:pt>
                <c:pt idx="1406">
                  <c:v>25.000000000000007</c:v>
                </c:pt>
                <c:pt idx="1407">
                  <c:v>24.999999999999996</c:v>
                </c:pt>
                <c:pt idx="1408">
                  <c:v>25</c:v>
                </c:pt>
                <c:pt idx="1409">
                  <c:v>25.000000000000007</c:v>
                </c:pt>
                <c:pt idx="1410">
                  <c:v>24.999999999999996</c:v>
                </c:pt>
                <c:pt idx="1411">
                  <c:v>24.999999999999993</c:v>
                </c:pt>
                <c:pt idx="1412">
                  <c:v>25.000000000000004</c:v>
                </c:pt>
                <c:pt idx="1413">
                  <c:v>25</c:v>
                </c:pt>
                <c:pt idx="1414">
                  <c:v>25.000000000000004</c:v>
                </c:pt>
                <c:pt idx="1415">
                  <c:v>25.000000000000004</c:v>
                </c:pt>
                <c:pt idx="1416">
                  <c:v>25.000000000000007</c:v>
                </c:pt>
                <c:pt idx="1417">
                  <c:v>25.000000000000007</c:v>
                </c:pt>
                <c:pt idx="1418">
                  <c:v>25.000000000000011</c:v>
                </c:pt>
                <c:pt idx="1419">
                  <c:v>25.000000000000011</c:v>
                </c:pt>
                <c:pt idx="1420">
                  <c:v>25.000000000000007</c:v>
                </c:pt>
                <c:pt idx="1421">
                  <c:v>25.000000000000004</c:v>
                </c:pt>
                <c:pt idx="1422">
                  <c:v>25.000000000000007</c:v>
                </c:pt>
                <c:pt idx="1423">
                  <c:v>25.000000000000004</c:v>
                </c:pt>
                <c:pt idx="1424">
                  <c:v>25.000000000000011</c:v>
                </c:pt>
                <c:pt idx="1425">
                  <c:v>25</c:v>
                </c:pt>
                <c:pt idx="1426">
                  <c:v>25.000000000000007</c:v>
                </c:pt>
                <c:pt idx="1427">
                  <c:v>25.000000000000004</c:v>
                </c:pt>
                <c:pt idx="1428">
                  <c:v>25.000000000000007</c:v>
                </c:pt>
                <c:pt idx="1429">
                  <c:v>24.999999999999993</c:v>
                </c:pt>
                <c:pt idx="1430">
                  <c:v>25.000000000000004</c:v>
                </c:pt>
                <c:pt idx="1431">
                  <c:v>25.000000000000007</c:v>
                </c:pt>
                <c:pt idx="1432">
                  <c:v>25</c:v>
                </c:pt>
                <c:pt idx="1433">
                  <c:v>25.000000000000004</c:v>
                </c:pt>
                <c:pt idx="1434">
                  <c:v>25.000000000000004</c:v>
                </c:pt>
                <c:pt idx="1435">
                  <c:v>25.000000000000011</c:v>
                </c:pt>
                <c:pt idx="1436">
                  <c:v>25.000000000000014</c:v>
                </c:pt>
                <c:pt idx="1437">
                  <c:v>25.000000000000011</c:v>
                </c:pt>
                <c:pt idx="1438">
                  <c:v>25.000000000000004</c:v>
                </c:pt>
                <c:pt idx="1439">
                  <c:v>24.999999999999993</c:v>
                </c:pt>
                <c:pt idx="1440">
                  <c:v>24.999999999999996</c:v>
                </c:pt>
                <c:pt idx="1441">
                  <c:v>24.999999999999996</c:v>
                </c:pt>
                <c:pt idx="1442">
                  <c:v>25.000000000000014</c:v>
                </c:pt>
                <c:pt idx="1443">
                  <c:v>25</c:v>
                </c:pt>
                <c:pt idx="1444">
                  <c:v>25.000000000000004</c:v>
                </c:pt>
                <c:pt idx="1445">
                  <c:v>24.999999999999993</c:v>
                </c:pt>
                <c:pt idx="1446">
                  <c:v>25.000000000000004</c:v>
                </c:pt>
                <c:pt idx="1447">
                  <c:v>25.000000000000007</c:v>
                </c:pt>
                <c:pt idx="1448">
                  <c:v>25.000000000000004</c:v>
                </c:pt>
                <c:pt idx="1449">
                  <c:v>25.000000000000014</c:v>
                </c:pt>
                <c:pt idx="1450">
                  <c:v>24.999999999999996</c:v>
                </c:pt>
                <c:pt idx="1451">
                  <c:v>25.000000000000018</c:v>
                </c:pt>
                <c:pt idx="1452">
                  <c:v>25</c:v>
                </c:pt>
                <c:pt idx="1453">
                  <c:v>25.000000000000004</c:v>
                </c:pt>
                <c:pt idx="1454">
                  <c:v>25.000000000000011</c:v>
                </c:pt>
                <c:pt idx="1455">
                  <c:v>25</c:v>
                </c:pt>
                <c:pt idx="1456">
                  <c:v>24.999999999999996</c:v>
                </c:pt>
                <c:pt idx="1457">
                  <c:v>25.000000000000007</c:v>
                </c:pt>
                <c:pt idx="1458">
                  <c:v>25</c:v>
                </c:pt>
                <c:pt idx="1459">
                  <c:v>25.000000000000011</c:v>
                </c:pt>
                <c:pt idx="1460">
                  <c:v>24.999999999999996</c:v>
                </c:pt>
                <c:pt idx="1461">
                  <c:v>25.000000000000011</c:v>
                </c:pt>
                <c:pt idx="1462">
                  <c:v>25.000000000000011</c:v>
                </c:pt>
                <c:pt idx="1463">
                  <c:v>24.999999999999996</c:v>
                </c:pt>
                <c:pt idx="1464">
                  <c:v>25</c:v>
                </c:pt>
                <c:pt idx="1465">
                  <c:v>24.999999999999996</c:v>
                </c:pt>
                <c:pt idx="1466">
                  <c:v>25.000000000000004</c:v>
                </c:pt>
                <c:pt idx="1467">
                  <c:v>25.000000000000004</c:v>
                </c:pt>
                <c:pt idx="1468">
                  <c:v>25.000000000000011</c:v>
                </c:pt>
                <c:pt idx="1469">
                  <c:v>25</c:v>
                </c:pt>
                <c:pt idx="1470">
                  <c:v>24.999999999999996</c:v>
                </c:pt>
                <c:pt idx="1471">
                  <c:v>25.000000000000007</c:v>
                </c:pt>
                <c:pt idx="1472">
                  <c:v>25.000000000000004</c:v>
                </c:pt>
                <c:pt idx="1473">
                  <c:v>25.000000000000014</c:v>
                </c:pt>
                <c:pt idx="1474">
                  <c:v>25</c:v>
                </c:pt>
                <c:pt idx="1475">
                  <c:v>25</c:v>
                </c:pt>
                <c:pt idx="1476">
                  <c:v>25.000000000000004</c:v>
                </c:pt>
                <c:pt idx="1477">
                  <c:v>25.000000000000011</c:v>
                </c:pt>
                <c:pt idx="1478">
                  <c:v>25.000000000000011</c:v>
                </c:pt>
                <c:pt idx="1479">
                  <c:v>25</c:v>
                </c:pt>
                <c:pt idx="1480">
                  <c:v>24.999999999999996</c:v>
                </c:pt>
                <c:pt idx="1481">
                  <c:v>24.999999999999996</c:v>
                </c:pt>
                <c:pt idx="1482">
                  <c:v>25</c:v>
                </c:pt>
                <c:pt idx="1483">
                  <c:v>25.000000000000007</c:v>
                </c:pt>
                <c:pt idx="1484">
                  <c:v>25</c:v>
                </c:pt>
                <c:pt idx="1485">
                  <c:v>25.000000000000004</c:v>
                </c:pt>
                <c:pt idx="1486">
                  <c:v>25.000000000000011</c:v>
                </c:pt>
                <c:pt idx="1487">
                  <c:v>25</c:v>
                </c:pt>
                <c:pt idx="1488">
                  <c:v>24.999999999999993</c:v>
                </c:pt>
                <c:pt idx="1489">
                  <c:v>25.000000000000007</c:v>
                </c:pt>
                <c:pt idx="1490">
                  <c:v>25</c:v>
                </c:pt>
                <c:pt idx="1491">
                  <c:v>25.000000000000007</c:v>
                </c:pt>
                <c:pt idx="1492">
                  <c:v>25.000000000000011</c:v>
                </c:pt>
                <c:pt idx="1493">
                  <c:v>25.000000000000007</c:v>
                </c:pt>
                <c:pt idx="1494">
                  <c:v>25.000000000000014</c:v>
                </c:pt>
                <c:pt idx="1495">
                  <c:v>24.999999999999993</c:v>
                </c:pt>
                <c:pt idx="1496">
                  <c:v>25.000000000000007</c:v>
                </c:pt>
                <c:pt idx="1497">
                  <c:v>25.000000000000007</c:v>
                </c:pt>
                <c:pt idx="1498">
                  <c:v>25.000000000000004</c:v>
                </c:pt>
                <c:pt idx="1499">
                  <c:v>25.000000000000004</c:v>
                </c:pt>
                <c:pt idx="1500">
                  <c:v>24.999999999999996</c:v>
                </c:pt>
                <c:pt idx="1501">
                  <c:v>25.000000000000004</c:v>
                </c:pt>
                <c:pt idx="1502">
                  <c:v>24.999999999999993</c:v>
                </c:pt>
                <c:pt idx="1503">
                  <c:v>25.000000000000004</c:v>
                </c:pt>
                <c:pt idx="1504">
                  <c:v>25.000000000000004</c:v>
                </c:pt>
                <c:pt idx="1505">
                  <c:v>25.000000000000007</c:v>
                </c:pt>
                <c:pt idx="1506">
                  <c:v>25.000000000000004</c:v>
                </c:pt>
                <c:pt idx="1507">
                  <c:v>25</c:v>
                </c:pt>
                <c:pt idx="1508">
                  <c:v>25.000000000000004</c:v>
                </c:pt>
                <c:pt idx="1509">
                  <c:v>25.000000000000004</c:v>
                </c:pt>
                <c:pt idx="1510">
                  <c:v>25</c:v>
                </c:pt>
                <c:pt idx="1511">
                  <c:v>25.000000000000004</c:v>
                </c:pt>
                <c:pt idx="1512">
                  <c:v>25.000000000000004</c:v>
                </c:pt>
                <c:pt idx="1513">
                  <c:v>25.000000000000011</c:v>
                </c:pt>
                <c:pt idx="1514">
                  <c:v>25</c:v>
                </c:pt>
                <c:pt idx="1515">
                  <c:v>25</c:v>
                </c:pt>
                <c:pt idx="1516">
                  <c:v>24.999999999999996</c:v>
                </c:pt>
                <c:pt idx="1517">
                  <c:v>24.999999999999993</c:v>
                </c:pt>
                <c:pt idx="1518">
                  <c:v>25</c:v>
                </c:pt>
                <c:pt idx="1519">
                  <c:v>25.000000000000004</c:v>
                </c:pt>
                <c:pt idx="1520">
                  <c:v>25.000000000000007</c:v>
                </c:pt>
                <c:pt idx="1521">
                  <c:v>25</c:v>
                </c:pt>
                <c:pt idx="1522">
                  <c:v>24.999999999999996</c:v>
                </c:pt>
                <c:pt idx="1523">
                  <c:v>25</c:v>
                </c:pt>
                <c:pt idx="1524">
                  <c:v>25.000000000000007</c:v>
                </c:pt>
                <c:pt idx="1525">
                  <c:v>25</c:v>
                </c:pt>
                <c:pt idx="1526">
                  <c:v>25.000000000000011</c:v>
                </c:pt>
                <c:pt idx="1527">
                  <c:v>25</c:v>
                </c:pt>
                <c:pt idx="1528">
                  <c:v>25.000000000000011</c:v>
                </c:pt>
                <c:pt idx="1529">
                  <c:v>25.000000000000007</c:v>
                </c:pt>
                <c:pt idx="1530">
                  <c:v>25.000000000000004</c:v>
                </c:pt>
                <c:pt idx="1531">
                  <c:v>25.000000000000004</c:v>
                </c:pt>
                <c:pt idx="1532">
                  <c:v>25.000000000000004</c:v>
                </c:pt>
                <c:pt idx="1533">
                  <c:v>25</c:v>
                </c:pt>
                <c:pt idx="1534">
                  <c:v>25.000000000000007</c:v>
                </c:pt>
                <c:pt idx="1535">
                  <c:v>25.000000000000011</c:v>
                </c:pt>
                <c:pt idx="1536">
                  <c:v>25.000000000000004</c:v>
                </c:pt>
                <c:pt idx="1537">
                  <c:v>25</c:v>
                </c:pt>
                <c:pt idx="1538">
                  <c:v>25</c:v>
                </c:pt>
                <c:pt idx="1539">
                  <c:v>25.000000000000007</c:v>
                </c:pt>
                <c:pt idx="1540">
                  <c:v>24.999999999999996</c:v>
                </c:pt>
                <c:pt idx="1541">
                  <c:v>24.999999999999996</c:v>
                </c:pt>
                <c:pt idx="1542">
                  <c:v>25.000000000000007</c:v>
                </c:pt>
                <c:pt idx="1543">
                  <c:v>25.000000000000004</c:v>
                </c:pt>
                <c:pt idx="1544">
                  <c:v>25.000000000000007</c:v>
                </c:pt>
                <c:pt idx="1545">
                  <c:v>25.000000000000014</c:v>
                </c:pt>
                <c:pt idx="1546">
                  <c:v>25.000000000000007</c:v>
                </c:pt>
                <c:pt idx="1547">
                  <c:v>25.000000000000011</c:v>
                </c:pt>
                <c:pt idx="1548">
                  <c:v>25.000000000000004</c:v>
                </c:pt>
                <c:pt idx="1549">
                  <c:v>25.000000000000007</c:v>
                </c:pt>
                <c:pt idx="1550">
                  <c:v>25</c:v>
                </c:pt>
                <c:pt idx="1551">
                  <c:v>25.000000000000004</c:v>
                </c:pt>
                <c:pt idx="1552">
                  <c:v>25.000000000000004</c:v>
                </c:pt>
                <c:pt idx="1553">
                  <c:v>25.000000000000004</c:v>
                </c:pt>
                <c:pt idx="1554">
                  <c:v>25.000000000000004</c:v>
                </c:pt>
                <c:pt idx="1555">
                  <c:v>24.999999999999996</c:v>
                </c:pt>
                <c:pt idx="1556">
                  <c:v>25</c:v>
                </c:pt>
                <c:pt idx="1557">
                  <c:v>25.000000000000004</c:v>
                </c:pt>
                <c:pt idx="1558">
                  <c:v>25</c:v>
                </c:pt>
                <c:pt idx="1559">
                  <c:v>25.000000000000004</c:v>
                </c:pt>
                <c:pt idx="1560">
                  <c:v>25</c:v>
                </c:pt>
                <c:pt idx="1561">
                  <c:v>25.000000000000007</c:v>
                </c:pt>
                <c:pt idx="1562">
                  <c:v>25.000000000000004</c:v>
                </c:pt>
                <c:pt idx="1563">
                  <c:v>25.000000000000007</c:v>
                </c:pt>
                <c:pt idx="1564">
                  <c:v>25.000000000000004</c:v>
                </c:pt>
                <c:pt idx="1565">
                  <c:v>25.000000000000007</c:v>
                </c:pt>
                <c:pt idx="1566">
                  <c:v>25</c:v>
                </c:pt>
                <c:pt idx="1567">
                  <c:v>25.000000000000011</c:v>
                </c:pt>
                <c:pt idx="1568">
                  <c:v>25.000000000000004</c:v>
                </c:pt>
                <c:pt idx="1569">
                  <c:v>25.000000000000011</c:v>
                </c:pt>
                <c:pt idx="1570">
                  <c:v>25.000000000000004</c:v>
                </c:pt>
                <c:pt idx="1571">
                  <c:v>24.999999999999996</c:v>
                </c:pt>
                <c:pt idx="1572">
                  <c:v>25.000000000000004</c:v>
                </c:pt>
                <c:pt idx="1573">
                  <c:v>25</c:v>
                </c:pt>
                <c:pt idx="1574">
                  <c:v>25</c:v>
                </c:pt>
                <c:pt idx="1575">
                  <c:v>25.000000000000007</c:v>
                </c:pt>
                <c:pt idx="1576">
                  <c:v>25.000000000000011</c:v>
                </c:pt>
                <c:pt idx="1577">
                  <c:v>24.999999999999996</c:v>
                </c:pt>
                <c:pt idx="1578">
                  <c:v>25.000000000000007</c:v>
                </c:pt>
                <c:pt idx="1579">
                  <c:v>25</c:v>
                </c:pt>
                <c:pt idx="1580">
                  <c:v>25</c:v>
                </c:pt>
                <c:pt idx="1581">
                  <c:v>25</c:v>
                </c:pt>
                <c:pt idx="1582">
                  <c:v>25.000000000000007</c:v>
                </c:pt>
                <c:pt idx="1583">
                  <c:v>25.000000000000007</c:v>
                </c:pt>
                <c:pt idx="1584">
                  <c:v>25</c:v>
                </c:pt>
                <c:pt idx="1585">
                  <c:v>24.999999999999996</c:v>
                </c:pt>
                <c:pt idx="1586">
                  <c:v>25.000000000000007</c:v>
                </c:pt>
                <c:pt idx="1587">
                  <c:v>25.000000000000007</c:v>
                </c:pt>
                <c:pt idx="1588">
                  <c:v>24.999999999999993</c:v>
                </c:pt>
                <c:pt idx="1589">
                  <c:v>25.000000000000004</c:v>
                </c:pt>
                <c:pt idx="1590">
                  <c:v>25.000000000000011</c:v>
                </c:pt>
                <c:pt idx="1591">
                  <c:v>25.000000000000007</c:v>
                </c:pt>
                <c:pt idx="1592">
                  <c:v>25.000000000000004</c:v>
                </c:pt>
                <c:pt idx="1593">
                  <c:v>25</c:v>
                </c:pt>
                <c:pt idx="1594">
                  <c:v>25.000000000000014</c:v>
                </c:pt>
                <c:pt idx="1595">
                  <c:v>25.000000000000004</c:v>
                </c:pt>
                <c:pt idx="1596">
                  <c:v>25</c:v>
                </c:pt>
                <c:pt idx="1597">
                  <c:v>24.999999999999996</c:v>
                </c:pt>
                <c:pt idx="1598">
                  <c:v>24.999999999999996</c:v>
                </c:pt>
                <c:pt idx="1599">
                  <c:v>25.000000000000007</c:v>
                </c:pt>
                <c:pt idx="1600">
                  <c:v>25</c:v>
                </c:pt>
                <c:pt idx="1601">
                  <c:v>25.000000000000007</c:v>
                </c:pt>
                <c:pt idx="1602">
                  <c:v>25</c:v>
                </c:pt>
                <c:pt idx="1603">
                  <c:v>25.000000000000004</c:v>
                </c:pt>
                <c:pt idx="1604">
                  <c:v>24.999999999999993</c:v>
                </c:pt>
                <c:pt idx="1605">
                  <c:v>25.000000000000004</c:v>
                </c:pt>
                <c:pt idx="1606">
                  <c:v>25</c:v>
                </c:pt>
                <c:pt idx="1607">
                  <c:v>25.000000000000004</c:v>
                </c:pt>
                <c:pt idx="1608">
                  <c:v>25.000000000000004</c:v>
                </c:pt>
                <c:pt idx="1609">
                  <c:v>25</c:v>
                </c:pt>
                <c:pt idx="1610">
                  <c:v>25.000000000000007</c:v>
                </c:pt>
                <c:pt idx="1611">
                  <c:v>25.000000000000011</c:v>
                </c:pt>
                <c:pt idx="1612">
                  <c:v>25.000000000000004</c:v>
                </c:pt>
                <c:pt idx="1613">
                  <c:v>25.000000000000007</c:v>
                </c:pt>
                <c:pt idx="1614">
                  <c:v>25.000000000000004</c:v>
                </c:pt>
                <c:pt idx="1615">
                  <c:v>25.000000000000007</c:v>
                </c:pt>
                <c:pt idx="1616">
                  <c:v>25.000000000000004</c:v>
                </c:pt>
                <c:pt idx="1617">
                  <c:v>24.999999999999993</c:v>
                </c:pt>
                <c:pt idx="1618">
                  <c:v>25</c:v>
                </c:pt>
                <c:pt idx="1619">
                  <c:v>25.000000000000004</c:v>
                </c:pt>
                <c:pt idx="1620">
                  <c:v>25.000000000000007</c:v>
                </c:pt>
                <c:pt idx="1621">
                  <c:v>25</c:v>
                </c:pt>
                <c:pt idx="1622">
                  <c:v>25</c:v>
                </c:pt>
                <c:pt idx="1623">
                  <c:v>25</c:v>
                </c:pt>
                <c:pt idx="1624">
                  <c:v>25.000000000000007</c:v>
                </c:pt>
                <c:pt idx="1625">
                  <c:v>25.000000000000007</c:v>
                </c:pt>
                <c:pt idx="1626">
                  <c:v>25.000000000000004</c:v>
                </c:pt>
                <c:pt idx="1627">
                  <c:v>25.000000000000004</c:v>
                </c:pt>
                <c:pt idx="1628">
                  <c:v>25.000000000000004</c:v>
                </c:pt>
                <c:pt idx="1629">
                  <c:v>24.999999999999996</c:v>
                </c:pt>
                <c:pt idx="1630">
                  <c:v>25.000000000000004</c:v>
                </c:pt>
                <c:pt idx="1631">
                  <c:v>25.000000000000007</c:v>
                </c:pt>
                <c:pt idx="1632">
                  <c:v>25.000000000000004</c:v>
                </c:pt>
                <c:pt idx="1633">
                  <c:v>25.000000000000011</c:v>
                </c:pt>
                <c:pt idx="1634">
                  <c:v>25.000000000000007</c:v>
                </c:pt>
                <c:pt idx="1635">
                  <c:v>25.000000000000004</c:v>
                </c:pt>
                <c:pt idx="1636">
                  <c:v>25.000000000000007</c:v>
                </c:pt>
                <c:pt idx="1637">
                  <c:v>25</c:v>
                </c:pt>
                <c:pt idx="1638">
                  <c:v>25.000000000000004</c:v>
                </c:pt>
                <c:pt idx="1639">
                  <c:v>25.000000000000004</c:v>
                </c:pt>
                <c:pt idx="1640">
                  <c:v>25.000000000000004</c:v>
                </c:pt>
                <c:pt idx="1641">
                  <c:v>25</c:v>
                </c:pt>
                <c:pt idx="1642">
                  <c:v>25</c:v>
                </c:pt>
                <c:pt idx="1643">
                  <c:v>25.000000000000007</c:v>
                </c:pt>
                <c:pt idx="1644">
                  <c:v>25</c:v>
                </c:pt>
                <c:pt idx="1645">
                  <c:v>25</c:v>
                </c:pt>
                <c:pt idx="1646">
                  <c:v>25.000000000000004</c:v>
                </c:pt>
                <c:pt idx="1647">
                  <c:v>25.000000000000007</c:v>
                </c:pt>
                <c:pt idx="1648">
                  <c:v>25.000000000000011</c:v>
                </c:pt>
                <c:pt idx="1649">
                  <c:v>25.000000000000004</c:v>
                </c:pt>
                <c:pt idx="1650">
                  <c:v>24.999999999999996</c:v>
                </c:pt>
                <c:pt idx="1651">
                  <c:v>25</c:v>
                </c:pt>
                <c:pt idx="1652">
                  <c:v>25</c:v>
                </c:pt>
                <c:pt idx="1653">
                  <c:v>25</c:v>
                </c:pt>
                <c:pt idx="1654">
                  <c:v>25.000000000000004</c:v>
                </c:pt>
                <c:pt idx="1655">
                  <c:v>25.000000000000004</c:v>
                </c:pt>
                <c:pt idx="1656">
                  <c:v>25.000000000000004</c:v>
                </c:pt>
                <c:pt idx="1657">
                  <c:v>25.000000000000011</c:v>
                </c:pt>
                <c:pt idx="1658">
                  <c:v>25</c:v>
                </c:pt>
                <c:pt idx="1659">
                  <c:v>25</c:v>
                </c:pt>
                <c:pt idx="1660">
                  <c:v>25.000000000000007</c:v>
                </c:pt>
                <c:pt idx="1661">
                  <c:v>25</c:v>
                </c:pt>
                <c:pt idx="1662">
                  <c:v>25.000000000000007</c:v>
                </c:pt>
                <c:pt idx="1663">
                  <c:v>25.000000000000007</c:v>
                </c:pt>
                <c:pt idx="1664">
                  <c:v>25.000000000000004</c:v>
                </c:pt>
                <c:pt idx="1665">
                  <c:v>25</c:v>
                </c:pt>
                <c:pt idx="1666">
                  <c:v>25</c:v>
                </c:pt>
                <c:pt idx="1667">
                  <c:v>25.000000000000007</c:v>
                </c:pt>
                <c:pt idx="1668">
                  <c:v>25.000000000000007</c:v>
                </c:pt>
                <c:pt idx="1669">
                  <c:v>25.000000000000004</c:v>
                </c:pt>
                <c:pt idx="1670">
                  <c:v>25.000000000000014</c:v>
                </c:pt>
                <c:pt idx="1671">
                  <c:v>25.000000000000004</c:v>
                </c:pt>
                <c:pt idx="1672">
                  <c:v>25</c:v>
                </c:pt>
                <c:pt idx="1673">
                  <c:v>25.000000000000007</c:v>
                </c:pt>
                <c:pt idx="1674">
                  <c:v>25.000000000000007</c:v>
                </c:pt>
                <c:pt idx="1675">
                  <c:v>25.000000000000007</c:v>
                </c:pt>
                <c:pt idx="1676">
                  <c:v>25</c:v>
                </c:pt>
                <c:pt idx="1677">
                  <c:v>24.999999999999996</c:v>
                </c:pt>
                <c:pt idx="1678">
                  <c:v>25.000000000000004</c:v>
                </c:pt>
                <c:pt idx="1679">
                  <c:v>25.000000000000004</c:v>
                </c:pt>
                <c:pt idx="1680">
                  <c:v>25.000000000000004</c:v>
                </c:pt>
                <c:pt idx="1681">
                  <c:v>25</c:v>
                </c:pt>
                <c:pt idx="1682">
                  <c:v>25.000000000000007</c:v>
                </c:pt>
                <c:pt idx="1683">
                  <c:v>25.000000000000004</c:v>
                </c:pt>
                <c:pt idx="1684">
                  <c:v>25</c:v>
                </c:pt>
                <c:pt idx="1685">
                  <c:v>25</c:v>
                </c:pt>
                <c:pt idx="1686">
                  <c:v>25.000000000000007</c:v>
                </c:pt>
                <c:pt idx="1687">
                  <c:v>25.000000000000007</c:v>
                </c:pt>
                <c:pt idx="1688">
                  <c:v>25.000000000000007</c:v>
                </c:pt>
                <c:pt idx="1689">
                  <c:v>25.000000000000007</c:v>
                </c:pt>
                <c:pt idx="1690">
                  <c:v>25.000000000000007</c:v>
                </c:pt>
                <c:pt idx="1691">
                  <c:v>25.000000000000011</c:v>
                </c:pt>
                <c:pt idx="1692">
                  <c:v>25</c:v>
                </c:pt>
                <c:pt idx="1693">
                  <c:v>25.000000000000007</c:v>
                </c:pt>
                <c:pt idx="1694">
                  <c:v>25.000000000000004</c:v>
                </c:pt>
                <c:pt idx="1695">
                  <c:v>25.000000000000004</c:v>
                </c:pt>
                <c:pt idx="1696">
                  <c:v>25.000000000000007</c:v>
                </c:pt>
                <c:pt idx="1697">
                  <c:v>25.000000000000007</c:v>
                </c:pt>
                <c:pt idx="1698">
                  <c:v>25.000000000000004</c:v>
                </c:pt>
                <c:pt idx="1699">
                  <c:v>24.999999999999996</c:v>
                </c:pt>
                <c:pt idx="1700">
                  <c:v>25.000000000000007</c:v>
                </c:pt>
                <c:pt idx="1701">
                  <c:v>25</c:v>
                </c:pt>
                <c:pt idx="1702">
                  <c:v>25.000000000000011</c:v>
                </c:pt>
                <c:pt idx="1703">
                  <c:v>25.000000000000004</c:v>
                </c:pt>
                <c:pt idx="1704">
                  <c:v>25</c:v>
                </c:pt>
                <c:pt idx="1705">
                  <c:v>25.000000000000007</c:v>
                </c:pt>
                <c:pt idx="1706">
                  <c:v>25</c:v>
                </c:pt>
                <c:pt idx="1707">
                  <c:v>25.000000000000004</c:v>
                </c:pt>
                <c:pt idx="1708">
                  <c:v>25.000000000000007</c:v>
                </c:pt>
                <c:pt idx="1709">
                  <c:v>24.999999999999996</c:v>
                </c:pt>
                <c:pt idx="1710">
                  <c:v>25</c:v>
                </c:pt>
                <c:pt idx="1711">
                  <c:v>25.000000000000007</c:v>
                </c:pt>
                <c:pt idx="1712">
                  <c:v>25.000000000000004</c:v>
                </c:pt>
                <c:pt idx="1713">
                  <c:v>24.999999999999996</c:v>
                </c:pt>
                <c:pt idx="1714">
                  <c:v>25.000000000000007</c:v>
                </c:pt>
                <c:pt idx="1715">
                  <c:v>25.000000000000007</c:v>
                </c:pt>
                <c:pt idx="1716">
                  <c:v>25.000000000000004</c:v>
                </c:pt>
                <c:pt idx="1717">
                  <c:v>25.000000000000004</c:v>
                </c:pt>
                <c:pt idx="1718">
                  <c:v>25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25.000000000000004</c:v>
                </c:pt>
                <c:pt idx="1724">
                  <c:v>25</c:v>
                </c:pt>
                <c:pt idx="1725">
                  <c:v>25</c:v>
                </c:pt>
                <c:pt idx="1726">
                  <c:v>25</c:v>
                </c:pt>
                <c:pt idx="1727">
                  <c:v>25.000000000000011</c:v>
                </c:pt>
                <c:pt idx="1728">
                  <c:v>25</c:v>
                </c:pt>
                <c:pt idx="1729">
                  <c:v>25.000000000000004</c:v>
                </c:pt>
                <c:pt idx="1730">
                  <c:v>25</c:v>
                </c:pt>
                <c:pt idx="1731">
                  <c:v>24.999999999999996</c:v>
                </c:pt>
                <c:pt idx="1732">
                  <c:v>25.000000000000007</c:v>
                </c:pt>
                <c:pt idx="1733">
                  <c:v>25.000000000000004</c:v>
                </c:pt>
                <c:pt idx="1734">
                  <c:v>25</c:v>
                </c:pt>
                <c:pt idx="1735">
                  <c:v>25</c:v>
                </c:pt>
                <c:pt idx="1736">
                  <c:v>25.000000000000007</c:v>
                </c:pt>
                <c:pt idx="1737">
                  <c:v>25.000000000000007</c:v>
                </c:pt>
                <c:pt idx="1738">
                  <c:v>25</c:v>
                </c:pt>
                <c:pt idx="1739">
                  <c:v>25.000000000000007</c:v>
                </c:pt>
                <c:pt idx="1740">
                  <c:v>25.000000000000004</c:v>
                </c:pt>
                <c:pt idx="1741">
                  <c:v>25.000000000000007</c:v>
                </c:pt>
                <c:pt idx="1742">
                  <c:v>25</c:v>
                </c:pt>
                <c:pt idx="1743">
                  <c:v>25.000000000000004</c:v>
                </c:pt>
                <c:pt idx="1744">
                  <c:v>25.000000000000007</c:v>
                </c:pt>
                <c:pt idx="1745">
                  <c:v>25</c:v>
                </c:pt>
                <c:pt idx="1746">
                  <c:v>25.000000000000004</c:v>
                </c:pt>
                <c:pt idx="1747">
                  <c:v>25.000000000000004</c:v>
                </c:pt>
                <c:pt idx="1748">
                  <c:v>24.999999999999996</c:v>
                </c:pt>
                <c:pt idx="1749">
                  <c:v>25</c:v>
                </c:pt>
                <c:pt idx="1750">
                  <c:v>25.000000000000007</c:v>
                </c:pt>
                <c:pt idx="1751">
                  <c:v>25.000000000000007</c:v>
                </c:pt>
                <c:pt idx="1752">
                  <c:v>25</c:v>
                </c:pt>
                <c:pt idx="1753">
                  <c:v>25.000000000000007</c:v>
                </c:pt>
                <c:pt idx="1754">
                  <c:v>25.000000000000004</c:v>
                </c:pt>
                <c:pt idx="1755">
                  <c:v>25.000000000000007</c:v>
                </c:pt>
                <c:pt idx="1756">
                  <c:v>25.000000000000004</c:v>
                </c:pt>
                <c:pt idx="1757">
                  <c:v>25.000000000000007</c:v>
                </c:pt>
                <c:pt idx="1758">
                  <c:v>25.000000000000004</c:v>
                </c:pt>
                <c:pt idx="1759">
                  <c:v>25.000000000000004</c:v>
                </c:pt>
                <c:pt idx="1760">
                  <c:v>25.000000000000007</c:v>
                </c:pt>
                <c:pt idx="1761">
                  <c:v>25.000000000000007</c:v>
                </c:pt>
                <c:pt idx="1762">
                  <c:v>25.000000000000004</c:v>
                </c:pt>
                <c:pt idx="1763">
                  <c:v>25.000000000000007</c:v>
                </c:pt>
                <c:pt idx="1764">
                  <c:v>25.000000000000007</c:v>
                </c:pt>
                <c:pt idx="1765">
                  <c:v>25.000000000000004</c:v>
                </c:pt>
                <c:pt idx="1766">
                  <c:v>25.000000000000004</c:v>
                </c:pt>
                <c:pt idx="1767">
                  <c:v>25</c:v>
                </c:pt>
                <c:pt idx="1768">
                  <c:v>25.000000000000007</c:v>
                </c:pt>
                <c:pt idx="1769">
                  <c:v>25</c:v>
                </c:pt>
                <c:pt idx="1770">
                  <c:v>25.000000000000007</c:v>
                </c:pt>
                <c:pt idx="1771">
                  <c:v>25.000000000000004</c:v>
                </c:pt>
                <c:pt idx="1772">
                  <c:v>25</c:v>
                </c:pt>
                <c:pt idx="1773">
                  <c:v>25.000000000000004</c:v>
                </c:pt>
                <c:pt idx="1774">
                  <c:v>24.999999999999996</c:v>
                </c:pt>
                <c:pt idx="1775">
                  <c:v>25.000000000000007</c:v>
                </c:pt>
                <c:pt idx="1776">
                  <c:v>25.000000000000004</c:v>
                </c:pt>
                <c:pt idx="1777">
                  <c:v>25.000000000000007</c:v>
                </c:pt>
                <c:pt idx="1778">
                  <c:v>25.000000000000004</c:v>
                </c:pt>
                <c:pt idx="1779">
                  <c:v>25.000000000000007</c:v>
                </c:pt>
                <c:pt idx="1780">
                  <c:v>25.000000000000004</c:v>
                </c:pt>
                <c:pt idx="1781">
                  <c:v>25.000000000000004</c:v>
                </c:pt>
                <c:pt idx="1782">
                  <c:v>25</c:v>
                </c:pt>
                <c:pt idx="1783">
                  <c:v>25.000000000000004</c:v>
                </c:pt>
                <c:pt idx="1784">
                  <c:v>25</c:v>
                </c:pt>
                <c:pt idx="1785">
                  <c:v>25.000000000000004</c:v>
                </c:pt>
                <c:pt idx="1786">
                  <c:v>24.999999999999996</c:v>
                </c:pt>
                <c:pt idx="1787">
                  <c:v>25.000000000000004</c:v>
                </c:pt>
                <c:pt idx="1788">
                  <c:v>25.000000000000007</c:v>
                </c:pt>
                <c:pt idx="1789">
                  <c:v>25.000000000000004</c:v>
                </c:pt>
                <c:pt idx="1790">
                  <c:v>25.000000000000004</c:v>
                </c:pt>
                <c:pt idx="1791">
                  <c:v>25.000000000000004</c:v>
                </c:pt>
                <c:pt idx="1792">
                  <c:v>25.000000000000004</c:v>
                </c:pt>
                <c:pt idx="1793">
                  <c:v>25.000000000000004</c:v>
                </c:pt>
                <c:pt idx="1794">
                  <c:v>25.000000000000004</c:v>
                </c:pt>
                <c:pt idx="1795">
                  <c:v>25.000000000000004</c:v>
                </c:pt>
                <c:pt idx="1796">
                  <c:v>25</c:v>
                </c:pt>
                <c:pt idx="1797">
                  <c:v>25.000000000000004</c:v>
                </c:pt>
                <c:pt idx="1798">
                  <c:v>25.000000000000007</c:v>
                </c:pt>
                <c:pt idx="1799">
                  <c:v>25.000000000000004</c:v>
                </c:pt>
                <c:pt idx="1800">
                  <c:v>25.000000000000004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8-4443-B844-16A05E8B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252928"/>
        <c:axId val="653022400"/>
      </c:scatterChart>
      <c:scatterChart>
        <c:scatterStyle val="smoothMarker"/>
        <c:varyColors val="0"/>
        <c:ser>
          <c:idx val="1"/>
          <c:order val="1"/>
          <c:tx>
            <c:v>With Resr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'Non-ideal model'!$A$8:$A$1808</c:f>
              <c:numCache>
                <c:formatCode>0.0000</c:formatCode>
                <c:ptCount val="1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16.709999999999813</c:v>
                </c:pt>
                <c:pt idx="1672">
                  <c:v>16.719999999999814</c:v>
                </c:pt>
                <c:pt idx="1673">
                  <c:v>16.729999999999816</c:v>
                </c:pt>
                <c:pt idx="1674">
                  <c:v>16.739999999999817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16.769999999999822</c:v>
                </c:pt>
                <c:pt idx="1678">
                  <c:v>16.779999999999824</c:v>
                </c:pt>
                <c:pt idx="1679">
                  <c:v>16.789999999999825</c:v>
                </c:pt>
                <c:pt idx="1680">
                  <c:v>16.799999999999827</c:v>
                </c:pt>
                <c:pt idx="1681">
                  <c:v>16.809999999999828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16.839999999999833</c:v>
                </c:pt>
                <c:pt idx="1685">
                  <c:v>16.849999999999834</c:v>
                </c:pt>
                <c:pt idx="1686">
                  <c:v>16.859999999999836</c:v>
                </c:pt>
                <c:pt idx="1687">
                  <c:v>16.869999999999838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16.899999999999842</c:v>
                </c:pt>
                <c:pt idx="1691">
                  <c:v>16.909999999999844</c:v>
                </c:pt>
                <c:pt idx="1692">
                  <c:v>16.919999999999845</c:v>
                </c:pt>
                <c:pt idx="1693">
                  <c:v>16.929999999999847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16.969999999999853</c:v>
                </c:pt>
                <c:pt idx="1698">
                  <c:v>16.979999999999855</c:v>
                </c:pt>
                <c:pt idx="1699">
                  <c:v>16.989999999999856</c:v>
                </c:pt>
                <c:pt idx="1700">
                  <c:v>16.999999999999858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17.029999999999863</c:v>
                </c:pt>
                <c:pt idx="1704">
                  <c:v>17.039999999999864</c:v>
                </c:pt>
                <c:pt idx="1705">
                  <c:v>17.049999999999866</c:v>
                </c:pt>
                <c:pt idx="1706">
                  <c:v>17.059999999999867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17.089999999999872</c:v>
                </c:pt>
                <c:pt idx="1710">
                  <c:v>17.099999999999874</c:v>
                </c:pt>
                <c:pt idx="1711">
                  <c:v>17.109999999999875</c:v>
                </c:pt>
                <c:pt idx="1712">
                  <c:v>17.119999999999877</c:v>
                </c:pt>
                <c:pt idx="1713">
                  <c:v>17.129999999999878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17.159999999999883</c:v>
                </c:pt>
                <c:pt idx="1717">
                  <c:v>17.169999999999884</c:v>
                </c:pt>
                <c:pt idx="1718">
                  <c:v>17.179999999999886</c:v>
                </c:pt>
                <c:pt idx="1719">
                  <c:v>17.189999999999888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17.219999999999892</c:v>
                </c:pt>
                <c:pt idx="1723">
                  <c:v>17.229999999999894</c:v>
                </c:pt>
                <c:pt idx="1724">
                  <c:v>17.239999999999895</c:v>
                </c:pt>
                <c:pt idx="1725">
                  <c:v>17.249999999999897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17.289999999999903</c:v>
                </c:pt>
                <c:pt idx="1730">
                  <c:v>17.299999999999905</c:v>
                </c:pt>
                <c:pt idx="1731">
                  <c:v>17.309999999999906</c:v>
                </c:pt>
                <c:pt idx="1732">
                  <c:v>17.319999999999908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17.349999999999913</c:v>
                </c:pt>
                <c:pt idx="1736">
                  <c:v>17.359999999999914</c:v>
                </c:pt>
                <c:pt idx="1737">
                  <c:v>17.369999999999916</c:v>
                </c:pt>
                <c:pt idx="1738">
                  <c:v>17.379999999999917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17.409999999999922</c:v>
                </c:pt>
                <c:pt idx="1742">
                  <c:v>17.419999999999924</c:v>
                </c:pt>
                <c:pt idx="1743">
                  <c:v>17.429999999999925</c:v>
                </c:pt>
                <c:pt idx="1744">
                  <c:v>17.439999999999927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17.479999999999933</c:v>
                </c:pt>
                <c:pt idx="1749">
                  <c:v>17.489999999999934</c:v>
                </c:pt>
                <c:pt idx="1750">
                  <c:v>17.499999999999936</c:v>
                </c:pt>
                <c:pt idx="1751">
                  <c:v>17.509999999999938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17.539999999999942</c:v>
                </c:pt>
                <c:pt idx="1755">
                  <c:v>17.549999999999944</c:v>
                </c:pt>
                <c:pt idx="1756">
                  <c:v>17.559999999999945</c:v>
                </c:pt>
                <c:pt idx="1757">
                  <c:v>17.569999999999947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17.609999999999953</c:v>
                </c:pt>
                <c:pt idx="1762">
                  <c:v>17.619999999999955</c:v>
                </c:pt>
                <c:pt idx="1763">
                  <c:v>17.629999999999956</c:v>
                </c:pt>
                <c:pt idx="1764">
                  <c:v>17.639999999999958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17.669999999999963</c:v>
                </c:pt>
                <c:pt idx="1768">
                  <c:v>17.679999999999964</c:v>
                </c:pt>
                <c:pt idx="1769">
                  <c:v>17.689999999999966</c:v>
                </c:pt>
                <c:pt idx="1770">
                  <c:v>17.699999999999967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17.729999999999972</c:v>
                </c:pt>
                <c:pt idx="1774">
                  <c:v>17.739999999999974</c:v>
                </c:pt>
                <c:pt idx="1775">
                  <c:v>17.749999999999975</c:v>
                </c:pt>
                <c:pt idx="1776">
                  <c:v>17.759999999999977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17.799999999999983</c:v>
                </c:pt>
                <c:pt idx="1781">
                  <c:v>17.809999999999985</c:v>
                </c:pt>
                <c:pt idx="1782">
                  <c:v>17.819999999999986</c:v>
                </c:pt>
                <c:pt idx="1783">
                  <c:v>17.829999999999988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17.859999999999992</c:v>
                </c:pt>
                <c:pt idx="1787">
                  <c:v>17.869999999999994</c:v>
                </c:pt>
                <c:pt idx="1788">
                  <c:v>17.879999999999995</c:v>
                </c:pt>
                <c:pt idx="1789">
                  <c:v>17.889999999999997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17.930000000000003</c:v>
                </c:pt>
                <c:pt idx="1794">
                  <c:v>17.940000000000005</c:v>
                </c:pt>
                <c:pt idx="1795">
                  <c:v>17.950000000000006</c:v>
                </c:pt>
                <c:pt idx="1796">
                  <c:v>17.960000000000008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17.990000000000013</c:v>
                </c:pt>
                <c:pt idx="1800">
                  <c:v>18.000000000000014</c:v>
                </c:pt>
              </c:numCache>
            </c:numRef>
          </c:xVal>
          <c:yVal>
            <c:numRef>
              <c:f>'Non-ideal model'!$O$8:$O$1808</c:f>
              <c:numCache>
                <c:formatCode>0.00</c:formatCode>
                <c:ptCount val="1801"/>
                <c:pt idx="0">
                  <c:v>25.921495687315424</c:v>
                </c:pt>
                <c:pt idx="1">
                  <c:v>25.921931229207868</c:v>
                </c:pt>
                <c:pt idx="2">
                  <c:v>25.922367190878049</c:v>
                </c:pt>
                <c:pt idx="3">
                  <c:v>25.922803572940783</c:v>
                </c:pt>
                <c:pt idx="4">
                  <c:v>25.923240376012149</c:v>
                </c:pt>
                <c:pt idx="5">
                  <c:v>25.923677600709343</c:v>
                </c:pt>
                <c:pt idx="6">
                  <c:v>25.924115247650942</c:v>
                </c:pt>
                <c:pt idx="7">
                  <c:v>25.924553317456532</c:v>
                </c:pt>
                <c:pt idx="8">
                  <c:v>25.924991810747127</c:v>
                </c:pt>
                <c:pt idx="9">
                  <c:v>25.925430728144821</c:v>
                </c:pt>
                <c:pt idx="10">
                  <c:v>25.92587007027306</c:v>
                </c:pt>
                <c:pt idx="11">
                  <c:v>25.926309837756438</c:v>
                </c:pt>
                <c:pt idx="12">
                  <c:v>25.926750031220759</c:v>
                </c:pt>
                <c:pt idx="13">
                  <c:v>25.927190651293213</c:v>
                </c:pt>
                <c:pt idx="14">
                  <c:v>25.927631698602013</c:v>
                </c:pt>
                <c:pt idx="15">
                  <c:v>25.928073173776895</c:v>
                </c:pt>
                <c:pt idx="16">
                  <c:v>25.928515077448527</c:v>
                </c:pt>
                <c:pt idx="17">
                  <c:v>25.92895741024914</c:v>
                </c:pt>
                <c:pt idx="18">
                  <c:v>25.929400172811974</c:v>
                </c:pt>
                <c:pt idx="19">
                  <c:v>25.929843365771674</c:v>
                </c:pt>
                <c:pt idx="20">
                  <c:v>25.930286989764099</c:v>
                </c:pt>
                <c:pt idx="21">
                  <c:v>25.930731045426338</c:v>
                </c:pt>
                <c:pt idx="22">
                  <c:v>25.9311755333969</c:v>
                </c:pt>
                <c:pt idx="23">
                  <c:v>25.931620454315276</c:v>
                </c:pt>
                <c:pt idx="24">
                  <c:v>25.932065808822539</c:v>
                </c:pt>
                <c:pt idx="25">
                  <c:v>25.932511597560865</c:v>
                </c:pt>
                <c:pt idx="26">
                  <c:v>25.932957821173773</c:v>
                </c:pt>
                <c:pt idx="27">
                  <c:v>25.933404480306013</c:v>
                </c:pt>
                <c:pt idx="28">
                  <c:v>25.933851575603629</c:v>
                </c:pt>
                <c:pt idx="29">
                  <c:v>25.934299107714093</c:v>
                </c:pt>
                <c:pt idx="30">
                  <c:v>25.934747077285959</c:v>
                </c:pt>
                <c:pt idx="31">
                  <c:v>25.935195484969196</c:v>
                </c:pt>
                <c:pt idx="32">
                  <c:v>25.935644331415105</c:v>
                </c:pt>
                <c:pt idx="33">
                  <c:v>25.936093617276146</c:v>
                </c:pt>
                <c:pt idx="34">
                  <c:v>25.936543343206296</c:v>
                </c:pt>
                <c:pt idx="35">
                  <c:v>25.936993509860628</c:v>
                </c:pt>
                <c:pt idx="36">
                  <c:v>25.937444117895751</c:v>
                </c:pt>
                <c:pt idx="37">
                  <c:v>25.937895167969334</c:v>
                </c:pt>
                <c:pt idx="38">
                  <c:v>25.938346660740574</c:v>
                </c:pt>
                <c:pt idx="39">
                  <c:v>25.938798596869852</c:v>
                </c:pt>
                <c:pt idx="40">
                  <c:v>25.939250977019082</c:v>
                </c:pt>
                <c:pt idx="41">
                  <c:v>25.93970380185122</c:v>
                </c:pt>
                <c:pt idx="42">
                  <c:v>25.94015707203085</c:v>
                </c:pt>
                <c:pt idx="43">
                  <c:v>25.940610788223566</c:v>
                </c:pt>
                <c:pt idx="44">
                  <c:v>25.941064951096603</c:v>
                </c:pt>
                <c:pt idx="45">
                  <c:v>25.941519561318422</c:v>
                </c:pt>
                <c:pt idx="46">
                  <c:v>25.94197461955876</c:v>
                </c:pt>
                <c:pt idx="47">
                  <c:v>25.942430126488887</c:v>
                </c:pt>
                <c:pt idx="48">
                  <c:v>25.942886082781225</c:v>
                </c:pt>
                <c:pt idx="49">
                  <c:v>25.943342489109629</c:v>
                </c:pt>
                <c:pt idx="50">
                  <c:v>25.943799346149362</c:v>
                </c:pt>
                <c:pt idx="51">
                  <c:v>25.944256654577078</c:v>
                </c:pt>
                <c:pt idx="52">
                  <c:v>25.944714415070642</c:v>
                </c:pt>
                <c:pt idx="53">
                  <c:v>25.945172628309415</c:v>
                </c:pt>
                <c:pt idx="54">
                  <c:v>25.945631294974138</c:v>
                </c:pt>
                <c:pt idx="55">
                  <c:v>25.946090415746855</c:v>
                </c:pt>
                <c:pt idx="56">
                  <c:v>25.94654999131107</c:v>
                </c:pt>
                <c:pt idx="57">
                  <c:v>25.947010022351613</c:v>
                </c:pt>
                <c:pt idx="58">
                  <c:v>25.947470509554698</c:v>
                </c:pt>
                <c:pt idx="59">
                  <c:v>25.947931453608049</c:v>
                </c:pt>
                <c:pt idx="60">
                  <c:v>25.948392855200638</c:v>
                </c:pt>
                <c:pt idx="61">
                  <c:v>25.948854715022879</c:v>
                </c:pt>
                <c:pt idx="62">
                  <c:v>25.949317033766633</c:v>
                </c:pt>
                <c:pt idx="63">
                  <c:v>25.949779812125147</c:v>
                </c:pt>
                <c:pt idx="64">
                  <c:v>25.950243050793077</c:v>
                </c:pt>
                <c:pt idx="65">
                  <c:v>25.950706750466463</c:v>
                </c:pt>
                <c:pt idx="66">
                  <c:v>25.951170911842812</c:v>
                </c:pt>
                <c:pt idx="67">
                  <c:v>25.951635535621005</c:v>
                </c:pt>
                <c:pt idx="68">
                  <c:v>25.952100622501337</c:v>
                </c:pt>
                <c:pt idx="69">
                  <c:v>25.952566173185694</c:v>
                </c:pt>
                <c:pt idx="70">
                  <c:v>25.953032188377133</c:v>
                </c:pt>
                <c:pt idx="71">
                  <c:v>25.953498668780359</c:v>
                </c:pt>
                <c:pt idx="72">
                  <c:v>25.953965615101374</c:v>
                </c:pt>
                <c:pt idx="73">
                  <c:v>25.954433028047763</c:v>
                </c:pt>
                <c:pt idx="74">
                  <c:v>25.954900908328415</c:v>
                </c:pt>
                <c:pt idx="75">
                  <c:v>25.955369256653782</c:v>
                </c:pt>
                <c:pt idx="76">
                  <c:v>25.955838073735684</c:v>
                </c:pt>
                <c:pt idx="77">
                  <c:v>25.956307360287457</c:v>
                </c:pt>
                <c:pt idx="78">
                  <c:v>25.956777117023925</c:v>
                </c:pt>
                <c:pt idx="79">
                  <c:v>25.957247344661258</c:v>
                </c:pt>
                <c:pt idx="80">
                  <c:v>25.957718043917215</c:v>
                </c:pt>
                <c:pt idx="81">
                  <c:v>25.958189215511023</c:v>
                </c:pt>
                <c:pt idx="82">
                  <c:v>25.958660860163306</c:v>
                </c:pt>
                <c:pt idx="83">
                  <c:v>25.959132978596241</c:v>
                </c:pt>
                <c:pt idx="84">
                  <c:v>25.959605571533451</c:v>
                </c:pt>
                <c:pt idx="85">
                  <c:v>25.960078639699983</c:v>
                </c:pt>
                <c:pt idx="86">
                  <c:v>25.960552183822568</c:v>
                </c:pt>
                <c:pt idx="87">
                  <c:v>25.961026204629221</c:v>
                </c:pt>
                <c:pt idx="88">
                  <c:v>25.961500702849687</c:v>
                </c:pt>
                <c:pt idx="89">
                  <c:v>25.961975679214959</c:v>
                </c:pt>
                <c:pt idx="90">
                  <c:v>25.962451134457705</c:v>
                </c:pt>
                <c:pt idx="91">
                  <c:v>25.96292706931203</c:v>
                </c:pt>
                <c:pt idx="92">
                  <c:v>25.963403484513638</c:v>
                </c:pt>
                <c:pt idx="93">
                  <c:v>25.963880380799708</c:v>
                </c:pt>
                <c:pt idx="94">
                  <c:v>25.964357758908871</c:v>
                </c:pt>
                <c:pt idx="95">
                  <c:v>25.964835619581383</c:v>
                </c:pt>
                <c:pt idx="96">
                  <c:v>25.965313963559062</c:v>
                </c:pt>
                <c:pt idx="97">
                  <c:v>25.965792791585098</c:v>
                </c:pt>
                <c:pt idx="98">
                  <c:v>25.966272104404386</c:v>
                </c:pt>
                <c:pt idx="99">
                  <c:v>25.966751902763303</c:v>
                </c:pt>
                <c:pt idx="100">
                  <c:v>25.967232187409682</c:v>
                </c:pt>
                <c:pt idx="101">
                  <c:v>25.967712959093166</c:v>
                </c:pt>
                <c:pt idx="102">
                  <c:v>25.968194218564637</c:v>
                </c:pt>
                <c:pt idx="103">
                  <c:v>25.968675966576786</c:v>
                </c:pt>
                <c:pt idx="104">
                  <c:v>25.969158203883701</c:v>
                </c:pt>
                <c:pt idx="105">
                  <c:v>25.969640931241116</c:v>
                </c:pt>
                <c:pt idx="106">
                  <c:v>25.970124149406377</c:v>
                </c:pt>
                <c:pt idx="107">
                  <c:v>25.970607859138333</c:v>
                </c:pt>
                <c:pt idx="108">
                  <c:v>25.971092061197446</c:v>
                </c:pt>
                <c:pt idx="109">
                  <c:v>25.97157675634573</c:v>
                </c:pt>
                <c:pt idx="110">
                  <c:v>25.972061945346816</c:v>
                </c:pt>
                <c:pt idx="111">
                  <c:v>25.972547628965891</c:v>
                </c:pt>
                <c:pt idx="112">
                  <c:v>25.97303380796988</c:v>
                </c:pt>
                <c:pt idx="113">
                  <c:v>25.973520483127132</c:v>
                </c:pt>
                <c:pt idx="114">
                  <c:v>25.974007655207657</c:v>
                </c:pt>
                <c:pt idx="115">
                  <c:v>25.974495324983181</c:v>
                </c:pt>
                <c:pt idx="116">
                  <c:v>25.97498349322683</c:v>
                </c:pt>
                <c:pt idx="117">
                  <c:v>25.975472160713565</c:v>
                </c:pt>
                <c:pt idx="118">
                  <c:v>25.975961328219814</c:v>
                </c:pt>
                <c:pt idx="119">
                  <c:v>25.97645099652372</c:v>
                </c:pt>
                <c:pt idx="120">
                  <c:v>25.976941166405073</c:v>
                </c:pt>
                <c:pt idx="121">
                  <c:v>25.977431838645209</c:v>
                </c:pt>
                <c:pt idx="122">
                  <c:v>25.977923014027201</c:v>
                </c:pt>
                <c:pt idx="123">
                  <c:v>25.978414693335679</c:v>
                </c:pt>
                <c:pt idx="124">
                  <c:v>25.978906877356973</c:v>
                </c:pt>
                <c:pt idx="125">
                  <c:v>25.979399566879021</c:v>
                </c:pt>
                <c:pt idx="126">
                  <c:v>25.979892762691492</c:v>
                </c:pt>
                <c:pt idx="127">
                  <c:v>25.980386465585664</c:v>
                </c:pt>
                <c:pt idx="128">
                  <c:v>25.980880676354488</c:v>
                </c:pt>
                <c:pt idx="129">
                  <c:v>25.981375395792654</c:v>
                </c:pt>
                <c:pt idx="130">
                  <c:v>25.981870624696377</c:v>
                </c:pt>
                <c:pt idx="131">
                  <c:v>25.982366363863676</c:v>
                </c:pt>
                <c:pt idx="132">
                  <c:v>25.982862614094255</c:v>
                </c:pt>
                <c:pt idx="133">
                  <c:v>25.983359376189384</c:v>
                </c:pt>
                <c:pt idx="134">
                  <c:v>25.98385665095218</c:v>
                </c:pt>
                <c:pt idx="135">
                  <c:v>25.984354439187332</c:v>
                </c:pt>
                <c:pt idx="136">
                  <c:v>25.984852741701371</c:v>
                </c:pt>
                <c:pt idx="137">
                  <c:v>25.985351559302366</c:v>
                </c:pt>
                <c:pt idx="138">
                  <c:v>25.985850892800208</c:v>
                </c:pt>
                <c:pt idx="139">
                  <c:v>25.986350743006504</c:v>
                </c:pt>
                <c:pt idx="140">
                  <c:v>25.986851110734566</c:v>
                </c:pt>
                <c:pt idx="141">
                  <c:v>25.98735199679934</c:v>
                </c:pt>
                <c:pt idx="142">
                  <c:v>25.987853402017667</c:v>
                </c:pt>
                <c:pt idx="143">
                  <c:v>25.988355327207952</c:v>
                </c:pt>
                <c:pt idx="144">
                  <c:v>25.988857773190539</c:v>
                </c:pt>
                <c:pt idx="145">
                  <c:v>25.989360740787287</c:v>
                </c:pt>
                <c:pt idx="146">
                  <c:v>25.989864230821951</c:v>
                </c:pt>
                <c:pt idx="147">
                  <c:v>25.990368244120024</c:v>
                </c:pt>
                <c:pt idx="148">
                  <c:v>25.990872781508738</c:v>
                </c:pt>
                <c:pt idx="149">
                  <c:v>25.99137784381707</c:v>
                </c:pt>
                <c:pt idx="150">
                  <c:v>25.991883431875767</c:v>
                </c:pt>
                <c:pt idx="151">
                  <c:v>25.992389546517366</c:v>
                </c:pt>
                <c:pt idx="152">
                  <c:v>25.992896188576172</c:v>
                </c:pt>
                <c:pt idx="153">
                  <c:v>25.993403358888276</c:v>
                </c:pt>
                <c:pt idx="154">
                  <c:v>25.993911058291566</c:v>
                </c:pt>
                <c:pt idx="155">
                  <c:v>25.9944192876257</c:v>
                </c:pt>
                <c:pt idx="156">
                  <c:v>25.994928047732103</c:v>
                </c:pt>
                <c:pt idx="157">
                  <c:v>25.995437339454096</c:v>
                </c:pt>
                <c:pt idx="158">
                  <c:v>25.995947163636693</c:v>
                </c:pt>
                <c:pt idx="159">
                  <c:v>25.9964575211268</c:v>
                </c:pt>
                <c:pt idx="160">
                  <c:v>25.996968412773086</c:v>
                </c:pt>
                <c:pt idx="161">
                  <c:v>25.997479839426081</c:v>
                </c:pt>
                <c:pt idx="162">
                  <c:v>25.997991801938053</c:v>
                </c:pt>
                <c:pt idx="163">
                  <c:v>25.998504301163312</c:v>
                </c:pt>
                <c:pt idx="164">
                  <c:v>25.999017337957699</c:v>
                </c:pt>
                <c:pt idx="165">
                  <c:v>25.999530913179147</c:v>
                </c:pt>
                <c:pt idx="166">
                  <c:v>26.000045027687378</c:v>
                </c:pt>
                <c:pt idx="167">
                  <c:v>26.000559682343809</c:v>
                </c:pt>
                <c:pt idx="168">
                  <c:v>26.001074878011909</c:v>
                </c:pt>
                <c:pt idx="169">
                  <c:v>26.001590615556911</c:v>
                </c:pt>
                <c:pt idx="170">
                  <c:v>26.002106895845852</c:v>
                </c:pt>
                <c:pt idx="171">
                  <c:v>26.002623719747898</c:v>
                </c:pt>
                <c:pt idx="172">
                  <c:v>26.003141088133706</c:v>
                </c:pt>
                <c:pt idx="173">
                  <c:v>26.003659001876152</c:v>
                </c:pt>
                <c:pt idx="174">
                  <c:v>26.004177461849782</c:v>
                </c:pt>
                <c:pt idx="175">
                  <c:v>26.004696468931137</c:v>
                </c:pt>
                <c:pt idx="176">
                  <c:v>26.005216023998706</c:v>
                </c:pt>
                <c:pt idx="177">
                  <c:v>26.005736127932632</c:v>
                </c:pt>
                <c:pt idx="178">
                  <c:v>26.006256781615253</c:v>
                </c:pt>
                <c:pt idx="179">
                  <c:v>26.006777985930643</c:v>
                </c:pt>
                <c:pt idx="180">
                  <c:v>26.007299741764903</c:v>
                </c:pt>
                <c:pt idx="181">
                  <c:v>26.007822050005913</c:v>
                </c:pt>
                <c:pt idx="182">
                  <c:v>26.008344911543638</c:v>
                </c:pt>
                <c:pt idx="183">
                  <c:v>26.008868327269891</c:v>
                </c:pt>
                <c:pt idx="184">
                  <c:v>26.009392298078378</c:v>
                </c:pt>
                <c:pt idx="185">
                  <c:v>26.009916824864881</c:v>
                </c:pt>
                <c:pt idx="186">
                  <c:v>26.010441908527</c:v>
                </c:pt>
                <c:pt idx="187">
                  <c:v>26.010967549964349</c:v>
                </c:pt>
                <c:pt idx="188">
                  <c:v>26.01149375007844</c:v>
                </c:pt>
                <c:pt idx="189">
                  <c:v>26.012020509772924</c:v>
                </c:pt>
                <c:pt idx="190">
                  <c:v>26.012547829953157</c:v>
                </c:pt>
                <c:pt idx="191">
                  <c:v>26.01307571152671</c:v>
                </c:pt>
                <c:pt idx="192">
                  <c:v>26.013604155403002</c:v>
                </c:pt>
                <c:pt idx="193">
                  <c:v>26.01413316249343</c:v>
                </c:pt>
                <c:pt idx="194">
                  <c:v>26.014662733711535</c:v>
                </c:pt>
                <c:pt idx="195">
                  <c:v>26.01519286997263</c:v>
                </c:pt>
                <c:pt idx="196">
                  <c:v>26.015723572194158</c:v>
                </c:pt>
                <c:pt idx="197">
                  <c:v>26.016254841295591</c:v>
                </c:pt>
                <c:pt idx="198">
                  <c:v>26.016786678198351</c:v>
                </c:pt>
                <c:pt idx="199">
                  <c:v>26.017319083825907</c:v>
                </c:pt>
                <c:pt idx="200">
                  <c:v>26.01785205910382</c:v>
                </c:pt>
                <c:pt idx="201">
                  <c:v>26.018385604959462</c:v>
                </c:pt>
                <c:pt idx="202">
                  <c:v>26.018919722322536</c:v>
                </c:pt>
                <c:pt idx="203">
                  <c:v>26.019454412124531</c:v>
                </c:pt>
                <c:pt idx="204">
                  <c:v>26.019989675299161</c:v>
                </c:pt>
                <c:pt idx="205">
                  <c:v>26.020525512782065</c:v>
                </c:pt>
                <c:pt idx="206">
                  <c:v>26.021061925511027</c:v>
                </c:pt>
                <c:pt idx="207">
                  <c:v>26.02159891442593</c:v>
                </c:pt>
                <c:pt idx="208">
                  <c:v>26.022136480468571</c:v>
                </c:pt>
                <c:pt idx="209">
                  <c:v>26.022674624582901</c:v>
                </c:pt>
                <c:pt idx="210">
                  <c:v>26.0232133477151</c:v>
                </c:pt>
                <c:pt idx="211">
                  <c:v>26.023752650813115</c:v>
                </c:pt>
                <c:pt idx="212">
                  <c:v>26.024292534827293</c:v>
                </c:pt>
                <c:pt idx="213">
                  <c:v>26.024833000709926</c:v>
                </c:pt>
                <c:pt idx="214">
                  <c:v>26.025374049415426</c:v>
                </c:pt>
                <c:pt idx="215">
                  <c:v>26.025915681900397</c:v>
                </c:pt>
                <c:pt idx="216">
                  <c:v>26.026457899123404</c:v>
                </c:pt>
                <c:pt idx="217">
                  <c:v>26.02700070204525</c:v>
                </c:pt>
                <c:pt idx="218">
                  <c:v>26.027544091628851</c:v>
                </c:pt>
                <c:pt idx="219">
                  <c:v>26.028088068839224</c:v>
                </c:pt>
                <c:pt idx="220">
                  <c:v>26.0286326346436</c:v>
                </c:pt>
                <c:pt idx="221">
                  <c:v>26.029177790011236</c:v>
                </c:pt>
                <c:pt idx="222">
                  <c:v>26.029723535913668</c:v>
                </c:pt>
                <c:pt idx="223">
                  <c:v>26.030269873324496</c:v>
                </c:pt>
                <c:pt idx="224">
                  <c:v>26.030816803219473</c:v>
                </c:pt>
                <c:pt idx="225">
                  <c:v>26.031364326576607</c:v>
                </c:pt>
                <c:pt idx="226">
                  <c:v>26.031912444376069</c:v>
                </c:pt>
                <c:pt idx="227">
                  <c:v>26.032461157600171</c:v>
                </c:pt>
                <c:pt idx="228">
                  <c:v>26.033010467233368</c:v>
                </c:pt>
                <c:pt idx="229">
                  <c:v>26.033560374262422</c:v>
                </c:pt>
                <c:pt idx="230">
                  <c:v>26.034110879676284</c:v>
                </c:pt>
                <c:pt idx="231">
                  <c:v>26.034661984465988</c:v>
                </c:pt>
                <c:pt idx="232">
                  <c:v>26.035213689624843</c:v>
                </c:pt>
                <c:pt idx="233">
                  <c:v>26.03576599614852</c:v>
                </c:pt>
                <c:pt idx="234">
                  <c:v>26.03631890503463</c:v>
                </c:pt>
                <c:pt idx="235">
                  <c:v>26.036872417283334</c:v>
                </c:pt>
                <c:pt idx="236">
                  <c:v>26.037426533896763</c:v>
                </c:pt>
                <c:pt idx="237">
                  <c:v>26.037981255879483</c:v>
                </c:pt>
                <c:pt idx="238">
                  <c:v>26.038536584238162</c:v>
                </c:pt>
                <c:pt idx="239">
                  <c:v>26.039092519981761</c:v>
                </c:pt>
                <c:pt idx="240">
                  <c:v>26.039649064121665</c:v>
                </c:pt>
                <c:pt idx="241">
                  <c:v>26.040206217671351</c:v>
                </c:pt>
                <c:pt idx="242">
                  <c:v>26.04076398164657</c:v>
                </c:pt>
                <c:pt idx="243">
                  <c:v>26.041322357065468</c:v>
                </c:pt>
                <c:pt idx="244">
                  <c:v>26.041881344948408</c:v>
                </c:pt>
                <c:pt idx="245">
                  <c:v>26.042440946318013</c:v>
                </c:pt>
                <c:pt idx="246">
                  <c:v>26.043001162199346</c:v>
                </c:pt>
                <c:pt idx="247">
                  <c:v>26.043561993619669</c:v>
                </c:pt>
                <c:pt idx="248">
                  <c:v>26.044123441608495</c:v>
                </c:pt>
                <c:pt idx="249">
                  <c:v>26.04468550719784</c:v>
                </c:pt>
                <c:pt idx="250">
                  <c:v>26.045248191421845</c:v>
                </c:pt>
                <c:pt idx="251">
                  <c:v>26.045811495317224</c:v>
                </c:pt>
                <c:pt idx="252">
                  <c:v>26.046375419922835</c:v>
                </c:pt>
                <c:pt idx="253">
                  <c:v>26.046939966279943</c:v>
                </c:pt>
                <c:pt idx="254">
                  <c:v>26.047505135432171</c:v>
                </c:pt>
                <c:pt idx="255">
                  <c:v>26.04807092842556</c:v>
                </c:pt>
                <c:pt idx="256">
                  <c:v>26.048637346308421</c:v>
                </c:pt>
                <c:pt idx="257">
                  <c:v>26.0492043901315</c:v>
                </c:pt>
                <c:pt idx="258">
                  <c:v>26.049772060947941</c:v>
                </c:pt>
                <c:pt idx="259">
                  <c:v>26.050340359813234</c:v>
                </c:pt>
                <c:pt idx="260">
                  <c:v>26.050909287785252</c:v>
                </c:pt>
                <c:pt idx="261">
                  <c:v>26.051478845924304</c:v>
                </c:pt>
                <c:pt idx="262">
                  <c:v>26.052049035293134</c:v>
                </c:pt>
                <c:pt idx="263">
                  <c:v>26.052619856956838</c:v>
                </c:pt>
                <c:pt idx="264">
                  <c:v>26.053191311983039</c:v>
                </c:pt>
                <c:pt idx="265">
                  <c:v>26.053763401441657</c:v>
                </c:pt>
                <c:pt idx="266">
                  <c:v>26.054336126405076</c:v>
                </c:pt>
                <c:pt idx="267">
                  <c:v>26.05490948794824</c:v>
                </c:pt>
                <c:pt idx="268">
                  <c:v>26.055483487148454</c:v>
                </c:pt>
                <c:pt idx="269">
                  <c:v>26.056058125085432</c:v>
                </c:pt>
                <c:pt idx="270">
                  <c:v>26.056633402841506</c:v>
                </c:pt>
                <c:pt idx="271">
                  <c:v>26.057209321501311</c:v>
                </c:pt>
                <c:pt idx="272">
                  <c:v>26.057785882152057</c:v>
                </c:pt>
                <c:pt idx="273">
                  <c:v>26.05836308588345</c:v>
                </c:pt>
                <c:pt idx="274">
                  <c:v>26.058940933787628</c:v>
                </c:pt>
                <c:pt idx="275">
                  <c:v>26.059519426959262</c:v>
                </c:pt>
                <c:pt idx="276">
                  <c:v>26.060098566495608</c:v>
                </c:pt>
                <c:pt idx="277">
                  <c:v>26.060678353496275</c:v>
                </c:pt>
                <c:pt idx="278">
                  <c:v>26.061258789063572</c:v>
                </c:pt>
                <c:pt idx="279">
                  <c:v>26.06183987430213</c:v>
                </c:pt>
                <c:pt idx="280">
                  <c:v>26.062421610319333</c:v>
                </c:pt>
                <c:pt idx="281">
                  <c:v>26.063003998224971</c:v>
                </c:pt>
                <c:pt idx="282">
                  <c:v>26.063587039131466</c:v>
                </c:pt>
                <c:pt idx="283">
                  <c:v>26.064170734153741</c:v>
                </c:pt>
                <c:pt idx="284">
                  <c:v>26.06475508440932</c:v>
                </c:pt>
                <c:pt idx="285">
                  <c:v>26.06534009101831</c:v>
                </c:pt>
                <c:pt idx="286">
                  <c:v>26.065925755103351</c:v>
                </c:pt>
                <c:pt idx="287">
                  <c:v>26.066512077789643</c:v>
                </c:pt>
                <c:pt idx="288">
                  <c:v>26.067099060205198</c:v>
                </c:pt>
                <c:pt idx="289">
                  <c:v>26.067686703480312</c:v>
                </c:pt>
                <c:pt idx="290">
                  <c:v>26.068275008748131</c:v>
                </c:pt>
                <c:pt idx="291">
                  <c:v>26.068863977144364</c:v>
                </c:pt>
                <c:pt idx="292">
                  <c:v>26.069453609807336</c:v>
                </c:pt>
                <c:pt idx="293">
                  <c:v>26.07004390787792</c:v>
                </c:pt>
                <c:pt idx="294">
                  <c:v>26.070634872499838</c:v>
                </c:pt>
                <c:pt idx="295">
                  <c:v>26.071226504819272</c:v>
                </c:pt>
                <c:pt idx="296">
                  <c:v>26.071818805985139</c:v>
                </c:pt>
                <c:pt idx="297">
                  <c:v>26.07241177714895</c:v>
                </c:pt>
                <c:pt idx="298">
                  <c:v>26.073005419465073</c:v>
                </c:pt>
                <c:pt idx="299">
                  <c:v>26.073599734090326</c:v>
                </c:pt>
                <c:pt idx="300">
                  <c:v>26.074194722184391</c:v>
                </c:pt>
                <c:pt idx="301">
                  <c:v>26.074790384909562</c:v>
                </c:pt>
                <c:pt idx="302">
                  <c:v>26.075386723430899</c:v>
                </c:pt>
                <c:pt idx="303">
                  <c:v>26.075983738916086</c:v>
                </c:pt>
                <c:pt idx="304">
                  <c:v>26.076581432535594</c:v>
                </c:pt>
                <c:pt idx="305">
                  <c:v>26.077179805462649</c:v>
                </c:pt>
                <c:pt idx="306">
                  <c:v>26.077778858873103</c:v>
                </c:pt>
                <c:pt idx="307">
                  <c:v>26.078378593945683</c:v>
                </c:pt>
                <c:pt idx="308">
                  <c:v>26.078979011861765</c:v>
                </c:pt>
                <c:pt idx="309">
                  <c:v>26.079580113805584</c:v>
                </c:pt>
                <c:pt idx="310">
                  <c:v>26.080181900964032</c:v>
                </c:pt>
                <c:pt idx="311">
                  <c:v>26.08078437452691</c:v>
                </c:pt>
                <c:pt idx="312">
                  <c:v>26.081387535686684</c:v>
                </c:pt>
                <c:pt idx="313">
                  <c:v>26.081991385638663</c:v>
                </c:pt>
                <c:pt idx="314">
                  <c:v>26.082595925580996</c:v>
                </c:pt>
                <c:pt idx="315">
                  <c:v>26.083201156714598</c:v>
                </c:pt>
                <c:pt idx="316">
                  <c:v>26.083807080243226</c:v>
                </c:pt>
                <c:pt idx="317">
                  <c:v>26.084413697373364</c:v>
                </c:pt>
                <c:pt idx="318">
                  <c:v>26.085021009314559</c:v>
                </c:pt>
                <c:pt idx="319">
                  <c:v>26.085629017278968</c:v>
                </c:pt>
                <c:pt idx="320">
                  <c:v>26.086237722481716</c:v>
                </c:pt>
                <c:pt idx="321">
                  <c:v>26.086847126140793</c:v>
                </c:pt>
                <c:pt idx="322">
                  <c:v>26.08745722947701</c:v>
                </c:pt>
                <c:pt idx="323">
                  <c:v>26.088068033714109</c:v>
                </c:pt>
                <c:pt idx="324">
                  <c:v>26.088679540078633</c:v>
                </c:pt>
                <c:pt idx="325">
                  <c:v>26.089291749800154</c:v>
                </c:pt>
                <c:pt idx="326">
                  <c:v>26.089904664111017</c:v>
                </c:pt>
                <c:pt idx="327">
                  <c:v>26.090518284246581</c:v>
                </c:pt>
                <c:pt idx="328">
                  <c:v>26.091132611445033</c:v>
                </c:pt>
                <c:pt idx="329">
                  <c:v>26.091747646947582</c:v>
                </c:pt>
                <c:pt idx="330">
                  <c:v>26.092363391998255</c:v>
                </c:pt>
                <c:pt idx="331">
                  <c:v>26.092979847844244</c:v>
                </c:pt>
                <c:pt idx="332">
                  <c:v>26.093597015735426</c:v>
                </c:pt>
                <c:pt idx="333">
                  <c:v>26.094214896924836</c:v>
                </c:pt>
                <c:pt idx="334">
                  <c:v>26.094833492668378</c:v>
                </c:pt>
                <c:pt idx="335">
                  <c:v>26.095452804225054</c:v>
                </c:pt>
                <c:pt idx="336">
                  <c:v>26.096072832856724</c:v>
                </c:pt>
                <c:pt idx="337">
                  <c:v>26.096693579828337</c:v>
                </c:pt>
                <c:pt idx="338">
                  <c:v>26.097315046407807</c:v>
                </c:pt>
                <c:pt idx="339">
                  <c:v>26.097937233866144</c:v>
                </c:pt>
                <c:pt idx="340">
                  <c:v>26.098560143477293</c:v>
                </c:pt>
                <c:pt idx="341">
                  <c:v>26.099183776518242</c:v>
                </c:pt>
                <c:pt idx="342">
                  <c:v>26.099808134269047</c:v>
                </c:pt>
                <c:pt idx="343">
                  <c:v>26.100433218012924</c:v>
                </c:pt>
                <c:pt idx="344">
                  <c:v>26.101059029035987</c:v>
                </c:pt>
                <c:pt idx="345">
                  <c:v>26.101685568627488</c:v>
                </c:pt>
                <c:pt idx="346">
                  <c:v>26.102312838079786</c:v>
                </c:pt>
                <c:pt idx="347">
                  <c:v>26.10294083868833</c:v>
                </c:pt>
                <c:pt idx="348">
                  <c:v>26.10356957175161</c:v>
                </c:pt>
                <c:pt idx="349">
                  <c:v>26.10419903857137</c:v>
                </c:pt>
                <c:pt idx="350">
                  <c:v>26.10482924045229</c:v>
                </c:pt>
                <c:pt idx="351">
                  <c:v>26.105460178702284</c:v>
                </c:pt>
                <c:pt idx="352">
                  <c:v>26.106091854632403</c:v>
                </c:pt>
                <c:pt idx="353">
                  <c:v>26.106724269556832</c:v>
                </c:pt>
                <c:pt idx="354">
                  <c:v>26.107357424792923</c:v>
                </c:pt>
                <c:pt idx="355">
                  <c:v>26.107991321661189</c:v>
                </c:pt>
                <c:pt idx="356">
                  <c:v>26.108625961485288</c:v>
                </c:pt>
                <c:pt idx="357">
                  <c:v>26.109261345592166</c:v>
                </c:pt>
                <c:pt idx="358">
                  <c:v>26.109897475311847</c:v>
                </c:pt>
                <c:pt idx="359">
                  <c:v>26.110534351977645</c:v>
                </c:pt>
                <c:pt idx="360">
                  <c:v>26.111171976926041</c:v>
                </c:pt>
                <c:pt idx="361">
                  <c:v>26.111810351496739</c:v>
                </c:pt>
                <c:pt idx="362">
                  <c:v>26.11244947703274</c:v>
                </c:pt>
                <c:pt idx="363">
                  <c:v>26.113089354880238</c:v>
                </c:pt>
                <c:pt idx="364">
                  <c:v>26.113729986388748</c:v>
                </c:pt>
                <c:pt idx="365">
                  <c:v>26.114371372910941</c:v>
                </c:pt>
                <c:pt idx="366">
                  <c:v>26.115013515802783</c:v>
                </c:pt>
                <c:pt idx="367">
                  <c:v>26.115656416423686</c:v>
                </c:pt>
                <c:pt idx="368">
                  <c:v>26.116300076136127</c:v>
                </c:pt>
                <c:pt idx="369">
                  <c:v>26.116944496306051</c:v>
                </c:pt>
                <c:pt idx="370">
                  <c:v>26.117589678302675</c:v>
                </c:pt>
                <c:pt idx="371">
                  <c:v>26.118235623498528</c:v>
                </c:pt>
                <c:pt idx="372">
                  <c:v>26.118882333269518</c:v>
                </c:pt>
                <c:pt idx="373">
                  <c:v>26.119529808994784</c:v>
                </c:pt>
                <c:pt idx="374">
                  <c:v>26.120178052056939</c:v>
                </c:pt>
                <c:pt idx="375">
                  <c:v>26.120827063842</c:v>
                </c:pt>
                <c:pt idx="376">
                  <c:v>26.121476845739178</c:v>
                </c:pt>
                <c:pt idx="377">
                  <c:v>26.122127399141249</c:v>
                </c:pt>
                <c:pt idx="378">
                  <c:v>26.122778725444324</c:v>
                </c:pt>
                <c:pt idx="379">
                  <c:v>26.12343082604788</c:v>
                </c:pt>
                <c:pt idx="380">
                  <c:v>26.124083702354849</c:v>
                </c:pt>
                <c:pt idx="381">
                  <c:v>26.124737355771742</c:v>
                </c:pt>
                <c:pt idx="382">
                  <c:v>26.125391787708146</c:v>
                </c:pt>
                <c:pt idx="383">
                  <c:v>26.126046999577476</c:v>
                </c:pt>
                <c:pt idx="384">
                  <c:v>26.126702992796439</c:v>
                </c:pt>
                <c:pt idx="385">
                  <c:v>26.12735976878519</c:v>
                </c:pt>
                <c:pt idx="386">
                  <c:v>26.128017328967392</c:v>
                </c:pt>
                <c:pt idx="387">
                  <c:v>26.12867567477025</c:v>
                </c:pt>
                <c:pt idx="388">
                  <c:v>26.129334807624442</c:v>
                </c:pt>
                <c:pt idx="389">
                  <c:v>26.129994728964132</c:v>
                </c:pt>
                <c:pt idx="390">
                  <c:v>26.130655440227073</c:v>
                </c:pt>
                <c:pt idx="391">
                  <c:v>26.131316942854514</c:v>
                </c:pt>
                <c:pt idx="392">
                  <c:v>26.131979238291262</c:v>
                </c:pt>
                <c:pt idx="393">
                  <c:v>26.132642327985668</c:v>
                </c:pt>
                <c:pt idx="394">
                  <c:v>26.133306213389655</c:v>
                </c:pt>
                <c:pt idx="395">
                  <c:v>26.133970895958818</c:v>
                </c:pt>
                <c:pt idx="396">
                  <c:v>26.134636377152159</c:v>
                </c:pt>
                <c:pt idx="397">
                  <c:v>26.135302658432501</c:v>
                </c:pt>
                <c:pt idx="398">
                  <c:v>26.135969741266088</c:v>
                </c:pt>
                <c:pt idx="399">
                  <c:v>26.136637627122898</c:v>
                </c:pt>
                <c:pt idx="400">
                  <c:v>26.137306317476529</c:v>
                </c:pt>
                <c:pt idx="401">
                  <c:v>26.137975813804292</c:v>
                </c:pt>
                <c:pt idx="402">
                  <c:v>26.138646117587037</c:v>
                </c:pt>
                <c:pt idx="403">
                  <c:v>26.139317230309342</c:v>
                </c:pt>
                <c:pt idx="404">
                  <c:v>26.13998915345945</c:v>
                </c:pt>
                <c:pt idx="405">
                  <c:v>26.140661888529323</c:v>
                </c:pt>
                <c:pt idx="406">
                  <c:v>26.141335437014664</c:v>
                </c:pt>
                <c:pt idx="407">
                  <c:v>26.142009800414804</c:v>
                </c:pt>
                <c:pt idx="408">
                  <c:v>26.142684980232922</c:v>
                </c:pt>
                <c:pt idx="409">
                  <c:v>26.143360977975828</c:v>
                </c:pt>
                <c:pt idx="410">
                  <c:v>26.14403779515413</c:v>
                </c:pt>
                <c:pt idx="411">
                  <c:v>26.144715433282212</c:v>
                </c:pt>
                <c:pt idx="412">
                  <c:v>26.145393893878268</c:v>
                </c:pt>
                <c:pt idx="413">
                  <c:v>26.146073178464118</c:v>
                </c:pt>
                <c:pt idx="414">
                  <c:v>26.146753288565623</c:v>
                </c:pt>
                <c:pt idx="415">
                  <c:v>26.147434225712335</c:v>
                </c:pt>
                <c:pt idx="416">
                  <c:v>26.148115991437511</c:v>
                </c:pt>
                <c:pt idx="417">
                  <c:v>26.148798587278506</c:v>
                </c:pt>
                <c:pt idx="418">
                  <c:v>26.149482014776318</c:v>
                </c:pt>
                <c:pt idx="419">
                  <c:v>26.150166275475872</c:v>
                </c:pt>
                <c:pt idx="420">
                  <c:v>26.150851370926024</c:v>
                </c:pt>
                <c:pt idx="421">
                  <c:v>26.151537302679429</c:v>
                </c:pt>
                <c:pt idx="422">
                  <c:v>26.152224072292615</c:v>
                </c:pt>
                <c:pt idx="423">
                  <c:v>26.152911681326174</c:v>
                </c:pt>
                <c:pt idx="424">
                  <c:v>26.153600131344486</c:v>
                </c:pt>
                <c:pt idx="425">
                  <c:v>26.15428942391587</c:v>
                </c:pt>
                <c:pt idx="426">
                  <c:v>26.154979560612663</c:v>
                </c:pt>
                <c:pt idx="427">
                  <c:v>26.155670543011176</c:v>
                </c:pt>
                <c:pt idx="428">
                  <c:v>26.156362372691554</c:v>
                </c:pt>
                <c:pt idx="429">
                  <c:v>26.157055051238093</c:v>
                </c:pt>
                <c:pt idx="430">
                  <c:v>26.15774858023893</c:v>
                </c:pt>
                <c:pt idx="431">
                  <c:v>26.158442961286401</c:v>
                </c:pt>
                <c:pt idx="432">
                  <c:v>26.159138195976674</c:v>
                </c:pt>
                <c:pt idx="433">
                  <c:v>26.159834285910108</c:v>
                </c:pt>
                <c:pt idx="434">
                  <c:v>26.160531232691017</c:v>
                </c:pt>
                <c:pt idx="435">
                  <c:v>26.1612290379278</c:v>
                </c:pt>
                <c:pt idx="436">
                  <c:v>26.161927703232966</c:v>
                </c:pt>
                <c:pt idx="437">
                  <c:v>26.162627230223048</c:v>
                </c:pt>
                <c:pt idx="438">
                  <c:v>26.163327620518707</c:v>
                </c:pt>
                <c:pt idx="439">
                  <c:v>26.164028875744794</c:v>
                </c:pt>
                <c:pt idx="440">
                  <c:v>26.164730997530214</c:v>
                </c:pt>
                <c:pt idx="441">
                  <c:v>26.165433987507917</c:v>
                </c:pt>
                <c:pt idx="442">
                  <c:v>26.166137847315245</c:v>
                </c:pt>
                <c:pt idx="443">
                  <c:v>26.166842578593506</c:v>
                </c:pt>
                <c:pt idx="444">
                  <c:v>26.167548182988256</c:v>
                </c:pt>
                <c:pt idx="445">
                  <c:v>26.168254662149334</c:v>
                </c:pt>
                <c:pt idx="446">
                  <c:v>26.168962017730593</c:v>
                </c:pt>
                <c:pt idx="447">
                  <c:v>26.16967025139024</c:v>
                </c:pt>
                <c:pt idx="448">
                  <c:v>26.170379364790733</c:v>
                </c:pt>
                <c:pt idx="449">
                  <c:v>26.171089359598767</c:v>
                </c:pt>
                <c:pt idx="450">
                  <c:v>26.171800237485204</c:v>
                </c:pt>
                <c:pt idx="451">
                  <c:v>26.172512000125245</c:v>
                </c:pt>
                <c:pt idx="452">
                  <c:v>26.173224649198481</c:v>
                </c:pt>
                <c:pt idx="453">
                  <c:v>26.173938186388611</c:v>
                </c:pt>
                <c:pt idx="454">
                  <c:v>26.17465261338387</c:v>
                </c:pt>
                <c:pt idx="455">
                  <c:v>26.175367931876636</c:v>
                </c:pt>
                <c:pt idx="456">
                  <c:v>26.176084143563681</c:v>
                </c:pt>
                <c:pt idx="457">
                  <c:v>26.176801250146198</c:v>
                </c:pt>
                <c:pt idx="458">
                  <c:v>26.177519253329773</c:v>
                </c:pt>
                <c:pt idx="459">
                  <c:v>26.178238154824264</c:v>
                </c:pt>
                <c:pt idx="460">
                  <c:v>26.17895795634405</c:v>
                </c:pt>
                <c:pt idx="461">
                  <c:v>26.179678659607813</c:v>
                </c:pt>
                <c:pt idx="462">
                  <c:v>26.180400266338765</c:v>
                </c:pt>
                <c:pt idx="463">
                  <c:v>26.18112277826453</c:v>
                </c:pt>
                <c:pt idx="464">
                  <c:v>26.181846197117174</c:v>
                </c:pt>
                <c:pt idx="465">
                  <c:v>26.182570524633288</c:v>
                </c:pt>
                <c:pt idx="466">
                  <c:v>26.183295762553865</c:v>
                </c:pt>
                <c:pt idx="467">
                  <c:v>26.184021912624484</c:v>
                </c:pt>
                <c:pt idx="468">
                  <c:v>26.184748976595195</c:v>
                </c:pt>
                <c:pt idx="469">
                  <c:v>26.185476956220661</c:v>
                </c:pt>
                <c:pt idx="470">
                  <c:v>26.186205853259946</c:v>
                </c:pt>
                <c:pt idx="471">
                  <c:v>26.186935669476895</c:v>
                </c:pt>
                <c:pt idx="472">
                  <c:v>26.187666406639647</c:v>
                </c:pt>
                <c:pt idx="473">
                  <c:v>26.188398066521181</c:v>
                </c:pt>
                <c:pt idx="474">
                  <c:v>26.189130650898996</c:v>
                </c:pt>
                <c:pt idx="475">
                  <c:v>26.189864161555207</c:v>
                </c:pt>
                <c:pt idx="476">
                  <c:v>26.190598600276537</c:v>
                </c:pt>
                <c:pt idx="477">
                  <c:v>26.191333968854451</c:v>
                </c:pt>
                <c:pt idx="478">
                  <c:v>26.192070269084997</c:v>
                </c:pt>
                <c:pt idx="479">
                  <c:v>26.192807502768893</c:v>
                </c:pt>
                <c:pt idx="480">
                  <c:v>26.193545671711725</c:v>
                </c:pt>
                <c:pt idx="481">
                  <c:v>26.194284777723588</c:v>
                </c:pt>
                <c:pt idx="482">
                  <c:v>26.195024822619459</c:v>
                </c:pt>
                <c:pt idx="483">
                  <c:v>26.195765808218887</c:v>
                </c:pt>
                <c:pt idx="484">
                  <c:v>26.196507736346405</c:v>
                </c:pt>
                <c:pt idx="485">
                  <c:v>26.197250608831208</c:v>
                </c:pt>
                <c:pt idx="486">
                  <c:v>26.197994427507282</c:v>
                </c:pt>
                <c:pt idx="487">
                  <c:v>26.198739194213331</c:v>
                </c:pt>
                <c:pt idx="488">
                  <c:v>26.199484910793164</c:v>
                </c:pt>
                <c:pt idx="489">
                  <c:v>26.200231579095142</c:v>
                </c:pt>
                <c:pt idx="490">
                  <c:v>26.200979200972615</c:v>
                </c:pt>
                <c:pt idx="491">
                  <c:v>26.201727778283772</c:v>
                </c:pt>
                <c:pt idx="492">
                  <c:v>26.202477312891762</c:v>
                </c:pt>
                <c:pt idx="493">
                  <c:v>26.203227806664533</c:v>
                </c:pt>
                <c:pt idx="494">
                  <c:v>26.203979261475052</c:v>
                </c:pt>
                <c:pt idx="495">
                  <c:v>26.204731679201167</c:v>
                </c:pt>
                <c:pt idx="496">
                  <c:v>26.205485061725678</c:v>
                </c:pt>
                <c:pt idx="497">
                  <c:v>26.206239410936419</c:v>
                </c:pt>
                <c:pt idx="498">
                  <c:v>26.206994728726141</c:v>
                </c:pt>
                <c:pt idx="499">
                  <c:v>26.207751016992624</c:v>
                </c:pt>
                <c:pt idx="500">
                  <c:v>26.208508277638735</c:v>
                </c:pt>
                <c:pt idx="501">
                  <c:v>26.209266512572249</c:v>
                </c:pt>
                <c:pt idx="502">
                  <c:v>26.210025723706131</c:v>
                </c:pt>
                <c:pt idx="503">
                  <c:v>26.210785912958297</c:v>
                </c:pt>
                <c:pt idx="504">
                  <c:v>26.211547082251869</c:v>
                </c:pt>
                <c:pt idx="505">
                  <c:v>26.212309233514997</c:v>
                </c:pt>
                <c:pt idx="506">
                  <c:v>26.213072368680923</c:v>
                </c:pt>
                <c:pt idx="507">
                  <c:v>26.213836489688216</c:v>
                </c:pt>
                <c:pt idx="508">
                  <c:v>26.214601598480336</c:v>
                </c:pt>
                <c:pt idx="509">
                  <c:v>26.215367697006123</c:v>
                </c:pt>
                <c:pt idx="510">
                  <c:v>26.216134787219552</c:v>
                </c:pt>
                <c:pt idx="511">
                  <c:v>26.216902871079757</c:v>
                </c:pt>
                <c:pt idx="512">
                  <c:v>26.217671950551157</c:v>
                </c:pt>
                <c:pt idx="513">
                  <c:v>26.218442027603402</c:v>
                </c:pt>
                <c:pt idx="514">
                  <c:v>26.219213104211462</c:v>
                </c:pt>
                <c:pt idx="515">
                  <c:v>26.21998518235538</c:v>
                </c:pt>
                <c:pt idx="516">
                  <c:v>26.220758264020841</c:v>
                </c:pt>
                <c:pt idx="517">
                  <c:v>26.221532351198469</c:v>
                </c:pt>
                <c:pt idx="518">
                  <c:v>26.222307445884557</c:v>
                </c:pt>
                <c:pt idx="519">
                  <c:v>26.223083550080514</c:v>
                </c:pt>
                <c:pt idx="520">
                  <c:v>26.223860665793254</c:v>
                </c:pt>
                <c:pt idx="521">
                  <c:v>26.224638795035023</c:v>
                </c:pt>
                <c:pt idx="522">
                  <c:v>26.225417939823444</c:v>
                </c:pt>
                <c:pt idx="523">
                  <c:v>26.226198102181648</c:v>
                </c:pt>
                <c:pt idx="524">
                  <c:v>26.226979284138149</c:v>
                </c:pt>
                <c:pt idx="525">
                  <c:v>26.22776148772703</c:v>
                </c:pt>
                <c:pt idx="526">
                  <c:v>26.22854471498767</c:v>
                </c:pt>
                <c:pt idx="527">
                  <c:v>26.229328967965085</c:v>
                </c:pt>
                <c:pt idx="528">
                  <c:v>26.230114248709722</c:v>
                </c:pt>
                <c:pt idx="529">
                  <c:v>26.230900559277714</c:v>
                </c:pt>
                <c:pt idx="530">
                  <c:v>26.231687901730577</c:v>
                </c:pt>
                <c:pt idx="531">
                  <c:v>26.232476278135557</c:v>
                </c:pt>
                <c:pt idx="532">
                  <c:v>26.233265690565307</c:v>
                </c:pt>
                <c:pt idx="533">
                  <c:v>26.234056141098268</c:v>
                </c:pt>
                <c:pt idx="534">
                  <c:v>26.2348476318185</c:v>
                </c:pt>
                <c:pt idx="535">
                  <c:v>26.235640164815546</c:v>
                </c:pt>
                <c:pt idx="536">
                  <c:v>26.23643374218485</c:v>
                </c:pt>
                <c:pt idx="537">
                  <c:v>26.237228366027335</c:v>
                </c:pt>
                <c:pt idx="538">
                  <c:v>26.238024038449797</c:v>
                </c:pt>
                <c:pt idx="539">
                  <c:v>26.238820761564703</c:v>
                </c:pt>
                <c:pt idx="540">
                  <c:v>26.239618537490237</c:v>
                </c:pt>
                <c:pt idx="541">
                  <c:v>26.240417368350425</c:v>
                </c:pt>
                <c:pt idx="542">
                  <c:v>26.241217256275004</c:v>
                </c:pt>
                <c:pt idx="543">
                  <c:v>26.242018203399553</c:v>
                </c:pt>
                <c:pt idx="544">
                  <c:v>26.242820211865514</c:v>
                </c:pt>
                <c:pt idx="545">
                  <c:v>26.243623283820135</c:v>
                </c:pt>
                <c:pt idx="546">
                  <c:v>26.244427421416571</c:v>
                </c:pt>
                <c:pt idx="547">
                  <c:v>26.245232626813738</c:v>
                </c:pt>
                <c:pt idx="548">
                  <c:v>26.246038902176725</c:v>
                </c:pt>
                <c:pt idx="549">
                  <c:v>26.246846249676278</c:v>
                </c:pt>
                <c:pt idx="550">
                  <c:v>26.247654671489212</c:v>
                </c:pt>
                <c:pt idx="551">
                  <c:v>26.248464169798396</c:v>
                </c:pt>
                <c:pt idx="552">
                  <c:v>26.24927474679254</c:v>
                </c:pt>
                <c:pt idx="553">
                  <c:v>26.25008640466643</c:v>
                </c:pt>
                <c:pt idx="554">
                  <c:v>26.250899145620917</c:v>
                </c:pt>
                <c:pt idx="555">
                  <c:v>26.251712971862876</c:v>
                </c:pt>
                <c:pt idx="556">
                  <c:v>26.252527885605268</c:v>
                </c:pt>
                <c:pt idx="557">
                  <c:v>26.253343889067136</c:v>
                </c:pt>
                <c:pt idx="558">
                  <c:v>26.254160984473671</c:v>
                </c:pt>
                <c:pt idx="559">
                  <c:v>26.254979174056174</c:v>
                </c:pt>
                <c:pt idx="560">
                  <c:v>26.255798460052084</c:v>
                </c:pt>
                <c:pt idx="561">
                  <c:v>26.256618844705098</c:v>
                </c:pt>
                <c:pt idx="562">
                  <c:v>26.257440330265037</c:v>
                </c:pt>
                <c:pt idx="563">
                  <c:v>26.258262918988077</c:v>
                </c:pt>
                <c:pt idx="564">
                  <c:v>26.259086613136446</c:v>
                </c:pt>
                <c:pt idx="565">
                  <c:v>26.259911414978834</c:v>
                </c:pt>
                <c:pt idx="566">
                  <c:v>26.260737326790046</c:v>
                </c:pt>
                <c:pt idx="567">
                  <c:v>26.261564350851348</c:v>
                </c:pt>
                <c:pt idx="568">
                  <c:v>26.262392489450267</c:v>
                </c:pt>
                <c:pt idx="569">
                  <c:v>26.263221744880695</c:v>
                </c:pt>
                <c:pt idx="570">
                  <c:v>26.264052119442983</c:v>
                </c:pt>
                <c:pt idx="571">
                  <c:v>26.264883615443733</c:v>
                </c:pt>
                <c:pt idx="572">
                  <c:v>26.265716235196134</c:v>
                </c:pt>
                <c:pt idx="573">
                  <c:v>26.266549981019637</c:v>
                </c:pt>
                <c:pt idx="574">
                  <c:v>26.267384855240394</c:v>
                </c:pt>
                <c:pt idx="575">
                  <c:v>26.268220860190841</c:v>
                </c:pt>
                <c:pt idx="576">
                  <c:v>26.269057998210059</c:v>
                </c:pt>
                <c:pt idx="577">
                  <c:v>26.269896271643578</c:v>
                </c:pt>
                <c:pt idx="578">
                  <c:v>26.270735682843565</c:v>
                </c:pt>
                <c:pt idx="579">
                  <c:v>26.271576234168823</c:v>
                </c:pt>
                <c:pt idx="580">
                  <c:v>26.272417927984574</c:v>
                </c:pt>
                <c:pt idx="581">
                  <c:v>26.273260766662812</c:v>
                </c:pt>
                <c:pt idx="582">
                  <c:v>26.274104752582218</c:v>
                </c:pt>
                <c:pt idx="583">
                  <c:v>26.27494988812801</c:v>
                </c:pt>
                <c:pt idx="584">
                  <c:v>26.275796175692289</c:v>
                </c:pt>
                <c:pt idx="585">
                  <c:v>26.276643617673713</c:v>
                </c:pt>
                <c:pt idx="586">
                  <c:v>26.277492216477832</c:v>
                </c:pt>
                <c:pt idx="587">
                  <c:v>26.278341974516838</c:v>
                </c:pt>
                <c:pt idx="588">
                  <c:v>26.279192894209782</c:v>
                </c:pt>
                <c:pt idx="589">
                  <c:v>26.280044977982634</c:v>
                </c:pt>
                <c:pt idx="590">
                  <c:v>26.280898228267986</c:v>
                </c:pt>
                <c:pt idx="591">
                  <c:v>26.281752647505623</c:v>
                </c:pt>
                <c:pt idx="592">
                  <c:v>26.282608238141837</c:v>
                </c:pt>
                <c:pt idx="593">
                  <c:v>26.283465002630223</c:v>
                </c:pt>
                <c:pt idx="594">
                  <c:v>26.284322943431022</c:v>
                </c:pt>
                <c:pt idx="595">
                  <c:v>26.285182063011636</c:v>
                </c:pt>
                <c:pt idx="596">
                  <c:v>26.28604236384632</c:v>
                </c:pt>
                <c:pt idx="597">
                  <c:v>26.286903848416532</c:v>
                </c:pt>
                <c:pt idx="598">
                  <c:v>26.287766519210596</c:v>
                </c:pt>
                <c:pt idx="599">
                  <c:v>26.288630378724033</c:v>
                </c:pt>
                <c:pt idx="600">
                  <c:v>26.289495429459301</c:v>
                </c:pt>
                <c:pt idx="601">
                  <c:v>26.290361673926217</c:v>
                </c:pt>
                <c:pt idx="602">
                  <c:v>26.291229114641506</c:v>
                </c:pt>
                <c:pt idx="603">
                  <c:v>26.292097754129234</c:v>
                </c:pt>
                <c:pt idx="604">
                  <c:v>26.292967594920594</c:v>
                </c:pt>
                <c:pt idx="605">
                  <c:v>26.293838639553993</c:v>
                </c:pt>
                <c:pt idx="606">
                  <c:v>26.294710890575161</c:v>
                </c:pt>
                <c:pt idx="607">
                  <c:v>26.295584350537066</c:v>
                </c:pt>
                <c:pt idx="608">
                  <c:v>26.296459021999869</c:v>
                </c:pt>
                <c:pt idx="609">
                  <c:v>26.29733490753129</c:v>
                </c:pt>
                <c:pt idx="610">
                  <c:v>26.298212009706166</c:v>
                </c:pt>
                <c:pt idx="611">
                  <c:v>26.299090331106928</c:v>
                </c:pt>
                <c:pt idx="612">
                  <c:v>26.299969874323253</c:v>
                </c:pt>
                <c:pt idx="613">
                  <c:v>26.300850641952412</c:v>
                </c:pt>
                <c:pt idx="614">
                  <c:v>26.301732636598921</c:v>
                </c:pt>
                <c:pt idx="615">
                  <c:v>26.302615860874965</c:v>
                </c:pt>
                <c:pt idx="616">
                  <c:v>26.303500317400268</c:v>
                </c:pt>
                <c:pt idx="617">
                  <c:v>26.304386008801941</c:v>
                </c:pt>
                <c:pt idx="618">
                  <c:v>26.305272937714783</c:v>
                </c:pt>
                <c:pt idx="619">
                  <c:v>26.306161106781168</c:v>
                </c:pt>
                <c:pt idx="620">
                  <c:v>26.307050518651145</c:v>
                </c:pt>
                <c:pt idx="621">
                  <c:v>26.307941175982286</c:v>
                </c:pt>
                <c:pt idx="622">
                  <c:v>26.308833081440003</c:v>
                </c:pt>
                <c:pt idx="623">
                  <c:v>26.309726237697291</c:v>
                </c:pt>
                <c:pt idx="624">
                  <c:v>26.310620647434973</c:v>
                </c:pt>
                <c:pt idx="625">
                  <c:v>26.311516313341638</c:v>
                </c:pt>
                <c:pt idx="626">
                  <c:v>26.312413238113592</c:v>
                </c:pt>
                <c:pt idx="627">
                  <c:v>26.313311424455044</c:v>
                </c:pt>
                <c:pt idx="628">
                  <c:v>26.314210875078054</c:v>
                </c:pt>
                <c:pt idx="629">
                  <c:v>26.315111592702525</c:v>
                </c:pt>
                <c:pt idx="630">
                  <c:v>26.316013580056286</c:v>
                </c:pt>
                <c:pt idx="631">
                  <c:v>26.316916839875166</c:v>
                </c:pt>
                <c:pt idx="632">
                  <c:v>26.317821374902863</c:v>
                </c:pt>
                <c:pt idx="633">
                  <c:v>26.318727187891096</c:v>
                </c:pt>
                <c:pt idx="634">
                  <c:v>26.319634281599733</c:v>
                </c:pt>
                <c:pt idx="635">
                  <c:v>26.320542658796498</c:v>
                </c:pt>
                <c:pt idx="636">
                  <c:v>26.321452322257457</c:v>
                </c:pt>
                <c:pt idx="637">
                  <c:v>26.322363274766516</c:v>
                </c:pt>
                <c:pt idx="638">
                  <c:v>26.32327551911597</c:v>
                </c:pt>
                <c:pt idx="639">
                  <c:v>26.324189058106121</c:v>
                </c:pt>
                <c:pt idx="640">
                  <c:v>26.325103894545546</c:v>
                </c:pt>
                <c:pt idx="641">
                  <c:v>26.326020031251161</c:v>
                </c:pt>
                <c:pt idx="642">
                  <c:v>26.326937471047948</c:v>
                </c:pt>
                <c:pt idx="643">
                  <c:v>26.327856216769366</c:v>
                </c:pt>
                <c:pt idx="644">
                  <c:v>26.328776271257102</c:v>
                </c:pt>
                <c:pt idx="645">
                  <c:v>26.329697637361264</c:v>
                </c:pt>
                <c:pt idx="646">
                  <c:v>26.330620317940337</c:v>
                </c:pt>
                <c:pt idx="647">
                  <c:v>26.331544315861215</c:v>
                </c:pt>
                <c:pt idx="648">
                  <c:v>26.332469633999217</c:v>
                </c:pt>
                <c:pt idx="649">
                  <c:v>26.333396275238243</c:v>
                </c:pt>
                <c:pt idx="650">
                  <c:v>26.334324242470665</c:v>
                </c:pt>
                <c:pt idx="651">
                  <c:v>26.33525353859735</c:v>
                </c:pt>
                <c:pt idx="652">
                  <c:v>26.336184166527893</c:v>
                </c:pt>
                <c:pt idx="653">
                  <c:v>26.337116129180295</c:v>
                </c:pt>
                <c:pt idx="654">
                  <c:v>26.338049429481444</c:v>
                </c:pt>
                <c:pt idx="655">
                  <c:v>26.338984070366692</c:v>
                </c:pt>
                <c:pt idx="656">
                  <c:v>26.339920054780251</c:v>
                </c:pt>
                <c:pt idx="657">
                  <c:v>26.340857385675005</c:v>
                </c:pt>
                <c:pt idx="658">
                  <c:v>26.341796066012627</c:v>
                </c:pt>
                <c:pt idx="659">
                  <c:v>26.342736098763645</c:v>
                </c:pt>
                <c:pt idx="660">
                  <c:v>26.343677486907364</c:v>
                </c:pt>
                <c:pt idx="661">
                  <c:v>26.344620233432</c:v>
                </c:pt>
                <c:pt idx="662">
                  <c:v>26.345564341334725</c:v>
                </c:pt>
                <c:pt idx="663">
                  <c:v>26.346509813621584</c:v>
                </c:pt>
                <c:pt idx="664">
                  <c:v>26.347456653307624</c:v>
                </c:pt>
                <c:pt idx="665">
                  <c:v>26.348404863416885</c:v>
                </c:pt>
                <c:pt idx="666">
                  <c:v>26.349354446982495</c:v>
                </c:pt>
                <c:pt idx="667">
                  <c:v>26.350305407046704</c:v>
                </c:pt>
                <c:pt idx="668">
                  <c:v>26.351257746660728</c:v>
                </c:pt>
                <c:pt idx="669">
                  <c:v>26.352211468885066</c:v>
                </c:pt>
                <c:pt idx="670">
                  <c:v>26.353166576789334</c:v>
                </c:pt>
                <c:pt idx="671">
                  <c:v>26.354123073452399</c:v>
                </c:pt>
                <c:pt idx="672">
                  <c:v>26.355080961962397</c:v>
                </c:pt>
                <c:pt idx="673">
                  <c:v>26.356040245416722</c:v>
                </c:pt>
                <c:pt idx="674">
                  <c:v>26.357000926922073</c:v>
                </c:pt>
                <c:pt idx="675">
                  <c:v>26.357963009594563</c:v>
                </c:pt>
                <c:pt idx="676">
                  <c:v>26.35892649655964</c:v>
                </c:pt>
                <c:pt idx="677">
                  <c:v>26.359891390952271</c:v>
                </c:pt>
                <c:pt idx="678">
                  <c:v>26.360857695916796</c:v>
                </c:pt>
                <c:pt idx="679">
                  <c:v>26.361825414607079</c:v>
                </c:pt>
                <c:pt idx="680">
                  <c:v>26.362794550186635</c:v>
                </c:pt>
                <c:pt idx="681">
                  <c:v>26.36376510582835</c:v>
                </c:pt>
                <c:pt idx="682">
                  <c:v>26.364737084714932</c:v>
                </c:pt>
                <c:pt idx="683">
                  <c:v>26.365710490038605</c:v>
                </c:pt>
                <c:pt idx="684">
                  <c:v>26.366685325001313</c:v>
                </c:pt>
                <c:pt idx="685">
                  <c:v>26.367661592814734</c:v>
                </c:pt>
                <c:pt idx="686">
                  <c:v>26.368639296700362</c:v>
                </c:pt>
                <c:pt idx="687">
                  <c:v>26.369618439889333</c:v>
                </c:pt>
                <c:pt idx="688">
                  <c:v>26.370599025622827</c:v>
                </c:pt>
                <c:pt idx="689">
                  <c:v>26.371581057151698</c:v>
                </c:pt>
                <c:pt idx="690">
                  <c:v>26.372564537736871</c:v>
                </c:pt>
                <c:pt idx="691">
                  <c:v>26.373549470649142</c:v>
                </c:pt>
                <c:pt idx="692">
                  <c:v>26.374535859169306</c:v>
                </c:pt>
                <c:pt idx="693">
                  <c:v>26.375523706588186</c:v>
                </c:pt>
                <c:pt idx="694">
                  <c:v>26.376513016206683</c:v>
                </c:pt>
                <c:pt idx="695">
                  <c:v>26.377503791335773</c:v>
                </c:pt>
                <c:pt idx="696">
                  <c:v>26.378496035296674</c:v>
                </c:pt>
                <c:pt idx="697">
                  <c:v>26.379489751420639</c:v>
                </c:pt>
                <c:pt idx="698">
                  <c:v>26.380484943049254</c:v>
                </c:pt>
                <c:pt idx="699">
                  <c:v>26.381481613534341</c:v>
                </c:pt>
                <c:pt idx="700">
                  <c:v>26.382479766238006</c:v>
                </c:pt>
                <c:pt idx="701">
                  <c:v>26.383479404532732</c:v>
                </c:pt>
                <c:pt idx="702">
                  <c:v>26.384480531801302</c:v>
                </c:pt>
                <c:pt idx="703">
                  <c:v>26.385483151437107</c:v>
                </c:pt>
                <c:pt idx="704">
                  <c:v>26.38648726684378</c:v>
                </c:pt>
                <c:pt idx="705">
                  <c:v>26.387492881435598</c:v>
                </c:pt>
                <c:pt idx="706">
                  <c:v>26.388499998637315</c:v>
                </c:pt>
                <c:pt idx="707">
                  <c:v>26.389508621884385</c:v>
                </c:pt>
                <c:pt idx="708">
                  <c:v>26.390518754622711</c:v>
                </c:pt>
                <c:pt idx="709">
                  <c:v>26.391530400309044</c:v>
                </c:pt>
                <c:pt idx="710">
                  <c:v>26.392543562410712</c:v>
                </c:pt>
                <c:pt idx="711">
                  <c:v>26.393558244405874</c:v>
                </c:pt>
                <c:pt idx="712">
                  <c:v>26.394574449783505</c:v>
                </c:pt>
                <c:pt idx="713">
                  <c:v>26.395592182043302</c:v>
                </c:pt>
                <c:pt idx="714">
                  <c:v>26.396611444695996</c:v>
                </c:pt>
                <c:pt idx="715">
                  <c:v>26.397632241263121</c:v>
                </c:pt>
                <c:pt idx="716">
                  <c:v>26.398654575277277</c:v>
                </c:pt>
                <c:pt idx="717">
                  <c:v>26.399678450281961</c:v>
                </c:pt>
                <c:pt idx="718">
                  <c:v>26.40070386983178</c:v>
                </c:pt>
                <c:pt idx="719">
                  <c:v>26.401730837492522</c:v>
                </c:pt>
                <c:pt idx="720">
                  <c:v>26.40275935684096</c:v>
                </c:pt>
                <c:pt idx="721">
                  <c:v>26.40378943146515</c:v>
                </c:pt>
                <c:pt idx="722">
                  <c:v>26.404821064964398</c:v>
                </c:pt>
                <c:pt idx="723">
                  <c:v>26.405854260949187</c:v>
                </c:pt>
                <c:pt idx="724">
                  <c:v>26.406889023041408</c:v>
                </c:pt>
                <c:pt idx="725">
                  <c:v>26.407925354874298</c:v>
                </c:pt>
                <c:pt idx="726">
                  <c:v>26.408963260092456</c:v>
                </c:pt>
                <c:pt idx="727">
                  <c:v>26.410002742351963</c:v>
                </c:pt>
                <c:pt idx="728">
                  <c:v>26.411043805320414</c:v>
                </c:pt>
                <c:pt idx="729">
                  <c:v>26.412086452676963</c:v>
                </c:pt>
                <c:pt idx="730">
                  <c:v>26.413130688112286</c:v>
                </c:pt>
                <c:pt idx="731">
                  <c:v>26.414176515328773</c:v>
                </c:pt>
                <c:pt idx="732">
                  <c:v>26.415223938040445</c:v>
                </c:pt>
                <c:pt idx="733">
                  <c:v>26.416272959973107</c:v>
                </c:pt>
                <c:pt idx="734">
                  <c:v>26.417323584864256</c:v>
                </c:pt>
                <c:pt idx="735">
                  <c:v>26.418375816463318</c:v>
                </c:pt>
                <c:pt idx="736">
                  <c:v>26.419429658531488</c:v>
                </c:pt>
                <c:pt idx="737">
                  <c:v>26.420485114842002</c:v>
                </c:pt>
                <c:pt idx="738">
                  <c:v>26.421542189179956</c:v>
                </c:pt>
                <c:pt idx="739">
                  <c:v>26.422600885342501</c:v>
                </c:pt>
                <c:pt idx="740">
                  <c:v>26.423661207138831</c:v>
                </c:pt>
                <c:pt idx="741">
                  <c:v>26.424723158390243</c:v>
                </c:pt>
                <c:pt idx="742">
                  <c:v>26.425786742930296</c:v>
                </c:pt>
                <c:pt idx="743">
                  <c:v>26.426851964604634</c:v>
                </c:pt>
                <c:pt idx="744">
                  <c:v>26.427918827271231</c:v>
                </c:pt>
                <c:pt idx="745">
                  <c:v>26.428987334800357</c:v>
                </c:pt>
                <c:pt idx="746">
                  <c:v>26.430057491074599</c:v>
                </c:pt>
                <c:pt idx="747">
                  <c:v>26.431129299988985</c:v>
                </c:pt>
                <c:pt idx="748">
                  <c:v>26.432202765451034</c:v>
                </c:pt>
                <c:pt idx="749">
                  <c:v>26.433277891380715</c:v>
                </c:pt>
                <c:pt idx="750">
                  <c:v>26.43435468171057</c:v>
                </c:pt>
                <c:pt idx="751">
                  <c:v>26.4354331403858</c:v>
                </c:pt>
                <c:pt idx="752">
                  <c:v>26.436513271364184</c:v>
                </c:pt>
                <c:pt idx="753">
                  <c:v>26.437595078616305</c:v>
                </c:pt>
                <c:pt idx="754">
                  <c:v>26.438678566125411</c:v>
                </c:pt>
                <c:pt idx="755">
                  <c:v>26.439763737887645</c:v>
                </c:pt>
                <c:pt idx="756">
                  <c:v>26.440850597911986</c:v>
                </c:pt>
                <c:pt idx="757">
                  <c:v>26.441939150220392</c:v>
                </c:pt>
                <c:pt idx="758">
                  <c:v>26.443029398847649</c:v>
                </c:pt>
                <c:pt idx="759">
                  <c:v>26.444121347841744</c:v>
                </c:pt>
                <c:pt idx="760">
                  <c:v>26.445215001263612</c:v>
                </c:pt>
                <c:pt idx="761">
                  <c:v>26.446310363187372</c:v>
                </c:pt>
                <c:pt idx="762">
                  <c:v>26.447407437700377</c:v>
                </c:pt>
                <c:pt idx="763">
                  <c:v>26.448506228903131</c:v>
                </c:pt>
                <c:pt idx="764">
                  <c:v>26.449606740909481</c:v>
                </c:pt>
                <c:pt idx="765">
                  <c:v>26.450708977846666</c:v>
                </c:pt>
                <c:pt idx="766">
                  <c:v>26.45181294385522</c:v>
                </c:pt>
                <c:pt idx="767">
                  <c:v>26.452918643089212</c:v>
                </c:pt>
                <c:pt idx="768">
                  <c:v>26.45402607971625</c:v>
                </c:pt>
                <c:pt idx="769">
                  <c:v>26.455135257917426</c:v>
                </c:pt>
                <c:pt idx="770">
                  <c:v>26.456246181887565</c:v>
                </c:pt>
                <c:pt idx="771">
                  <c:v>26.457358855835036</c:v>
                </c:pt>
                <c:pt idx="772">
                  <c:v>26.458473283982112</c:v>
                </c:pt>
                <c:pt idx="773">
                  <c:v>26.459589470564751</c:v>
                </c:pt>
                <c:pt idx="774">
                  <c:v>26.460707419832794</c:v>
                </c:pt>
                <c:pt idx="775">
                  <c:v>26.461827136049973</c:v>
                </c:pt>
                <c:pt idx="776">
                  <c:v>26.462948623494029</c:v>
                </c:pt>
                <c:pt idx="777">
                  <c:v>26.464071886456708</c:v>
                </c:pt>
                <c:pt idx="778">
                  <c:v>26.46519692924382</c:v>
                </c:pt>
                <c:pt idx="779">
                  <c:v>26.466323756175353</c:v>
                </c:pt>
                <c:pt idx="780">
                  <c:v>26.467452371585466</c:v>
                </c:pt>
                <c:pt idx="781">
                  <c:v>26.468582779822636</c:v>
                </c:pt>
                <c:pt idx="782">
                  <c:v>26.469714985249542</c:v>
                </c:pt>
                <c:pt idx="783">
                  <c:v>26.470848992243354</c:v>
                </c:pt>
                <c:pt idx="784">
                  <c:v>26.471984805195678</c:v>
                </c:pt>
                <c:pt idx="785">
                  <c:v>26.473122428512529</c:v>
                </c:pt>
                <c:pt idx="786">
                  <c:v>26.474261866614569</c:v>
                </c:pt>
                <c:pt idx="787">
                  <c:v>26.475403123937063</c:v>
                </c:pt>
                <c:pt idx="788">
                  <c:v>26.476546204929971</c:v>
                </c:pt>
                <c:pt idx="789">
                  <c:v>26.477691114057894</c:v>
                </c:pt>
                <c:pt idx="790">
                  <c:v>26.478837855800364</c:v>
                </c:pt>
                <c:pt idx="791">
                  <c:v>26.479986434651771</c:v>
                </c:pt>
                <c:pt idx="792">
                  <c:v>26.481136855121346</c:v>
                </c:pt>
                <c:pt idx="793">
                  <c:v>26.482289121733416</c:v>
                </c:pt>
                <c:pt idx="794">
                  <c:v>26.483443239027284</c:v>
                </c:pt>
                <c:pt idx="795">
                  <c:v>26.484599211557413</c:v>
                </c:pt>
                <c:pt idx="796">
                  <c:v>26.485757043893479</c:v>
                </c:pt>
                <c:pt idx="797">
                  <c:v>26.486916740620341</c:v>
                </c:pt>
                <c:pt idx="798">
                  <c:v>26.488078306338181</c:v>
                </c:pt>
                <c:pt idx="799">
                  <c:v>26.489241745662572</c:v>
                </c:pt>
                <c:pt idx="800">
                  <c:v>26.490407063224612</c:v>
                </c:pt>
                <c:pt idx="801">
                  <c:v>26.49157426367071</c:v>
                </c:pt>
                <c:pt idx="802">
                  <c:v>26.492743351663076</c:v>
                </c:pt>
                <c:pt idx="803">
                  <c:v>26.493914331879377</c:v>
                </c:pt>
                <c:pt idx="804">
                  <c:v>26.495087209013075</c:v>
                </c:pt>
                <c:pt idx="805">
                  <c:v>26.496261987773448</c:v>
                </c:pt>
                <c:pt idx="806">
                  <c:v>26.497438672885433</c:v>
                </c:pt>
                <c:pt idx="807">
                  <c:v>26.498617269090079</c:v>
                </c:pt>
                <c:pt idx="808">
                  <c:v>26.499797781144316</c:v>
                </c:pt>
                <c:pt idx="809">
                  <c:v>26.500980213821105</c:v>
                </c:pt>
                <c:pt idx="810">
                  <c:v>26.502164571909564</c:v>
                </c:pt>
                <c:pt idx="811">
                  <c:v>26.50335086021494</c:v>
                </c:pt>
                <c:pt idx="812">
                  <c:v>26.504539083558747</c:v>
                </c:pt>
                <c:pt idx="813">
                  <c:v>26.505729246778895</c:v>
                </c:pt>
                <c:pt idx="814">
                  <c:v>26.506921354729513</c:v>
                </c:pt>
                <c:pt idx="815">
                  <c:v>26.508115412281356</c:v>
                </c:pt>
                <c:pt idx="816">
                  <c:v>26.509311424321638</c:v>
                </c:pt>
                <c:pt idx="817">
                  <c:v>26.510509395754163</c:v>
                </c:pt>
                <c:pt idx="818">
                  <c:v>26.511709331499418</c:v>
                </c:pt>
                <c:pt idx="819">
                  <c:v>26.512911236494681</c:v>
                </c:pt>
                <c:pt idx="820">
                  <c:v>26.51411511569394</c:v>
                </c:pt>
                <c:pt idx="821">
                  <c:v>26.515320974068203</c:v>
                </c:pt>
                <c:pt idx="822">
                  <c:v>26.516528816605359</c:v>
                </c:pt>
                <c:pt idx="823">
                  <c:v>26.517738648310292</c:v>
                </c:pt>
                <c:pt idx="824">
                  <c:v>26.518950474205077</c:v>
                </c:pt>
                <c:pt idx="825">
                  <c:v>26.520164299329007</c:v>
                </c:pt>
                <c:pt idx="826">
                  <c:v>26.521380128738471</c:v>
                </c:pt>
                <c:pt idx="827">
                  <c:v>26.522597967507348</c:v>
                </c:pt>
                <c:pt idx="828">
                  <c:v>26.523817820726855</c:v>
                </c:pt>
                <c:pt idx="829">
                  <c:v>26.5250396935057</c:v>
                </c:pt>
                <c:pt idx="830">
                  <c:v>26.526263590970153</c:v>
                </c:pt>
                <c:pt idx="831">
                  <c:v>26.527489518264087</c:v>
                </c:pt>
                <c:pt idx="832">
                  <c:v>26.528717480549126</c:v>
                </c:pt>
                <c:pt idx="833">
                  <c:v>26.529947483004712</c:v>
                </c:pt>
                <c:pt idx="834">
                  <c:v>26.531179530828059</c:v>
                </c:pt>
                <c:pt idx="835">
                  <c:v>26.53241362923443</c:v>
                </c:pt>
                <c:pt idx="836">
                  <c:v>26.533649783457061</c:v>
                </c:pt>
                <c:pt idx="837">
                  <c:v>26.53488799874723</c:v>
                </c:pt>
                <c:pt idx="838">
                  <c:v>26.536128280374559</c:v>
                </c:pt>
                <c:pt idx="839">
                  <c:v>26.537370633626796</c:v>
                </c:pt>
                <c:pt idx="840">
                  <c:v>26.538615063809996</c:v>
                </c:pt>
                <c:pt idx="841">
                  <c:v>26.539861576248789</c:v>
                </c:pt>
                <c:pt idx="842">
                  <c:v>26.541110176286228</c:v>
                </c:pt>
                <c:pt idx="843">
                  <c:v>26.5423608692839</c:v>
                </c:pt>
                <c:pt idx="844">
                  <c:v>26.543613660622125</c:v>
                </c:pt>
                <c:pt idx="845">
                  <c:v>26.544868555699967</c:v>
                </c:pt>
                <c:pt idx="846">
                  <c:v>26.546125559935312</c:v>
                </c:pt>
                <c:pt idx="847">
                  <c:v>26.547384678764921</c:v>
                </c:pt>
                <c:pt idx="848">
                  <c:v>26.548645917644592</c:v>
                </c:pt>
                <c:pt idx="849">
                  <c:v>26.549909282049281</c:v>
                </c:pt>
                <c:pt idx="850">
                  <c:v>26.551174777472898</c:v>
                </c:pt>
                <c:pt idx="851">
                  <c:v>26.552442409428856</c:v>
                </c:pt>
                <c:pt idx="852">
                  <c:v>26.55371218344974</c:v>
                </c:pt>
                <c:pt idx="853">
                  <c:v>26.554984105087591</c:v>
                </c:pt>
                <c:pt idx="854">
                  <c:v>26.556258179914003</c:v>
                </c:pt>
                <c:pt idx="855">
                  <c:v>26.557534413520138</c:v>
                </c:pt>
                <c:pt idx="856">
                  <c:v>26.558812811516827</c:v>
                </c:pt>
                <c:pt idx="857">
                  <c:v>26.560093379534695</c:v>
                </c:pt>
                <c:pt idx="858">
                  <c:v>26.561376123224168</c:v>
                </c:pt>
                <c:pt idx="859">
                  <c:v>26.562661048255745</c:v>
                </c:pt>
                <c:pt idx="860">
                  <c:v>26.563948160319878</c:v>
                </c:pt>
                <c:pt idx="861">
                  <c:v>26.565237465127122</c:v>
                </c:pt>
                <c:pt idx="862">
                  <c:v>26.566528968408324</c:v>
                </c:pt>
                <c:pt idx="863">
                  <c:v>26.567822675914559</c:v>
                </c:pt>
                <c:pt idx="864">
                  <c:v>26.569118593417343</c:v>
                </c:pt>
                <c:pt idx="865">
                  <c:v>26.570416726708714</c:v>
                </c:pt>
                <c:pt idx="866">
                  <c:v>26.571717081601282</c:v>
                </c:pt>
                <c:pt idx="867">
                  <c:v>26.573019663928218</c:v>
                </c:pt>
                <c:pt idx="868">
                  <c:v>26.574324479543648</c:v>
                </c:pt>
                <c:pt idx="869">
                  <c:v>26.57563153432244</c:v>
                </c:pt>
                <c:pt idx="870">
                  <c:v>26.576940834160379</c:v>
                </c:pt>
                <c:pt idx="871">
                  <c:v>26.578252384974512</c:v>
                </c:pt>
                <c:pt idx="872">
                  <c:v>26.579566192702753</c:v>
                </c:pt>
                <c:pt idx="873">
                  <c:v>26.580882263304499</c:v>
                </c:pt>
                <c:pt idx="874">
                  <c:v>26.582200602760313</c:v>
                </c:pt>
                <c:pt idx="875">
                  <c:v>26.583521217072281</c:v>
                </c:pt>
                <c:pt idx="876">
                  <c:v>26.584844112263998</c:v>
                </c:pt>
                <c:pt idx="877">
                  <c:v>26.586169294380738</c:v>
                </c:pt>
                <c:pt idx="878">
                  <c:v>26.587496769489423</c:v>
                </c:pt>
                <c:pt idx="879">
                  <c:v>26.58882654367887</c:v>
                </c:pt>
                <c:pt idx="880">
                  <c:v>26.590158623059754</c:v>
                </c:pt>
                <c:pt idx="881">
                  <c:v>26.591493013764833</c:v>
                </c:pt>
                <c:pt idx="882">
                  <c:v>26.592829721949002</c:v>
                </c:pt>
                <c:pt idx="883">
                  <c:v>26.594168753789376</c:v>
                </c:pt>
                <c:pt idx="884">
                  <c:v>26.595510115485361</c:v>
                </c:pt>
                <c:pt idx="885">
                  <c:v>26.596853813258797</c:v>
                </c:pt>
                <c:pt idx="886">
                  <c:v>26.598199853354146</c:v>
                </c:pt>
                <c:pt idx="887">
                  <c:v>26.599548242038427</c:v>
                </c:pt>
                <c:pt idx="888">
                  <c:v>26.6008989856014</c:v>
                </c:pt>
                <c:pt idx="889">
                  <c:v>26.602252090355741</c:v>
                </c:pt>
                <c:pt idx="890">
                  <c:v>26.603607562637034</c:v>
                </c:pt>
                <c:pt idx="891">
                  <c:v>26.604965408803899</c:v>
                </c:pt>
                <c:pt idx="892">
                  <c:v>26.606325635238189</c:v>
                </c:pt>
                <c:pt idx="893">
                  <c:v>26.607688248344949</c:v>
                </c:pt>
                <c:pt idx="894">
                  <c:v>26.609053254552684</c:v>
                </c:pt>
                <c:pt idx="895">
                  <c:v>26.610420660313316</c:v>
                </c:pt>
                <c:pt idx="896">
                  <c:v>26.611790472102413</c:v>
                </c:pt>
                <c:pt idx="897">
                  <c:v>26.613162696419252</c:v>
                </c:pt>
                <c:pt idx="898">
                  <c:v>26.614537339786892</c:v>
                </c:pt>
                <c:pt idx="899">
                  <c:v>26.615914408752303</c:v>
                </c:pt>
                <c:pt idx="900">
                  <c:v>26.617293909886577</c:v>
                </c:pt>
                <c:pt idx="901">
                  <c:v>26.618675849784875</c:v>
                </c:pt>
                <c:pt idx="902">
                  <c:v>26.620060235066653</c:v>
                </c:pt>
                <c:pt idx="903">
                  <c:v>26.621447072375727</c:v>
                </c:pt>
                <c:pt idx="904">
                  <c:v>26.622836368380447</c:v>
                </c:pt>
                <c:pt idx="905">
                  <c:v>26.624228129773702</c:v>
                </c:pt>
                <c:pt idx="906">
                  <c:v>26.62562236327317</c:v>
                </c:pt>
                <c:pt idx="907">
                  <c:v>26.62701907562132</c:v>
                </c:pt>
                <c:pt idx="908">
                  <c:v>26.628418273585556</c:v>
                </c:pt>
                <c:pt idx="909">
                  <c:v>26.629819963958326</c:v>
                </c:pt>
                <c:pt idx="910">
                  <c:v>26.631224153557429</c:v>
                </c:pt>
                <c:pt idx="911">
                  <c:v>26.632630849225738</c:v>
                </c:pt>
                <c:pt idx="912">
                  <c:v>26.634040057831701</c:v>
                </c:pt>
                <c:pt idx="913">
                  <c:v>26.635451786269286</c:v>
                </c:pt>
                <c:pt idx="914">
                  <c:v>26.636866041458067</c:v>
                </c:pt>
                <c:pt idx="915">
                  <c:v>26.638282830343481</c:v>
                </c:pt>
                <c:pt idx="916">
                  <c:v>26.639702159896796</c:v>
                </c:pt>
                <c:pt idx="917">
                  <c:v>26.641124037115375</c:v>
                </c:pt>
                <c:pt idx="918">
                  <c:v>26.642548469022678</c:v>
                </c:pt>
                <c:pt idx="919">
                  <c:v>26.643975462668447</c:v>
                </c:pt>
                <c:pt idx="920">
                  <c:v>26.645405025128909</c:v>
                </c:pt>
                <c:pt idx="921">
                  <c:v>26.646837163506632</c:v>
                </c:pt>
                <c:pt idx="922">
                  <c:v>26.648271884931066</c:v>
                </c:pt>
                <c:pt idx="923">
                  <c:v>26.649709196558277</c:v>
                </c:pt>
                <c:pt idx="924">
                  <c:v>26.651149105571257</c:v>
                </c:pt>
                <c:pt idx="925">
                  <c:v>26.652591619180129</c:v>
                </c:pt>
                <c:pt idx="926">
                  <c:v>26.654036744622051</c:v>
                </c:pt>
                <c:pt idx="927">
                  <c:v>26.655484489161541</c:v>
                </c:pt>
                <c:pt idx="928">
                  <c:v>26.656934860090541</c:v>
                </c:pt>
                <c:pt idx="929">
                  <c:v>26.658387864728542</c:v>
                </c:pt>
                <c:pt idx="930">
                  <c:v>26.659843510422707</c:v>
                </c:pt>
                <c:pt idx="931">
                  <c:v>26.661301804548057</c:v>
                </c:pt>
                <c:pt idx="932">
                  <c:v>26.662762754507483</c:v>
                </c:pt>
                <c:pt idx="933">
                  <c:v>26.664226367732077</c:v>
                </c:pt>
                <c:pt idx="934">
                  <c:v>26.665692651681017</c:v>
                </c:pt>
                <c:pt idx="935">
                  <c:v>26.667161613841987</c:v>
                </c:pt>
                <c:pt idx="936">
                  <c:v>26.668633261731109</c:v>
                </c:pt>
                <c:pt idx="937">
                  <c:v>26.670107602893026</c:v>
                </c:pt>
                <c:pt idx="938">
                  <c:v>26.671584644901333</c:v>
                </c:pt>
                <c:pt idx="939">
                  <c:v>26.673064395358434</c:v>
                </c:pt>
                <c:pt idx="940">
                  <c:v>26.674546861895713</c:v>
                </c:pt>
                <c:pt idx="941">
                  <c:v>26.676032052173955</c:v>
                </c:pt>
                <c:pt idx="942">
                  <c:v>26.677519973883111</c:v>
                </c:pt>
                <c:pt idx="943">
                  <c:v>26.679010634742571</c:v>
                </c:pt>
                <c:pt idx="944">
                  <c:v>26.68050404250156</c:v>
                </c:pt>
                <c:pt idx="945">
                  <c:v>26.682000204938756</c:v>
                </c:pt>
                <c:pt idx="946">
                  <c:v>26.683499129863037</c:v>
                </c:pt>
                <c:pt idx="947">
                  <c:v>26.685000825113164</c:v>
                </c:pt>
                <c:pt idx="948">
                  <c:v>26.68650529855811</c:v>
                </c:pt>
                <c:pt idx="949">
                  <c:v>26.688012558097274</c:v>
                </c:pt>
                <c:pt idx="950">
                  <c:v>26.689522611660482</c:v>
                </c:pt>
                <c:pt idx="951">
                  <c:v>26.691035467208167</c:v>
                </c:pt>
                <c:pt idx="952">
                  <c:v>26.692551132731658</c:v>
                </c:pt>
                <c:pt idx="953">
                  <c:v>26.694069616253241</c:v>
                </c:pt>
                <c:pt idx="954">
                  <c:v>26.695590925826121</c:v>
                </c:pt>
                <c:pt idx="955">
                  <c:v>26.697115069534945</c:v>
                </c:pt>
                <c:pt idx="956">
                  <c:v>26.698642055495679</c:v>
                </c:pt>
                <c:pt idx="957">
                  <c:v>26.700171891855835</c:v>
                </c:pt>
                <c:pt idx="958">
                  <c:v>26.701704586794701</c:v>
                </c:pt>
                <c:pt idx="959">
                  <c:v>26.703240148523399</c:v>
                </c:pt>
                <c:pt idx="960">
                  <c:v>26.70477858528503</c:v>
                </c:pt>
                <c:pt idx="961">
                  <c:v>26.706319905354952</c:v>
                </c:pt>
                <c:pt idx="962">
                  <c:v>26.707864117040888</c:v>
                </c:pt>
                <c:pt idx="963">
                  <c:v>26.709411228682992</c:v>
                </c:pt>
                <c:pt idx="964">
                  <c:v>26.710961248654105</c:v>
                </c:pt>
                <c:pt idx="965">
                  <c:v>26.712514185359954</c:v>
                </c:pt>
                <c:pt idx="966">
                  <c:v>26.714070047239211</c:v>
                </c:pt>
                <c:pt idx="967">
                  <c:v>26.715628842763678</c:v>
                </c:pt>
                <c:pt idx="968">
                  <c:v>26.71719058043854</c:v>
                </c:pt>
                <c:pt idx="969">
                  <c:v>26.718755268802465</c:v>
                </c:pt>
                <c:pt idx="970">
                  <c:v>26.720322916427715</c:v>
                </c:pt>
                <c:pt idx="971">
                  <c:v>26.721893531920475</c:v>
                </c:pt>
                <c:pt idx="972">
                  <c:v>26.72346712392083</c:v>
                </c:pt>
                <c:pt idx="973">
                  <c:v>26.725043701103118</c:v>
                </c:pt>
                <c:pt idx="974">
                  <c:v>26.726623272175907</c:v>
                </c:pt>
                <c:pt idx="975">
                  <c:v>26.728205845882325</c:v>
                </c:pt>
                <c:pt idx="976">
                  <c:v>26.729791431000198</c:v>
                </c:pt>
                <c:pt idx="977">
                  <c:v>26.731380036342276</c:v>
                </c:pt>
                <c:pt idx="978">
                  <c:v>26.732971670756129</c:v>
                </c:pt>
                <c:pt idx="979">
                  <c:v>26.734566343124779</c:v>
                </c:pt>
                <c:pt idx="980">
                  <c:v>26.736164062366438</c:v>
                </c:pt>
                <c:pt idx="981">
                  <c:v>26.737764837435041</c:v>
                </c:pt>
                <c:pt idx="982">
                  <c:v>26.739368677320119</c:v>
                </c:pt>
                <c:pt idx="983">
                  <c:v>26.740975591047221</c:v>
                </c:pt>
                <c:pt idx="984">
                  <c:v>26.742585587678054</c:v>
                </c:pt>
                <c:pt idx="985">
                  <c:v>26.744198676310443</c:v>
                </c:pt>
                <c:pt idx="986">
                  <c:v>26.745814866078874</c:v>
                </c:pt>
                <c:pt idx="987">
                  <c:v>26.747434166154367</c:v>
                </c:pt>
                <c:pt idx="988">
                  <c:v>26.749056585744864</c:v>
                </c:pt>
                <c:pt idx="989">
                  <c:v>26.750682134095278</c:v>
                </c:pt>
                <c:pt idx="990">
                  <c:v>26.752310820487807</c:v>
                </c:pt>
                <c:pt idx="991">
                  <c:v>26.75394265424206</c:v>
                </c:pt>
                <c:pt idx="992">
                  <c:v>26.755577644715199</c:v>
                </c:pt>
                <c:pt idx="993">
                  <c:v>26.757215801302198</c:v>
                </c:pt>
                <c:pt idx="994">
                  <c:v>26.758857133436081</c:v>
                </c:pt>
                <c:pt idx="995">
                  <c:v>26.760501650588029</c:v>
                </c:pt>
                <c:pt idx="996">
                  <c:v>26.762149362267529</c:v>
                </c:pt>
                <c:pt idx="997">
                  <c:v>26.763800278022796</c:v>
                </c:pt>
                <c:pt idx="998">
                  <c:v>26.765454407440707</c:v>
                </c:pt>
                <c:pt idx="999">
                  <c:v>26.767111760147127</c:v>
                </c:pt>
                <c:pt idx="1000">
                  <c:v>26.768772345807161</c:v>
                </c:pt>
                <c:pt idx="1001">
                  <c:v>26.770436174125273</c:v>
                </c:pt>
                <c:pt idx="1002">
                  <c:v>26.772103254845533</c:v>
                </c:pt>
                <c:pt idx="1003">
                  <c:v>26.773773597751696</c:v>
                </c:pt>
                <c:pt idx="1004">
                  <c:v>26.77544721266765</c:v>
                </c:pt>
                <c:pt idx="1005">
                  <c:v>26.777124109457393</c:v>
                </c:pt>
                <c:pt idx="1006">
                  <c:v>26.778804298025413</c:v>
                </c:pt>
                <c:pt idx="1007">
                  <c:v>26.780487788316762</c:v>
                </c:pt>
                <c:pt idx="1008">
                  <c:v>26.782174590317371</c:v>
                </c:pt>
                <c:pt idx="1009">
                  <c:v>26.783864714054182</c:v>
                </c:pt>
                <c:pt idx="1010">
                  <c:v>26.785558169595401</c:v>
                </c:pt>
                <c:pt idx="1011">
                  <c:v>26.787254967050721</c:v>
                </c:pt>
                <c:pt idx="1012">
                  <c:v>26.788955116571547</c:v>
                </c:pt>
                <c:pt idx="1013">
                  <c:v>26.790658628351196</c:v>
                </c:pt>
                <c:pt idx="1014">
                  <c:v>26.792365512625082</c:v>
                </c:pt>
                <c:pt idx="1015">
                  <c:v>26.794075779670997</c:v>
                </c:pt>
                <c:pt idx="1016">
                  <c:v>26.79578943980929</c:v>
                </c:pt>
                <c:pt idx="1017">
                  <c:v>26.797506503403188</c:v>
                </c:pt>
                <c:pt idx="1018">
                  <c:v>26.799226980858784</c:v>
                </c:pt>
                <c:pt idx="1019">
                  <c:v>26.8009508826256</c:v>
                </c:pt>
                <c:pt idx="1020">
                  <c:v>26.802678219196544</c:v>
                </c:pt>
                <c:pt idx="1021">
                  <c:v>26.80440900110818</c:v>
                </c:pt>
                <c:pt idx="1022">
                  <c:v>26.806143238941171</c:v>
                </c:pt>
                <c:pt idx="1023">
                  <c:v>26.807880943320161</c:v>
                </c:pt>
                <c:pt idx="1024">
                  <c:v>26.809622124914398</c:v>
                </c:pt>
                <c:pt idx="1025">
                  <c:v>26.811366794437614</c:v>
                </c:pt>
                <c:pt idx="1026">
                  <c:v>26.81311496264852</c:v>
                </c:pt>
                <c:pt idx="1027">
                  <c:v>26.814866640350861</c:v>
                </c:pt>
                <c:pt idx="1028">
                  <c:v>26.816621838393814</c:v>
                </c:pt>
                <c:pt idx="1029">
                  <c:v>26.818380567672172</c:v>
                </c:pt>
                <c:pt idx="1030">
                  <c:v>26.820142839126454</c:v>
                </c:pt>
                <c:pt idx="1031">
                  <c:v>26.82190866374339</c:v>
                </c:pt>
                <c:pt idx="1032">
                  <c:v>26.823678052555973</c:v>
                </c:pt>
                <c:pt idx="1033">
                  <c:v>26.825451016643829</c:v>
                </c:pt>
                <c:pt idx="1034">
                  <c:v>26.827227567133409</c:v>
                </c:pt>
                <c:pt idx="1035">
                  <c:v>26.829007715198195</c:v>
                </c:pt>
                <c:pt idx="1036">
                  <c:v>26.830791472059008</c:v>
                </c:pt>
                <c:pt idx="1037">
                  <c:v>26.832578848984415</c:v>
                </c:pt>
                <c:pt idx="1038">
                  <c:v>26.834369857290582</c:v>
                </c:pt>
                <c:pt idx="1039">
                  <c:v>26.836164508342009</c:v>
                </c:pt>
                <c:pt idx="1040">
                  <c:v>26.8379628135514</c:v>
                </c:pt>
                <c:pt idx="1041">
                  <c:v>26.839764784380204</c:v>
                </c:pt>
                <c:pt idx="1042">
                  <c:v>26.841570432338671</c:v>
                </c:pt>
                <c:pt idx="1043">
                  <c:v>26.843379768986203</c:v>
                </c:pt>
                <c:pt idx="1044">
                  <c:v>26.845192805931788</c:v>
                </c:pt>
                <c:pt idx="1045">
                  <c:v>26.84700955483385</c:v>
                </c:pt>
                <c:pt idx="1046">
                  <c:v>26.848830027400947</c:v>
                </c:pt>
                <c:pt idx="1047">
                  <c:v>26.850654235391847</c:v>
                </c:pt>
                <c:pt idx="1048">
                  <c:v>26.852482190615742</c:v>
                </c:pt>
                <c:pt idx="1049">
                  <c:v>26.854313904932699</c:v>
                </c:pt>
                <c:pt idx="1050">
                  <c:v>26.856149390253837</c:v>
                </c:pt>
                <c:pt idx="1051">
                  <c:v>26.857988658541515</c:v>
                </c:pt>
                <c:pt idx="1052">
                  <c:v>26.859831721809829</c:v>
                </c:pt>
                <c:pt idx="1053">
                  <c:v>26.861678592124647</c:v>
                </c:pt>
                <c:pt idx="1054">
                  <c:v>26.86352928160419</c:v>
                </c:pt>
                <c:pt idx="1055">
                  <c:v>26.865383802419011</c:v>
                </c:pt>
                <c:pt idx="1056">
                  <c:v>26.867242166792444</c:v>
                </c:pt>
                <c:pt idx="1057">
                  <c:v>26.869104387000959</c:v>
                </c:pt>
                <c:pt idx="1058">
                  <c:v>26.8709704753743</c:v>
                </c:pt>
                <c:pt idx="1059">
                  <c:v>26.872840444295878</c:v>
                </c:pt>
                <c:pt idx="1060">
                  <c:v>26.874714306202971</c:v>
                </c:pt>
                <c:pt idx="1061">
                  <c:v>26.876592073587194</c:v>
                </c:pt>
                <c:pt idx="1062">
                  <c:v>26.878473758994598</c:v>
                </c:pt>
                <c:pt idx="1063">
                  <c:v>26.880359375026146</c:v>
                </c:pt>
                <c:pt idx="1064">
                  <c:v>26.882248934337902</c:v>
                </c:pt>
                <c:pt idx="1065">
                  <c:v>26.884142449641388</c:v>
                </c:pt>
                <c:pt idx="1066">
                  <c:v>26.886039933703859</c:v>
                </c:pt>
                <c:pt idx="1067">
                  <c:v>26.88794139934868</c:v>
                </c:pt>
                <c:pt idx="1068">
                  <c:v>26.889846859455577</c:v>
                </c:pt>
                <c:pt idx="1069">
                  <c:v>26.891756326960909</c:v>
                </c:pt>
                <c:pt idx="1070">
                  <c:v>26.893669814858168</c:v>
                </c:pt>
                <c:pt idx="1071">
                  <c:v>26.89558733619803</c:v>
                </c:pt>
                <c:pt idx="1072">
                  <c:v>26.897508904088962</c:v>
                </c:pt>
                <c:pt idx="1073">
                  <c:v>26.899434531697285</c:v>
                </c:pt>
                <c:pt idx="1074">
                  <c:v>26.901364232247705</c:v>
                </c:pt>
                <c:pt idx="1075">
                  <c:v>26.903298019023524</c:v>
                </c:pt>
                <c:pt idx="1076">
                  <c:v>26.905235905367004</c:v>
                </c:pt>
                <c:pt idx="1077">
                  <c:v>26.907177904679678</c:v>
                </c:pt>
                <c:pt idx="1078">
                  <c:v>26.909124030422735</c:v>
                </c:pt>
                <c:pt idx="1079">
                  <c:v>26.911074296117292</c:v>
                </c:pt>
                <c:pt idx="1080">
                  <c:v>26.913028715344826</c:v>
                </c:pt>
                <c:pt idx="1081">
                  <c:v>26.914987301747423</c:v>
                </c:pt>
                <c:pt idx="1082">
                  <c:v>26.916950069028132</c:v>
                </c:pt>
                <c:pt idx="1083">
                  <c:v>26.918917030951352</c:v>
                </c:pt>
                <c:pt idx="1084">
                  <c:v>26.920888201343203</c:v>
                </c:pt>
                <c:pt idx="1085">
                  <c:v>26.922863594091748</c:v>
                </c:pt>
                <c:pt idx="1086">
                  <c:v>26.924843223147533</c:v>
                </c:pt>
                <c:pt idx="1087">
                  <c:v>26.926827102523802</c:v>
                </c:pt>
                <c:pt idx="1088">
                  <c:v>26.928815246296953</c:v>
                </c:pt>
                <c:pt idx="1089">
                  <c:v>26.930807668606679</c:v>
                </c:pt>
                <c:pt idx="1090">
                  <c:v>26.932804383656777</c:v>
                </c:pt>
                <c:pt idx="1091">
                  <c:v>26.934805405714982</c:v>
                </c:pt>
                <c:pt idx="1092">
                  <c:v>26.936810749113675</c:v>
                </c:pt>
                <c:pt idx="1093">
                  <c:v>26.938820428250278</c:v>
                </c:pt>
                <c:pt idx="1094">
                  <c:v>26.940834457587354</c:v>
                </c:pt>
                <c:pt idx="1095">
                  <c:v>26.942852851653235</c:v>
                </c:pt>
                <c:pt idx="1096">
                  <c:v>26.944875625042314</c:v>
                </c:pt>
                <c:pt idx="1097">
                  <c:v>26.946902792415404</c:v>
                </c:pt>
                <c:pt idx="1098">
                  <c:v>26.94893436850014</c:v>
                </c:pt>
                <c:pt idx="1099">
                  <c:v>26.95097036809144</c:v>
                </c:pt>
                <c:pt idx="1100">
                  <c:v>26.953010806051722</c:v>
                </c:pt>
                <c:pt idx="1101">
                  <c:v>26.955055697311483</c:v>
                </c:pt>
                <c:pt idx="1102">
                  <c:v>26.957105056869551</c:v>
                </c:pt>
                <c:pt idx="1103">
                  <c:v>26.959158899793668</c:v>
                </c:pt>
                <c:pt idx="1104">
                  <c:v>26.961217241220563</c:v>
                </c:pt>
                <c:pt idx="1105">
                  <c:v>26.963280096356758</c:v>
                </c:pt>
                <c:pt idx="1106">
                  <c:v>26.96534748047867</c:v>
                </c:pt>
                <c:pt idx="1107">
                  <c:v>26.967419408933129</c:v>
                </c:pt>
                <c:pt idx="1108">
                  <c:v>26.969495897137865</c:v>
                </c:pt>
                <c:pt idx="1109">
                  <c:v>26.971576960581778</c:v>
                </c:pt>
                <c:pt idx="1110">
                  <c:v>26.973662614825461</c:v>
                </c:pt>
                <c:pt idx="1111">
                  <c:v>26.975752875501531</c:v>
                </c:pt>
                <c:pt idx="1112">
                  <c:v>26.97784775831521</c:v>
                </c:pt>
                <c:pt idx="1113">
                  <c:v>26.979947279044566</c:v>
                </c:pt>
                <c:pt idx="1114">
                  <c:v>26.982051453541061</c:v>
                </c:pt>
                <c:pt idx="1115">
                  <c:v>26.984160297729964</c:v>
                </c:pt>
                <c:pt idx="1116">
                  <c:v>26.986273827610749</c:v>
                </c:pt>
                <c:pt idx="1117">
                  <c:v>26.988392059257567</c:v>
                </c:pt>
                <c:pt idx="1118">
                  <c:v>26.99051500881972</c:v>
                </c:pt>
                <c:pt idx="1119">
                  <c:v>26.992642692522036</c:v>
                </c:pt>
                <c:pt idx="1120">
                  <c:v>26.994775126665377</c:v>
                </c:pt>
                <c:pt idx="1121">
                  <c:v>26.996912327627044</c:v>
                </c:pt>
                <c:pt idx="1122">
                  <c:v>26.999054311861279</c:v>
                </c:pt>
                <c:pt idx="1123">
                  <c:v>27.001201095899692</c:v>
                </c:pt>
                <c:pt idx="1124">
                  <c:v>27.003352696351762</c:v>
                </c:pt>
                <c:pt idx="1125">
                  <c:v>27.005509129905235</c:v>
                </c:pt>
                <c:pt idx="1126">
                  <c:v>27.007670413326679</c:v>
                </c:pt>
                <c:pt idx="1127">
                  <c:v>27.00983656346185</c:v>
                </c:pt>
                <c:pt idx="1128">
                  <c:v>27.012007597236302</c:v>
                </c:pt>
                <c:pt idx="1129">
                  <c:v>27.014183531655753</c:v>
                </c:pt>
                <c:pt idx="1130">
                  <c:v>27.016364383806629</c:v>
                </c:pt>
                <c:pt idx="1131">
                  <c:v>27.018550170856521</c:v>
                </c:pt>
                <c:pt idx="1132">
                  <c:v>27.020740910054691</c:v>
                </c:pt>
                <c:pt idx="1133">
                  <c:v>27.022936618732572</c:v>
                </c:pt>
                <c:pt idx="1134">
                  <c:v>27.025137314304235</c:v>
                </c:pt>
                <c:pt idx="1135">
                  <c:v>27.027343014266947</c:v>
                </c:pt>
                <c:pt idx="1136">
                  <c:v>27.029553736201589</c:v>
                </c:pt>
                <c:pt idx="1137">
                  <c:v>27.031769497773269</c:v>
                </c:pt>
                <c:pt idx="1138">
                  <c:v>27.033990316731757</c:v>
                </c:pt>
                <c:pt idx="1139">
                  <c:v>27.036216210911999</c:v>
                </c:pt>
                <c:pt idx="1140">
                  <c:v>27.038447198234714</c:v>
                </c:pt>
                <c:pt idx="1141">
                  <c:v>27.040683296706845</c:v>
                </c:pt>
                <c:pt idx="1142">
                  <c:v>27.042924524422126</c:v>
                </c:pt>
                <c:pt idx="1143">
                  <c:v>27.045170899561565</c:v>
                </c:pt>
                <c:pt idx="1144">
                  <c:v>27.047422440394037</c:v>
                </c:pt>
                <c:pt idx="1145">
                  <c:v>27.049679165276778</c:v>
                </c:pt>
                <c:pt idx="1146">
                  <c:v>27.051941092656001</c:v>
                </c:pt>
                <c:pt idx="1147">
                  <c:v>27.054208241067322</c:v>
                </c:pt>
                <c:pt idx="1148">
                  <c:v>27.056480629136445</c:v>
                </c:pt>
                <c:pt idx="1149">
                  <c:v>27.058758275579638</c:v>
                </c:pt>
                <c:pt idx="1150">
                  <c:v>27.061041199204297</c:v>
                </c:pt>
                <c:pt idx="1151">
                  <c:v>27.063329418909532</c:v>
                </c:pt>
                <c:pt idx="1152">
                  <c:v>27.065622953686741</c:v>
                </c:pt>
                <c:pt idx="1153">
                  <c:v>27.067921822620157</c:v>
                </c:pt>
                <c:pt idx="1154">
                  <c:v>27.070226044887459</c:v>
                </c:pt>
                <c:pt idx="1155">
                  <c:v>27.072535639760321</c:v>
                </c:pt>
                <c:pt idx="1156">
                  <c:v>27.074850626605009</c:v>
                </c:pt>
                <c:pt idx="1157">
                  <c:v>27.077171024882965</c:v>
                </c:pt>
                <c:pt idx="1158">
                  <c:v>27.079496854151454</c:v>
                </c:pt>
                <c:pt idx="1159">
                  <c:v>27.081828134064082</c:v>
                </c:pt>
                <c:pt idx="1160">
                  <c:v>27.084164884371482</c:v>
                </c:pt>
                <c:pt idx="1161">
                  <c:v>27.08650712492182</c:v>
                </c:pt>
                <c:pt idx="1162">
                  <c:v>27.088854875661532</c:v>
                </c:pt>
                <c:pt idx="1163">
                  <c:v>27.091208156635833</c:v>
                </c:pt>
                <c:pt idx="1164">
                  <c:v>27.093566987989398</c:v>
                </c:pt>
                <c:pt idx="1165">
                  <c:v>27.095931389967014</c:v>
                </c:pt>
                <c:pt idx="1166">
                  <c:v>27.098301382914169</c:v>
                </c:pt>
                <c:pt idx="1167">
                  <c:v>27.100676987277605</c:v>
                </c:pt>
                <c:pt idx="1168">
                  <c:v>27.103058223606212</c:v>
                </c:pt>
                <c:pt idx="1169">
                  <c:v>27.105445112551383</c:v>
                </c:pt>
                <c:pt idx="1170">
                  <c:v>27.107837674867884</c:v>
                </c:pt>
                <c:pt idx="1171">
                  <c:v>27.110235931414369</c:v>
                </c:pt>
                <c:pt idx="1172">
                  <c:v>27.112639903154143</c:v>
                </c:pt>
                <c:pt idx="1173">
                  <c:v>27.115049611155762</c:v>
                </c:pt>
                <c:pt idx="1174">
                  <c:v>27.11746507659376</c:v>
                </c:pt>
                <c:pt idx="1175">
                  <c:v>27.119886320749277</c:v>
                </c:pt>
                <c:pt idx="1176">
                  <c:v>27.122313365010744</c:v>
                </c:pt>
                <c:pt idx="1177">
                  <c:v>27.124746230874663</c:v>
                </c:pt>
                <c:pt idx="1178">
                  <c:v>27.12718493994613</c:v>
                </c:pt>
                <c:pt idx="1179">
                  <c:v>27.129629513939733</c:v>
                </c:pt>
                <c:pt idx="1180">
                  <c:v>27.132079974680071</c:v>
                </c:pt>
                <c:pt idx="1181">
                  <c:v>27.134536344102642</c:v>
                </c:pt>
                <c:pt idx="1182">
                  <c:v>27.136998644254422</c:v>
                </c:pt>
                <c:pt idx="1183">
                  <c:v>27.139466897294572</c:v>
                </c:pt>
                <c:pt idx="1184">
                  <c:v>27.141941125495357</c:v>
                </c:pt>
                <c:pt idx="1185">
                  <c:v>27.144421351242666</c:v>
                </c:pt>
                <c:pt idx="1186">
                  <c:v>27.146907597036822</c:v>
                </c:pt>
                <c:pt idx="1187">
                  <c:v>27.149399885493398</c:v>
                </c:pt>
                <c:pt idx="1188">
                  <c:v>27.151898239343883</c:v>
                </c:pt>
                <c:pt idx="1189">
                  <c:v>27.154402681436466</c:v>
                </c:pt>
                <c:pt idx="1190">
                  <c:v>27.156913234736749</c:v>
                </c:pt>
                <c:pt idx="1191">
                  <c:v>27.15942992232868</c:v>
                </c:pt>
                <c:pt idx="1192">
                  <c:v>27.161952767415077</c:v>
                </c:pt>
                <c:pt idx="1193">
                  <c:v>27.164481793318647</c:v>
                </c:pt>
                <c:pt idx="1194">
                  <c:v>27.167017023482618</c:v>
                </c:pt>
                <c:pt idx="1195">
                  <c:v>27.169558481471604</c:v>
                </c:pt>
                <c:pt idx="1196">
                  <c:v>27.1721061909724</c:v>
                </c:pt>
                <c:pt idx="1197">
                  <c:v>27.174660175794735</c:v>
                </c:pt>
                <c:pt idx="1198">
                  <c:v>27.177220459872171</c:v>
                </c:pt>
                <c:pt idx="1199">
                  <c:v>27.179787067262833</c:v>
                </c:pt>
                <c:pt idx="1200">
                  <c:v>27.182360022150316</c:v>
                </c:pt>
                <c:pt idx="1201">
                  <c:v>27.184939348844456</c:v>
                </c:pt>
                <c:pt idx="1202">
                  <c:v>27.187525071782201</c:v>
                </c:pt>
                <c:pt idx="1203">
                  <c:v>27.19011721552846</c:v>
                </c:pt>
                <c:pt idx="1204">
                  <c:v>27.19271580477691</c:v>
                </c:pt>
                <c:pt idx="1205">
                  <c:v>27.195320864350936</c:v>
                </c:pt>
                <c:pt idx="1206">
                  <c:v>27.197932419204463</c:v>
                </c:pt>
                <c:pt idx="1207">
                  <c:v>27.200550494422764</c:v>
                </c:pt>
                <c:pt idx="1208">
                  <c:v>27.203175115223427</c:v>
                </c:pt>
                <c:pt idx="1209">
                  <c:v>27.205806306957271</c:v>
                </c:pt>
                <c:pt idx="1210">
                  <c:v>27.208444095109076</c:v>
                </c:pt>
                <c:pt idx="1211">
                  <c:v>27.211088505298669</c:v>
                </c:pt>
                <c:pt idx="1212">
                  <c:v>27.213739563281756</c:v>
                </c:pt>
                <c:pt idx="1213">
                  <c:v>27.216397294950852</c:v>
                </c:pt>
                <c:pt idx="1214">
                  <c:v>27.219061726336172</c:v>
                </c:pt>
                <c:pt idx="1215">
                  <c:v>27.221732883606585</c:v>
                </c:pt>
                <c:pt idx="1216">
                  <c:v>27.224410793070611</c:v>
                </c:pt>
                <c:pt idx="1217">
                  <c:v>27.227095481177294</c:v>
                </c:pt>
                <c:pt idx="1218">
                  <c:v>27.229786974517182</c:v>
                </c:pt>
                <c:pt idx="1219">
                  <c:v>27.232485299823296</c:v>
                </c:pt>
                <c:pt idx="1220">
                  <c:v>27.235190483972101</c:v>
                </c:pt>
                <c:pt idx="1221">
                  <c:v>27.237902553984512</c:v>
                </c:pt>
                <c:pt idx="1222">
                  <c:v>27.240621537026776</c:v>
                </c:pt>
                <c:pt idx="1223">
                  <c:v>27.243347460411687</c:v>
                </c:pt>
                <c:pt idx="1224">
                  <c:v>27.246080351599353</c:v>
                </c:pt>
                <c:pt idx="1225">
                  <c:v>27.248820238198306</c:v>
                </c:pt>
                <c:pt idx="1226">
                  <c:v>27.251567147966604</c:v>
                </c:pt>
                <c:pt idx="1227">
                  <c:v>27.254321108812732</c:v>
                </c:pt>
                <c:pt idx="1228">
                  <c:v>27.257082148796691</c:v>
                </c:pt>
                <c:pt idx="1229">
                  <c:v>27.259850296131109</c:v>
                </c:pt>
                <c:pt idx="1230">
                  <c:v>27.262625579182178</c:v>
                </c:pt>
                <c:pt idx="1231">
                  <c:v>27.265408026470844</c:v>
                </c:pt>
                <c:pt idx="1232">
                  <c:v>27.268197666673775</c:v>
                </c:pt>
                <c:pt idx="1233">
                  <c:v>27.270994528624485</c:v>
                </c:pt>
                <c:pt idx="1234">
                  <c:v>27.273798641314482</c:v>
                </c:pt>
                <c:pt idx="1235">
                  <c:v>27.276610033894304</c:v>
                </c:pt>
                <c:pt idx="1236">
                  <c:v>27.27942873567461</c:v>
                </c:pt>
                <c:pt idx="1237">
                  <c:v>27.282254776127381</c:v>
                </c:pt>
                <c:pt idx="1238">
                  <c:v>27.285088184887041</c:v>
                </c:pt>
                <c:pt idx="1239">
                  <c:v>27.28792899175151</c:v>
                </c:pt>
                <c:pt idx="1240">
                  <c:v>27.290777226683424</c:v>
                </c:pt>
                <c:pt idx="1241">
                  <c:v>27.293632919811309</c:v>
                </c:pt>
                <c:pt idx="1242">
                  <c:v>27.29649610143067</c:v>
                </c:pt>
                <c:pt idx="1243">
                  <c:v>27.29936680200532</c:v>
                </c:pt>
                <c:pt idx="1244">
                  <c:v>27.302245052168431</c:v>
                </c:pt>
                <c:pt idx="1245">
                  <c:v>27.305130882723738</c:v>
                </c:pt>
                <c:pt idx="1246">
                  <c:v>27.308024324646858</c:v>
                </c:pt>
                <c:pt idx="1247">
                  <c:v>27.310925409086412</c:v>
                </c:pt>
                <c:pt idx="1248">
                  <c:v>27.313834167365314</c:v>
                </c:pt>
                <c:pt idx="1249">
                  <c:v>27.316750630982003</c:v>
                </c:pt>
                <c:pt idx="1250">
                  <c:v>27.319674831611607</c:v>
                </c:pt>
                <c:pt idx="1251">
                  <c:v>27.322606801107419</c:v>
                </c:pt>
                <c:pt idx="1252">
                  <c:v>27.325546571501928</c:v>
                </c:pt>
                <c:pt idx="1253">
                  <c:v>27.328494175008295</c:v>
                </c:pt>
                <c:pt idx="1254">
                  <c:v>27.331449644021514</c:v>
                </c:pt>
                <c:pt idx="1255">
                  <c:v>27.334413011119846</c:v>
                </c:pt>
                <c:pt idx="1256">
                  <c:v>27.337384309065971</c:v>
                </c:pt>
                <c:pt idx="1257">
                  <c:v>27.340363570808588</c:v>
                </c:pt>
                <c:pt idx="1258">
                  <c:v>27.343350829483466</c:v>
                </c:pt>
                <c:pt idx="1259">
                  <c:v>27.346346118414996</c:v>
                </c:pt>
                <c:pt idx="1260">
                  <c:v>27.349349471117428</c:v>
                </c:pt>
                <c:pt idx="1261">
                  <c:v>27.352360921296437</c:v>
                </c:pt>
                <c:pt idx="1262">
                  <c:v>27.355380502850263</c:v>
                </c:pt>
                <c:pt idx="1263">
                  <c:v>27.358408249871349</c:v>
                </c:pt>
                <c:pt idx="1264">
                  <c:v>27.361444196647614</c:v>
                </c:pt>
                <c:pt idx="1265">
                  <c:v>27.364488377663957</c:v>
                </c:pt>
                <c:pt idx="1266">
                  <c:v>27.367540827603626</c:v>
                </c:pt>
                <c:pt idx="1267">
                  <c:v>27.370601581349788</c:v>
                </c:pt>
                <c:pt idx="1268">
                  <c:v>27.373670673986862</c:v>
                </c:pt>
                <c:pt idx="1269">
                  <c:v>27.376748140802121</c:v>
                </c:pt>
                <c:pt idx="1270">
                  <c:v>27.379834017287092</c:v>
                </c:pt>
                <c:pt idx="1271">
                  <c:v>27.382928339139131</c:v>
                </c:pt>
                <c:pt idx="1272">
                  <c:v>27.386031142262912</c:v>
                </c:pt>
                <c:pt idx="1273">
                  <c:v>27.389142462771982</c:v>
                </c:pt>
                <c:pt idx="1274">
                  <c:v>27.392262336990299</c:v>
                </c:pt>
                <c:pt idx="1275">
                  <c:v>27.395390801453814</c:v>
                </c:pt>
                <c:pt idx="1276">
                  <c:v>27.398527892911975</c:v>
                </c:pt>
                <c:pt idx="1277">
                  <c:v>27.40167364832946</c:v>
                </c:pt>
                <c:pt idx="1278">
                  <c:v>27.404828104887624</c:v>
                </c:pt>
                <c:pt idx="1279">
                  <c:v>27.407991299986264</c:v>
                </c:pt>
                <c:pt idx="1280">
                  <c:v>27.411163271245165</c:v>
                </c:pt>
                <c:pt idx="1281">
                  <c:v>27.414344056505765</c:v>
                </c:pt>
                <c:pt idx="1282">
                  <c:v>27.417533693832816</c:v>
                </c:pt>
                <c:pt idx="1283">
                  <c:v>27.420732221516133</c:v>
                </c:pt>
                <c:pt idx="1284">
                  <c:v>27.423939678072227</c:v>
                </c:pt>
                <c:pt idx="1285">
                  <c:v>27.427156102245981</c:v>
                </c:pt>
                <c:pt idx="1286">
                  <c:v>27.430381533012486</c:v>
                </c:pt>
                <c:pt idx="1287">
                  <c:v>27.433616009578703</c:v>
                </c:pt>
                <c:pt idx="1288">
                  <c:v>27.436859571385266</c:v>
                </c:pt>
                <c:pt idx="1289">
                  <c:v>27.44011225810824</c:v>
                </c:pt>
                <c:pt idx="1290">
                  <c:v>27.443374109660891</c:v>
                </c:pt>
                <c:pt idx="1291">
                  <c:v>27.446645166195573</c:v>
                </c:pt>
                <c:pt idx="1292">
                  <c:v>27.449925468105416</c:v>
                </c:pt>
                <c:pt idx="1293">
                  <c:v>27.45321505602638</c:v>
                </c:pt>
                <c:pt idx="1294">
                  <c:v>27.456513970838881</c:v>
                </c:pt>
                <c:pt idx="1295">
                  <c:v>27.459822253669852</c:v>
                </c:pt>
                <c:pt idx="1296">
                  <c:v>27.463139945894572</c:v>
                </c:pt>
                <c:pt idx="1297">
                  <c:v>27.466467089138515</c:v>
                </c:pt>
                <c:pt idx="1298">
                  <c:v>27.469803725279402</c:v>
                </c:pt>
                <c:pt idx="1299">
                  <c:v>27.473149896449097</c:v>
                </c:pt>
                <c:pt idx="1300">
                  <c:v>27.476505645035562</c:v>
                </c:pt>
                <c:pt idx="1301">
                  <c:v>27.479871013684839</c:v>
                </c:pt>
                <c:pt idx="1302">
                  <c:v>27.483246045303105</c:v>
                </c:pt>
                <c:pt idx="1303">
                  <c:v>27.486630783058644</c:v>
                </c:pt>
                <c:pt idx="1304">
                  <c:v>27.490025270383946</c:v>
                </c:pt>
                <c:pt idx="1305">
                  <c:v>27.493429550977702</c:v>
                </c:pt>
                <c:pt idx="1306">
                  <c:v>27.49684366880691</c:v>
                </c:pt>
                <c:pt idx="1307">
                  <c:v>27.500267668109082</c:v>
                </c:pt>
                <c:pt idx="1308">
                  <c:v>27.503701593394176</c:v>
                </c:pt>
                <c:pt idx="1309">
                  <c:v>27.507145489446906</c:v>
                </c:pt>
                <c:pt idx="1310">
                  <c:v>27.510599401328818</c:v>
                </c:pt>
                <c:pt idx="1311">
                  <c:v>27.514063374380527</c:v>
                </c:pt>
                <c:pt idx="1312">
                  <c:v>27.51753745422387</c:v>
                </c:pt>
                <c:pt idx="1313">
                  <c:v>27.521021686764175</c:v>
                </c:pt>
                <c:pt idx="1314">
                  <c:v>27.524516118192501</c:v>
                </c:pt>
                <c:pt idx="1315">
                  <c:v>27.528020794987885</c:v>
                </c:pt>
                <c:pt idx="1316">
                  <c:v>27.531535763919717</c:v>
                </c:pt>
                <c:pt idx="1317">
                  <c:v>27.53506107204991</c:v>
                </c:pt>
                <c:pt idx="1318">
                  <c:v>27.538596766735385</c:v>
                </c:pt>
                <c:pt idx="1319">
                  <c:v>27.542142895630349</c:v>
                </c:pt>
                <c:pt idx="1320">
                  <c:v>27.545699506688713</c:v>
                </c:pt>
                <c:pt idx="1321">
                  <c:v>27.549266648166473</c:v>
                </c:pt>
                <c:pt idx="1322">
                  <c:v>27.552844368624143</c:v>
                </c:pt>
                <c:pt idx="1323">
                  <c:v>27.556432716929262</c:v>
                </c:pt>
                <c:pt idx="1324">
                  <c:v>27.560031742258797</c:v>
                </c:pt>
                <c:pt idx="1325">
                  <c:v>27.563641494101685</c:v>
                </c:pt>
                <c:pt idx="1326">
                  <c:v>27.567262022261421</c:v>
                </c:pt>
                <c:pt idx="1327">
                  <c:v>27.570893376858439</c:v>
                </c:pt>
                <c:pt idx="1328">
                  <c:v>27.574535608332855</c:v>
                </c:pt>
                <c:pt idx="1329">
                  <c:v>27.578188767447084</c:v>
                </c:pt>
                <c:pt idx="1330">
                  <c:v>27.581852905288308</c:v>
                </c:pt>
                <c:pt idx="1331">
                  <c:v>27.585528073271259</c:v>
                </c:pt>
                <c:pt idx="1332">
                  <c:v>27.589214323140883</c:v>
                </c:pt>
                <c:pt idx="1333">
                  <c:v>27.592911706975027</c:v>
                </c:pt>
                <c:pt idx="1334">
                  <c:v>27.596620277187178</c:v>
                </c:pt>
                <c:pt idx="1335">
                  <c:v>27.600340086529297</c:v>
                </c:pt>
                <c:pt idx="1336">
                  <c:v>27.604071188094416</c:v>
                </c:pt>
                <c:pt idx="1337">
                  <c:v>27.60781363531974</c:v>
                </c:pt>
                <c:pt idx="1338">
                  <c:v>27.611567481989312</c:v>
                </c:pt>
                <c:pt idx="1339">
                  <c:v>27.615332782236841</c:v>
                </c:pt>
                <c:pt idx="1340">
                  <c:v>27.619109590548792</c:v>
                </c:pt>
                <c:pt idx="1341">
                  <c:v>27.622897961767187</c:v>
                </c:pt>
                <c:pt idx="1342">
                  <c:v>27.62669795109263</c:v>
                </c:pt>
                <c:pt idx="1343">
                  <c:v>27.630509614087273</c:v>
                </c:pt>
                <c:pt idx="1344">
                  <c:v>27.634333006677831</c:v>
                </c:pt>
                <c:pt idx="1345">
                  <c:v>27.638168185158687</c:v>
                </c:pt>
                <c:pt idx="1346">
                  <c:v>27.64201520619498</c:v>
                </c:pt>
                <c:pt idx="1347">
                  <c:v>27.64587412682565</c:v>
                </c:pt>
                <c:pt idx="1348">
                  <c:v>27.64974500446673</c:v>
                </c:pt>
                <c:pt idx="1349">
                  <c:v>27.653627896914347</c:v>
                </c:pt>
                <c:pt idx="1350">
                  <c:v>27.657522862348092</c:v>
                </c:pt>
                <c:pt idx="1351">
                  <c:v>27.66142995933426</c:v>
                </c:pt>
                <c:pt idx="1352">
                  <c:v>27.665349246828992</c:v>
                </c:pt>
                <c:pt idx="1353">
                  <c:v>27.669280784181815</c:v>
                </c:pt>
                <c:pt idx="1354">
                  <c:v>27.673224631138812</c:v>
                </c:pt>
                <c:pt idx="1355">
                  <c:v>27.677180847846106</c:v>
                </c:pt>
                <c:pt idx="1356">
                  <c:v>27.681149494853258</c:v>
                </c:pt>
                <c:pt idx="1357">
                  <c:v>27.685130633116692</c:v>
                </c:pt>
                <c:pt idx="1358">
                  <c:v>27.689124324003327</c:v>
                </c:pt>
                <c:pt idx="1359">
                  <c:v>27.693130629293872</c:v>
                </c:pt>
                <c:pt idx="1360">
                  <c:v>27.697149611186667</c:v>
                </c:pt>
                <c:pt idx="1361">
                  <c:v>27.701181332301111</c:v>
                </c:pt>
                <c:pt idx="1362">
                  <c:v>27.705225855681341</c:v>
                </c:pt>
                <c:pt idx="1363">
                  <c:v>27.709283244799973</c:v>
                </c:pt>
                <c:pt idx="1364">
                  <c:v>27.71335356356175</c:v>
                </c:pt>
                <c:pt idx="1365">
                  <c:v>27.717436876307382</c:v>
                </c:pt>
                <c:pt idx="1366">
                  <c:v>27.721533247817291</c:v>
                </c:pt>
                <c:pt idx="1367">
                  <c:v>27.725642743315504</c:v>
                </c:pt>
                <c:pt idx="1368">
                  <c:v>27.72976542847351</c:v>
                </c:pt>
                <c:pt idx="1369">
                  <c:v>27.733901369414163</c:v>
                </c:pt>
                <c:pt idx="1370">
                  <c:v>27.738050632715691</c:v>
                </c:pt>
                <c:pt idx="1371">
                  <c:v>27.742213285415716</c:v>
                </c:pt>
                <c:pt idx="1372">
                  <c:v>27.746389395015285</c:v>
                </c:pt>
                <c:pt idx="1373">
                  <c:v>27.750579029482928</c:v>
                </c:pt>
                <c:pt idx="1374">
                  <c:v>27.754782257258938</c:v>
                </c:pt>
                <c:pt idx="1375">
                  <c:v>27.758999147259392</c:v>
                </c:pt>
                <c:pt idx="1376">
                  <c:v>27.763229768880482</c:v>
                </c:pt>
                <c:pt idx="1377">
                  <c:v>27.767474192002801</c:v>
                </c:pt>
                <c:pt idx="1378">
                  <c:v>27.771732486995603</c:v>
                </c:pt>
                <c:pt idx="1379">
                  <c:v>27.776004724721268</c:v>
                </c:pt>
                <c:pt idx="1380">
                  <c:v>27.780290976539622</c:v>
                </c:pt>
                <c:pt idx="1381">
                  <c:v>27.784591314312514</c:v>
                </c:pt>
                <c:pt idx="1382">
                  <c:v>27.788905810408217</c:v>
                </c:pt>
                <c:pt idx="1383">
                  <c:v>27.793234537706166</c:v>
                </c:pt>
                <c:pt idx="1384">
                  <c:v>27.797577569601327</c:v>
                </c:pt>
                <c:pt idx="1385">
                  <c:v>27.801934980009136</c:v>
                </c:pt>
                <c:pt idx="1386">
                  <c:v>27.806306843370042</c:v>
                </c:pt>
                <c:pt idx="1387">
                  <c:v>27.810693234654359</c:v>
                </c:pt>
                <c:pt idx="1388">
                  <c:v>27.815094229367084</c:v>
                </c:pt>
                <c:pt idx="1389">
                  <c:v>27.819509903552738</c:v>
                </c:pt>
                <c:pt idx="1390">
                  <c:v>27.823940333800376</c:v>
                </c:pt>
                <c:pt idx="1391">
                  <c:v>27.828385597248474</c:v>
                </c:pt>
                <c:pt idx="1392">
                  <c:v>27.832845771590115</c:v>
                </c:pt>
                <c:pt idx="1393">
                  <c:v>27.837320935078001</c:v>
                </c:pt>
                <c:pt idx="1394">
                  <c:v>27.841811166529602</c:v>
                </c:pt>
                <c:pt idx="1395">
                  <c:v>27.846316545332378</c:v>
                </c:pt>
                <c:pt idx="1396">
                  <c:v>27.850837151449209</c:v>
                </c:pt>
                <c:pt idx="1397">
                  <c:v>27.855373065423475</c:v>
                </c:pt>
                <c:pt idx="1398">
                  <c:v>27.859924368384704</c:v>
                </c:pt>
                <c:pt idx="1399">
                  <c:v>27.864491142053826</c:v>
                </c:pt>
                <c:pt idx="1400">
                  <c:v>27.869073468748905</c:v>
                </c:pt>
                <c:pt idx="1401">
                  <c:v>27.873671431390463</c:v>
                </c:pt>
                <c:pt idx="1402">
                  <c:v>27.878285113507445</c:v>
                </c:pt>
                <c:pt idx="1403">
                  <c:v>27.882914599242653</c:v>
                </c:pt>
                <c:pt idx="1404">
                  <c:v>27.887559973358744</c:v>
                </c:pt>
                <c:pt idx="1405">
                  <c:v>27.892221321243873</c:v>
                </c:pt>
                <c:pt idx="1406">
                  <c:v>27.89689872891778</c:v>
                </c:pt>
                <c:pt idx="1407">
                  <c:v>27.901592283037683</c:v>
                </c:pt>
                <c:pt idx="1408">
                  <c:v>27.90630207090441</c:v>
                </c:pt>
                <c:pt idx="1409">
                  <c:v>27.911028180468424</c:v>
                </c:pt>
                <c:pt idx="1410">
                  <c:v>27.915770700336044</c:v>
                </c:pt>
                <c:pt idx="1411">
                  <c:v>27.920529719775782</c:v>
                </c:pt>
                <c:pt idx="1412">
                  <c:v>27.92530532872463</c:v>
                </c:pt>
                <c:pt idx="1413">
                  <c:v>27.930097617794441</c:v>
                </c:pt>
                <c:pt idx="1414">
                  <c:v>27.934906678278502</c:v>
                </c:pt>
                <c:pt idx="1415">
                  <c:v>27.939732602158017</c:v>
                </c:pt>
                <c:pt idx="1416">
                  <c:v>27.944575482108824</c:v>
                </c:pt>
                <c:pt idx="1417">
                  <c:v>27.949435411508077</c:v>
                </c:pt>
                <c:pt idx="1418">
                  <c:v>27.954312484441054</c:v>
                </c:pt>
                <c:pt idx="1419">
                  <c:v>27.959206795708038</c:v>
                </c:pt>
                <c:pt idx="1420">
                  <c:v>27.964118440831299</c:v>
                </c:pt>
                <c:pt idx="1421">
                  <c:v>27.96904751606213</c:v>
                </c:pt>
                <c:pt idx="1422">
                  <c:v>27.973994118387981</c:v>
                </c:pt>
                <c:pt idx="1423">
                  <c:v>27.978958345539667</c:v>
                </c:pt>
                <c:pt idx="1424">
                  <c:v>27.983940295998725</c:v>
                </c:pt>
                <c:pt idx="1425">
                  <c:v>27.988940069004677</c:v>
                </c:pt>
                <c:pt idx="1426">
                  <c:v>27.993957764562719</c:v>
                </c:pt>
                <c:pt idx="1427">
                  <c:v>27.998993483451077</c:v>
                </c:pt>
                <c:pt idx="1428">
                  <c:v>28.004047327228836</c:v>
                </c:pt>
                <c:pt idx="1429">
                  <c:v>28.009119398243566</c:v>
                </c:pt>
                <c:pt idx="1430">
                  <c:v>28.014209799639332</c:v>
                </c:pt>
                <c:pt idx="1431">
                  <c:v>28.019318635364456</c:v>
                </c:pt>
                <c:pt idx="1432">
                  <c:v>28.024446010179684</c:v>
                </c:pt>
                <c:pt idx="1433">
                  <c:v>28.029592029666336</c:v>
                </c:pt>
                <c:pt idx="1434">
                  <c:v>28.034756800234469</c:v>
                </c:pt>
                <c:pt idx="1435">
                  <c:v>28.039940429131292</c:v>
                </c:pt>
                <c:pt idx="1436">
                  <c:v>28.045143024449576</c:v>
                </c:pt>
                <c:pt idx="1437">
                  <c:v>28.05036469513621</c:v>
                </c:pt>
                <c:pt idx="1438">
                  <c:v>28.055605551000877</c:v>
                </c:pt>
                <c:pt idx="1439">
                  <c:v>28.060865702724826</c:v>
                </c:pt>
                <c:pt idx="1440">
                  <c:v>28.066145261869721</c:v>
                </c:pt>
                <c:pt idx="1441">
                  <c:v>28.071444340886629</c:v>
                </c:pt>
                <c:pt idx="1442">
                  <c:v>28.076763053125145</c:v>
                </c:pt>
                <c:pt idx="1443">
                  <c:v>28.082101512842517</c:v>
                </c:pt>
                <c:pt idx="1444">
                  <c:v>28.087459835213149</c:v>
                </c:pt>
                <c:pt idx="1445">
                  <c:v>28.092838136337857</c:v>
                </c:pt>
                <c:pt idx="1446">
                  <c:v>28.098236533253584</c:v>
                </c:pt>
                <c:pt idx="1447">
                  <c:v>28.103655143942945</c:v>
                </c:pt>
                <c:pt idx="1448">
                  <c:v>28.109094087344147</c:v>
                </c:pt>
                <c:pt idx="1449">
                  <c:v>28.114553483360908</c:v>
                </c:pt>
                <c:pt idx="1450">
                  <c:v>28.120033452872409</c:v>
                </c:pt>
                <c:pt idx="1451">
                  <c:v>28.125534117743722</c:v>
                </c:pt>
                <c:pt idx="1452">
                  <c:v>28.131055600835769</c:v>
                </c:pt>
                <c:pt idx="1453">
                  <c:v>28.136598026016152</c:v>
                </c:pt>
                <c:pt idx="1454">
                  <c:v>28.142161518169484</c:v>
                </c:pt>
                <c:pt idx="1455">
                  <c:v>28.147746203208182</c:v>
                </c:pt>
                <c:pt idx="1456">
                  <c:v>28.153352208083383</c:v>
                </c:pt>
                <c:pt idx="1457">
                  <c:v>28.158979660795893</c:v>
                </c:pt>
                <c:pt idx="1458">
                  <c:v>28.16462869040728</c:v>
                </c:pt>
                <c:pt idx="1459">
                  <c:v>28.170299427051319</c:v>
                </c:pt>
                <c:pt idx="1460">
                  <c:v>28.175992001945215</c:v>
                </c:pt>
                <c:pt idx="1461">
                  <c:v>28.18170654740144</c:v>
                </c:pt>
                <c:pt idx="1462">
                  <c:v>28.187443196839222</c:v>
                </c:pt>
                <c:pt idx="1463">
                  <c:v>28.19320208479661</c:v>
                </c:pt>
                <c:pt idx="1464">
                  <c:v>28.198983346942484</c:v>
                </c:pt>
                <c:pt idx="1465">
                  <c:v>28.204787120088714</c:v>
                </c:pt>
                <c:pt idx="1466">
                  <c:v>28.210613542202577</c:v>
                </c:pt>
                <c:pt idx="1467">
                  <c:v>28.216462752419275</c:v>
                </c:pt>
                <c:pt idx="1468">
                  <c:v>28.222334891054665</c:v>
                </c:pt>
                <c:pt idx="1469">
                  <c:v>28.228230099618042</c:v>
                </c:pt>
                <c:pt idx="1470">
                  <c:v>28.234148520825332</c:v>
                </c:pt>
                <c:pt idx="1471">
                  <c:v>28.240090298612191</c:v>
                </c:pt>
                <c:pt idx="1472">
                  <c:v>28.246055578147384</c:v>
                </c:pt>
                <c:pt idx="1473">
                  <c:v>28.252044505846499</c:v>
                </c:pt>
                <c:pt idx="1474">
                  <c:v>28.258057229385521</c:v>
                </c:pt>
                <c:pt idx="1475">
                  <c:v>28.264093897714993</c:v>
                </c:pt>
                <c:pt idx="1476">
                  <c:v>28.270154661073938</c:v>
                </c:pt>
                <c:pt idx="1477">
                  <c:v>28.27623967100434</c:v>
                </c:pt>
                <c:pt idx="1478">
                  <c:v>28.282349080365556</c:v>
                </c:pt>
                <c:pt idx="1479">
                  <c:v>28.288483043349132</c:v>
                </c:pt>
                <c:pt idx="1480">
                  <c:v>28.294641715493714</c:v>
                </c:pt>
                <c:pt idx="1481">
                  <c:v>28.300825253700104</c:v>
                </c:pt>
                <c:pt idx="1482">
                  <c:v>28.307033816246665</c:v>
                </c:pt>
                <c:pt idx="1483">
                  <c:v>28.313267562804846</c:v>
                </c:pt>
                <c:pt idx="1484">
                  <c:v>28.319526654454933</c:v>
                </c:pt>
                <c:pt idx="1485">
                  <c:v>28.325811253702103</c:v>
                </c:pt>
                <c:pt idx="1486">
                  <c:v>28.332121524492539</c:v>
                </c:pt>
                <c:pt idx="1487">
                  <c:v>28.338457632229897</c:v>
                </c:pt>
                <c:pt idx="1488">
                  <c:v>28.344819743792005</c:v>
                </c:pt>
                <c:pt idx="1489">
                  <c:v>28.351208027547759</c:v>
                </c:pt>
                <c:pt idx="1490">
                  <c:v>28.357622653374133</c:v>
                </c:pt>
                <c:pt idx="1491">
                  <c:v>28.364063792673754</c:v>
                </c:pt>
                <c:pt idx="1492">
                  <c:v>28.370531618392373</c:v>
                </c:pt>
                <c:pt idx="1493">
                  <c:v>28.377026305036786</c:v>
                </c:pt>
                <c:pt idx="1494">
                  <c:v>28.383548028692999</c:v>
                </c:pt>
                <c:pt idx="1495">
                  <c:v>28.390096967044514</c:v>
                </c:pt>
                <c:pt idx="1496">
                  <c:v>28.396673299391157</c:v>
                </c:pt>
                <c:pt idx="1497">
                  <c:v>28.403277206667745</c:v>
                </c:pt>
                <c:pt idx="1498">
                  <c:v>28.409908871463486</c:v>
                </c:pt>
                <c:pt idx="1499">
                  <c:v>28.416568478041334</c:v>
                </c:pt>
                <c:pt idx="1500">
                  <c:v>28.423256212357785</c:v>
                </c:pt>
                <c:pt idx="1501">
                  <c:v>28.429972262082885</c:v>
                </c:pt>
                <c:pt idx="1502">
                  <c:v>28.436716816620514</c:v>
                </c:pt>
                <c:pt idx="1503">
                  <c:v>28.443490067129119</c:v>
                </c:pt>
                <c:pt idx="1504">
                  <c:v>28.450292206542489</c:v>
                </c:pt>
                <c:pt idx="1505">
                  <c:v>28.45712342959111</c:v>
                </c:pt>
                <c:pt idx="1506">
                  <c:v>28.463983932823595</c:v>
                </c:pt>
                <c:pt idx="1507">
                  <c:v>28.470873914628626</c:v>
                </c:pt>
                <c:pt idx="1508">
                  <c:v>28.47779357525711</c:v>
                </c:pt>
                <c:pt idx="1509">
                  <c:v>28.484743116844648</c:v>
                </c:pt>
                <c:pt idx="1510">
                  <c:v>28.491722743434394</c:v>
                </c:pt>
                <c:pt idx="1511">
                  <c:v>28.498732661000279</c:v>
                </c:pt>
                <c:pt idx="1512">
                  <c:v>28.505773077470479</c:v>
                </c:pt>
                <c:pt idx="1513">
                  <c:v>28.512844202751335</c:v>
                </c:pt>
                <c:pt idx="1514">
                  <c:v>28.519946248751538</c:v>
                </c:pt>
                <c:pt idx="1515">
                  <c:v>28.527079429406847</c:v>
                </c:pt>
                <c:pt idx="1516">
                  <c:v>28.534243960704927</c:v>
                </c:pt>
                <c:pt idx="1517">
                  <c:v>28.541440060710794</c:v>
                </c:pt>
                <c:pt idx="1518">
                  <c:v>28.548667949592527</c:v>
                </c:pt>
                <c:pt idx="1519">
                  <c:v>28.555927849647379</c:v>
                </c:pt>
                <c:pt idx="1520">
                  <c:v>28.563219985328342</c:v>
                </c:pt>
                <c:pt idx="1521">
                  <c:v>28.570544583271044</c:v>
                </c:pt>
                <c:pt idx="1522">
                  <c:v>28.577901872321174</c:v>
                </c:pt>
                <c:pt idx="1523">
                  <c:v>28.585292083562173</c:v>
                </c:pt>
                <c:pt idx="1524">
                  <c:v>28.592715450343462</c:v>
                </c:pt>
                <c:pt idx="1525">
                  <c:v>28.600172208309072</c:v>
                </c:pt>
                <c:pt idx="1526">
                  <c:v>28.607662595426802</c:v>
                </c:pt>
                <c:pt idx="1527">
                  <c:v>28.615186852017601</c:v>
                </c:pt>
                <c:pt idx="1528">
                  <c:v>28.622745220785756</c:v>
                </c:pt>
                <c:pt idx="1529">
                  <c:v>28.630337946849199</c:v>
                </c:pt>
                <c:pt idx="1530">
                  <c:v>28.637965277770544</c:v>
                </c:pt>
                <c:pt idx="1531">
                  <c:v>28.645627463588514</c:v>
                </c:pt>
                <c:pt idx="1532">
                  <c:v>28.653324756849845</c:v>
                </c:pt>
                <c:pt idx="1533">
                  <c:v>28.661057412641746</c:v>
                </c:pt>
                <c:pt idx="1534">
                  <c:v>28.668825688624874</c:v>
                </c:pt>
                <c:pt idx="1535">
                  <c:v>28.676629845066763</c:v>
                </c:pt>
                <c:pt idx="1536">
                  <c:v>28.684470144875892</c:v>
                </c:pt>
                <c:pt idx="1537">
                  <c:v>28.692346853636252</c:v>
                </c:pt>
                <c:pt idx="1538">
                  <c:v>28.700260239642432</c:v>
                </c:pt>
                <c:pt idx="1539">
                  <c:v>28.708210573935343</c:v>
                </c:pt>
                <c:pt idx="1540">
                  <c:v>28.71619813033843</c:v>
                </c:pt>
                <c:pt idx="1541">
                  <c:v>28.72422318549464</c:v>
                </c:pt>
                <c:pt idx="1542">
                  <c:v>28.732286018903768</c:v>
                </c:pt>
                <c:pt idx="1543">
                  <c:v>28.740386912960542</c:v>
                </c:pt>
                <c:pt idx="1544">
                  <c:v>28.748526152993399</c:v>
                </c:pt>
                <c:pt idx="1545">
                  <c:v>28.756704027303762</c:v>
                </c:pt>
                <c:pt idx="1546">
                  <c:v>28.764920827205966</c:v>
                </c:pt>
                <c:pt idx="1547">
                  <c:v>28.773176847068044</c:v>
                </c:pt>
                <c:pt idx="1548">
                  <c:v>28.781472384352877</c:v>
                </c:pt>
                <c:pt idx="1549">
                  <c:v>28.789807739660372</c:v>
                </c:pt>
                <c:pt idx="1550">
                  <c:v>28.798183216770003</c:v>
                </c:pt>
                <c:pt idx="1551">
                  <c:v>28.806599122684371</c:v>
                </c:pt>
                <c:pt idx="1552">
                  <c:v>28.8150557676733</c:v>
                </c:pt>
                <c:pt idx="1553">
                  <c:v>28.823553465318721</c:v>
                </c:pt>
                <c:pt idx="1554">
                  <c:v>28.83209253256036</c:v>
                </c:pt>
                <c:pt idx="1555">
                  <c:v>28.840673289742174</c:v>
                </c:pt>
                <c:pt idx="1556">
                  <c:v>28.849296060659608</c:v>
                </c:pt>
                <c:pt idx="1557">
                  <c:v>28.857961172607535</c:v>
                </c:pt>
                <c:pt idx="1558">
                  <c:v>28.866668956429205</c:v>
                </c:pt>
                <c:pt idx="1559">
                  <c:v>28.875419746565921</c:v>
                </c:pt>
                <c:pt idx="1560">
                  <c:v>28.884213881107556</c:v>
                </c:pt>
                <c:pt idx="1561">
                  <c:v>28.893051701844051</c:v>
                </c:pt>
                <c:pt idx="1562">
                  <c:v>28.901933554317658</c:v>
                </c:pt>
                <c:pt idx="1563">
                  <c:v>28.910859787876259</c:v>
                </c:pt>
                <c:pt idx="1564">
                  <c:v>28.919830755727464</c:v>
                </c:pt>
                <c:pt idx="1565">
                  <c:v>28.928846814993808</c:v>
                </c:pt>
                <c:pt idx="1566">
                  <c:v>28.937908326768721</c:v>
                </c:pt>
                <c:pt idx="1567">
                  <c:v>28.947015656173747</c:v>
                </c:pt>
                <c:pt idx="1568">
                  <c:v>28.95616917241648</c:v>
                </c:pt>
                <c:pt idx="1569">
                  <c:v>28.965369248849864</c:v>
                </c:pt>
                <c:pt idx="1570">
                  <c:v>28.974616263032178</c:v>
                </c:pt>
                <c:pt idx="1571">
                  <c:v>28.983910596788441</c:v>
                </c:pt>
                <c:pt idx="1572">
                  <c:v>28.993252636272729</c:v>
                </c:pt>
                <c:pt idx="1573">
                  <c:v>29.002642772031564</c:v>
                </c:pt>
                <c:pt idx="1574">
                  <c:v>29.012081399068666</c:v>
                </c:pt>
                <c:pt idx="1575">
                  <c:v>29.021568916910688</c:v>
                </c:pt>
                <c:pt idx="1576">
                  <c:v>29.031105729674181</c:v>
                </c:pt>
                <c:pt idx="1577">
                  <c:v>29.040692246133869</c:v>
                </c:pt>
                <c:pt idx="1578">
                  <c:v>29.050328879792147</c:v>
                </c:pt>
                <c:pt idx="1579">
                  <c:v>29.060016048949713</c:v>
                </c:pt>
                <c:pt idx="1580">
                  <c:v>29.069754176777739</c:v>
                </c:pt>
                <c:pt idx="1581">
                  <c:v>29.079543691391194</c:v>
                </c:pt>
                <c:pt idx="1582">
                  <c:v>29.089385025923647</c:v>
                </c:pt>
                <c:pt idx="1583">
                  <c:v>29.099278618603339</c:v>
                </c:pt>
                <c:pt idx="1584">
                  <c:v>29.109224912830832</c:v>
                </c:pt>
                <c:pt idx="1585">
                  <c:v>29.119224357258041</c:v>
                </c:pt>
                <c:pt idx="1586">
                  <c:v>29.129277405868709</c:v>
                </c:pt>
                <c:pt idx="1587">
                  <c:v>29.139384518060442</c:v>
                </c:pt>
                <c:pt idx="1588">
                  <c:v>29.149546158728384</c:v>
                </c:pt>
                <c:pt idx="1589">
                  <c:v>29.159762798350407</c:v>
                </c:pt>
                <c:pt idx="1590">
                  <c:v>29.170034913073831</c:v>
                </c:pt>
                <c:pt idx="1591">
                  <c:v>29.180362984804038</c:v>
                </c:pt>
                <c:pt idx="1592">
                  <c:v>29.190747501294624</c:v>
                </c:pt>
                <c:pt idx="1593">
                  <c:v>29.20118895623936</c:v>
                </c:pt>
                <c:pt idx="1594">
                  <c:v>29.211687849365934</c:v>
                </c:pt>
                <c:pt idx="1595">
                  <c:v>29.222244686531408</c:v>
                </c:pt>
                <c:pt idx="1596">
                  <c:v>29.232859979819814</c:v>
                </c:pt>
                <c:pt idx="1597">
                  <c:v>29.243534247641339</c:v>
                </c:pt>
                <c:pt idx="1598">
                  <c:v>29.254268014833698</c:v>
                </c:pt>
                <c:pt idx="1599">
                  <c:v>29.265061812765438</c:v>
                </c:pt>
                <c:pt idx="1600">
                  <c:v>29.27591617944119</c:v>
                </c:pt>
                <c:pt idx="1601">
                  <c:v>29.28683165960927</c:v>
                </c:pt>
                <c:pt idx="1602">
                  <c:v>29.297808804871135</c:v>
                </c:pt>
                <c:pt idx="1603">
                  <c:v>29.30884817379329</c:v>
                </c:pt>
                <c:pt idx="1604">
                  <c:v>29.31995033202125</c:v>
                </c:pt>
                <c:pt idx="1605">
                  <c:v>29.331115852396003</c:v>
                </c:pt>
                <c:pt idx="1606">
                  <c:v>29.342345315072581</c:v>
                </c:pt>
                <c:pt idx="1607">
                  <c:v>29.353639307641384</c:v>
                </c:pt>
                <c:pt idx="1608">
                  <c:v>29.36499842525166</c:v>
                </c:pt>
                <c:pt idx="1609">
                  <c:v>29.376423270737742</c:v>
                </c:pt>
                <c:pt idx="1610">
                  <c:v>29.387914454747833</c:v>
                </c:pt>
                <c:pt idx="1611">
                  <c:v>29.399472595875348</c:v>
                </c:pt>
                <c:pt idx="1612">
                  <c:v>29.411098320793176</c:v>
                </c:pt>
                <c:pt idx="1613">
                  <c:v>29.422792264390651</c:v>
                </c:pt>
                <c:pt idx="1614">
                  <c:v>29.434555069913301</c:v>
                </c:pt>
                <c:pt idx="1615">
                  <c:v>29.446387389105752</c:v>
                </c:pt>
                <c:pt idx="1616">
                  <c:v>29.458289882357427</c:v>
                </c:pt>
                <c:pt idx="1617">
                  <c:v>29.470263218851521</c:v>
                </c:pt>
                <c:pt idx="1618">
                  <c:v>29.48230807671704</c:v>
                </c:pt>
                <c:pt idx="1619">
                  <c:v>29.494425143184078</c:v>
                </c:pt>
                <c:pt idx="1620">
                  <c:v>29.506615114742566</c:v>
                </c:pt>
                <c:pt idx="1621">
                  <c:v>29.518878697304267</c:v>
                </c:pt>
                <c:pt idx="1622">
                  <c:v>29.531216606368435</c:v>
                </c:pt>
                <c:pt idx="1623">
                  <c:v>29.543629567190958</c:v>
                </c:pt>
                <c:pt idx="1624">
                  <c:v>29.556118314957256</c:v>
                </c:pt>
                <c:pt idx="1625">
                  <c:v>29.568683594958962</c:v>
                </c:pt>
                <c:pt idx="1626">
                  <c:v>29.581326162774502</c:v>
                </c:pt>
                <c:pt idx="1627">
                  <c:v>29.594046784453653</c:v>
                </c:pt>
                <c:pt idx="1628">
                  <c:v>29.606846236706193</c:v>
                </c:pt>
                <c:pt idx="1629">
                  <c:v>29.619725307094765</c:v>
                </c:pt>
                <c:pt idx="1630">
                  <c:v>29.632684794232123</c:v>
                </c:pt>
                <c:pt idx="1631">
                  <c:v>29.645725507982664</c:v>
                </c:pt>
                <c:pt idx="1632">
                  <c:v>29.658848269668695</c:v>
                </c:pt>
                <c:pt idx="1633">
                  <c:v>29.672053912281275</c:v>
                </c:pt>
                <c:pt idx="1634">
                  <c:v>29.685343280695839</c:v>
                </c:pt>
                <c:pt idx="1635">
                  <c:v>29.698717231892861</c:v>
                </c:pt>
                <c:pt idx="1636">
                  <c:v>29.712176635183535</c:v>
                </c:pt>
                <c:pt idx="1637">
                  <c:v>29.7257223724406</c:v>
                </c:pt>
                <c:pt idx="1638">
                  <c:v>29.739355338334654</c:v>
                </c:pt>
                <c:pt idx="1639">
                  <c:v>29.753076440575899</c:v>
                </c:pt>
                <c:pt idx="1640">
                  <c:v>29.76688660016152</c:v>
                </c:pt>
                <c:pt idx="1641">
                  <c:v>29.780786751628934</c:v>
                </c:pt>
                <c:pt idx="1642">
                  <c:v>29.794777843315043</c:v>
                </c:pt>
                <c:pt idx="1643">
                  <c:v>29.808860837621538</c:v>
                </c:pt>
                <c:pt idx="1644">
                  <c:v>29.823036711286605</c:v>
                </c:pt>
                <c:pt idx="1645">
                  <c:v>29.83730645566316</c:v>
                </c:pt>
                <c:pt idx="1646">
                  <c:v>29.851671077003715</c:v>
                </c:pt>
                <c:pt idx="1647">
                  <c:v>29.866131596752123</c:v>
                </c:pt>
                <c:pt idx="1648">
                  <c:v>29.880689051842499</c:v>
                </c:pt>
                <c:pt idx="1649">
                  <c:v>29.895344495005325</c:v>
                </c:pt>
                <c:pt idx="1650">
                  <c:v>29.91009899508116</c:v>
                </c:pt>
                <c:pt idx="1651">
                  <c:v>29.924953637342018</c:v>
                </c:pt>
                <c:pt idx="1652">
                  <c:v>29.939909523820649</c:v>
                </c:pt>
                <c:pt idx="1653">
                  <c:v>29.95496777364815</c:v>
                </c:pt>
                <c:pt idx="1654">
                  <c:v>29.970129523399894</c:v>
                </c:pt>
                <c:pt idx="1655">
                  <c:v>29.985395927450167</c:v>
                </c:pt>
                <c:pt idx="1656">
                  <c:v>30.000768158335827</c:v>
                </c:pt>
                <c:pt idx="1657">
                  <c:v>30.016247407129082</c:v>
                </c:pt>
                <c:pt idx="1658">
                  <c:v>30.031834883819787</c:v>
                </c:pt>
                <c:pt idx="1659">
                  <c:v>30.04753181770765</c:v>
                </c:pt>
                <c:pt idx="1660">
                  <c:v>30.063339457804364</c:v>
                </c:pt>
                <c:pt idx="1661">
                  <c:v>30.079259073246178</c:v>
                </c:pt>
                <c:pt idx="1662">
                  <c:v>30.095291953717354</c:v>
                </c:pt>
                <c:pt idx="1663">
                  <c:v>30.111439409884429</c:v>
                </c:pt>
                <c:pt idx="1664">
                  <c:v>30.127702773842099</c:v>
                </c:pt>
                <c:pt idx="1665">
                  <c:v>30.144083399570761</c:v>
                </c:pt>
                <c:pt idx="1666">
                  <c:v>30.160582663406188</c:v>
                </c:pt>
                <c:pt idx="1667">
                  <c:v>30.177201964521835</c:v>
                </c:pt>
                <c:pt idx="1668">
                  <c:v>30.193942725423867</c:v>
                </c:pt>
                <c:pt idx="1669">
                  <c:v>30.210806392459794</c:v>
                </c:pt>
                <c:pt idx="1670">
                  <c:v>30.227794436340716</c:v>
                </c:pt>
                <c:pt idx="1671">
                  <c:v>30.24490835267768</c:v>
                </c:pt>
                <c:pt idx="1672">
                  <c:v>30.262149662533101</c:v>
                </c:pt>
                <c:pt idx="1673">
                  <c:v>30.279519912986924</c:v>
                </c:pt>
                <c:pt idx="1674">
                  <c:v>30.297020677718709</c:v>
                </c:pt>
                <c:pt idx="1675">
                  <c:v>30.314653557605865</c:v>
                </c:pt>
                <c:pt idx="1676">
                  <c:v>30.332420181338566</c:v>
                </c:pt>
                <c:pt idx="1677">
                  <c:v>30.35032220605207</c:v>
                </c:pt>
                <c:pt idx="1678">
                  <c:v>30.36836131797676</c:v>
                </c:pt>
                <c:pt idx="1679">
                  <c:v>30.38653923310676</c:v>
                </c:pt>
                <c:pt idx="1680">
                  <c:v>30.404857697887767</c:v>
                </c:pt>
                <c:pt idx="1681">
                  <c:v>30.423318489924451</c:v>
                </c:pt>
                <c:pt idx="1682">
                  <c:v>30.441923418708516</c:v>
                </c:pt>
                <c:pt idx="1683">
                  <c:v>30.460674326367748</c:v>
                </c:pt>
                <c:pt idx="1684">
                  <c:v>30.479573088437164</c:v>
                </c:pt>
                <c:pt idx="1685">
                  <c:v>30.498621614652688</c:v>
                </c:pt>
                <c:pt idx="1686">
                  <c:v>30.517821849768417</c:v>
                </c:pt>
                <c:pt idx="1687">
                  <c:v>30.537175774398115</c:v>
                </c:pt>
                <c:pt idx="1688">
                  <c:v>30.556685405881968</c:v>
                </c:pt>
                <c:pt idx="1689">
                  <c:v>30.576352799179425</c:v>
                </c:pt>
                <c:pt idx="1690">
                  <c:v>30.596180047789076</c:v>
                </c:pt>
                <c:pt idx="1691">
                  <c:v>30.616169284696529</c:v>
                </c:pt>
                <c:pt idx="1692">
                  <c:v>30.636322683351345</c:v>
                </c:pt>
                <c:pt idx="1693">
                  <c:v>30.65664245867422</c:v>
                </c:pt>
                <c:pt idx="1694">
                  <c:v>30.677130868095173</c:v>
                </c:pt>
                <c:pt idx="1695">
                  <c:v>30.697790212624405</c:v>
                </c:pt>
                <c:pt idx="1696">
                  <c:v>30.718622837956612</c:v>
                </c:pt>
                <c:pt idx="1697">
                  <c:v>30.739631135610246</c:v>
                </c:pt>
                <c:pt idx="1698">
                  <c:v>30.760817544103059</c:v>
                </c:pt>
                <c:pt idx="1699">
                  <c:v>30.78218455016518</c:v>
                </c:pt>
                <c:pt idx="1700">
                  <c:v>30.803734689991344</c:v>
                </c:pt>
                <c:pt idx="1701">
                  <c:v>30.825470550533534</c:v>
                </c:pt>
                <c:pt idx="1702">
                  <c:v>30.847394770836072</c:v>
                </c:pt>
                <c:pt idx="1703">
                  <c:v>30.869510043414227</c:v>
                </c:pt>
                <c:pt idx="1704">
                  <c:v>30.891819115678576</c:v>
                </c:pt>
                <c:pt idx="1705">
                  <c:v>30.914324791406703</c:v>
                </c:pt>
                <c:pt idx="1706">
                  <c:v>30.937029932263982</c:v>
                </c:pt>
                <c:pt idx="1707">
                  <c:v>30.959937459376</c:v>
                </c:pt>
                <c:pt idx="1708">
                  <c:v>30.983050354953825</c:v>
                </c:pt>
                <c:pt idx="1709">
                  <c:v>31.006371663975173</c:v>
                </c:pt>
                <c:pt idx="1710">
                  <c:v>31.029904495923255</c:v>
                </c:pt>
                <c:pt idx="1711">
                  <c:v>31.053652026585734</c:v>
                </c:pt>
                <c:pt idx="1712">
                  <c:v>31.077617499916464</c:v>
                </c:pt>
                <c:pt idx="1713">
                  <c:v>31.101804229962632</c:v>
                </c:pt>
                <c:pt idx="1714">
                  <c:v>31.126215602859968</c:v>
                </c:pt>
                <c:pt idx="1715">
                  <c:v>31.150855078898804</c:v>
                </c:pt>
                <c:pt idx="1716">
                  <c:v>31.175726194664531</c:v>
                </c:pt>
                <c:pt idx="1717">
                  <c:v>31.200832565255055</c:v>
                </c:pt>
                <c:pt idx="1718">
                  <c:v>31.226177886578981</c:v>
                </c:pt>
                <c:pt idx="1719">
                  <c:v>31.251765937737989</c:v>
                </c:pt>
                <c:pt idx="1720">
                  <c:v>31.277600583497055</c:v>
                </c:pt>
                <c:pt idx="1721">
                  <c:v>31.30368577684655</c:v>
                </c:pt>
                <c:pt idx="1722">
                  <c:v>31.330025561660186</c:v>
                </c:pt>
                <c:pt idx="1723">
                  <c:v>31.356624075453311</c:v>
                </c:pt>
                <c:pt idx="1724">
                  <c:v>31.383485552245961</c:v>
                </c:pt>
                <c:pt idx="1725">
                  <c:v>31.410614325535665</c:v>
                </c:pt>
                <c:pt idx="1726">
                  <c:v>31.438014831384852</c:v>
                </c:pt>
                <c:pt idx="1727">
                  <c:v>31.465691611628419</c:v>
                </c:pt>
                <c:pt idx="1728">
                  <c:v>31.493649317206906</c:v>
                </c:pt>
                <c:pt idx="1729">
                  <c:v>31.521892711631576</c:v>
                </c:pt>
                <c:pt idx="1730">
                  <c:v>31.550426674587086</c:v>
                </c:pt>
                <c:pt idx="1731">
                  <c:v>31.57925620567913</c:v>
                </c:pt>
                <c:pt idx="1732">
                  <c:v>31.608386428333418</c:v>
                </c:pt>
                <c:pt idx="1733">
                  <c:v>31.63782259385378</c:v>
                </c:pt>
                <c:pt idx="1734">
                  <c:v>31.667570085647267</c:v>
                </c:pt>
                <c:pt idx="1735">
                  <c:v>31.697634423624184</c:v>
                </c:pt>
                <c:pt idx="1736">
                  <c:v>31.728021268782335</c:v>
                </c:pt>
                <c:pt idx="1737">
                  <c:v>31.758736427984324</c:v>
                </c:pt>
                <c:pt idx="1738">
                  <c:v>31.789785858938174</c:v>
                </c:pt>
                <c:pt idx="1739">
                  <c:v>31.821175675391491</c:v>
                </c:pt>
                <c:pt idx="1740">
                  <c:v>31.852912152550111</c:v>
                </c:pt>
                <c:pt idx="1741">
                  <c:v>31.885001732733553</c:v>
                </c:pt>
                <c:pt idx="1742">
                  <c:v>31.917451031279089</c:v>
                </c:pt>
                <c:pt idx="1743">
                  <c:v>31.950266842708274</c:v>
                </c:pt>
                <c:pt idx="1744">
                  <c:v>31.983456147169615</c:v>
                </c:pt>
                <c:pt idx="1745">
                  <c:v>32.017026117172648</c:v>
                </c:pt>
                <c:pt idx="1746">
                  <c:v>32.050984124629437</c:v>
                </c:pt>
                <c:pt idx="1747">
                  <c:v>32.085337748220105</c:v>
                </c:pt>
                <c:pt idx="1748">
                  <c:v>32.120094781101017</c:v>
                </c:pt>
                <c:pt idx="1749">
                  <c:v>32.155263238974584</c:v>
                </c:pt>
                <c:pt idx="1750">
                  <c:v>32.190851368541253</c:v>
                </c:pt>
                <c:pt idx="1751">
                  <c:v>32.226867656355964</c:v>
                </c:pt>
                <c:pt idx="1752">
                  <c:v>32.263320838112165</c:v>
                </c:pt>
                <c:pt idx="1753">
                  <c:v>32.30021990837875</c:v>
                </c:pt>
                <c:pt idx="1754">
                  <c:v>32.337574130816435</c:v>
                </c:pt>
                <c:pt idx="1755">
                  <c:v>32.375393048902616</c:v>
                </c:pt>
                <c:pt idx="1756">
                  <c:v>32.413686497195023</c:v>
                </c:pt>
                <c:pt idx="1757">
                  <c:v>32.452464613167422</c:v>
                </c:pt>
                <c:pt idx="1758">
                  <c:v>32.491737849652367</c:v>
                </c:pt>
                <c:pt idx="1759">
                  <c:v>32.531516987929002</c:v>
                </c:pt>
                <c:pt idx="1760">
                  <c:v>32.571813151496549</c:v>
                </c:pt>
                <c:pt idx="1761">
                  <c:v>32.612637820576992</c:v>
                </c:pt>
                <c:pt idx="1762">
                  <c:v>32.654002847394196</c:v>
                </c:pt>
                <c:pt idx="1763">
                  <c:v>32.695920472279717</c:v>
                </c:pt>
                <c:pt idx="1764">
                  <c:v>32.738403340659787</c:v>
                </c:pt>
                <c:pt idx="1765">
                  <c:v>32.781464520982368</c:v>
                </c:pt>
                <c:pt idx="1766">
                  <c:v>32.825117523647243</c:v>
                </c:pt>
                <c:pt idx="1767">
                  <c:v>32.869376321007707</c:v>
                </c:pt>
                <c:pt idx="1768">
                  <c:v>32.914255368517686</c:v>
                </c:pt>
                <c:pt idx="1769">
                  <c:v>32.959769627103917</c:v>
                </c:pt>
                <c:pt idx="1770">
                  <c:v>33.005934586850316</c:v>
                </c:pt>
                <c:pt idx="1771">
                  <c:v>33.052766292087277</c:v>
                </c:pt>
                <c:pt idx="1772">
                  <c:v>33.100281367988707</c:v>
                </c:pt>
                <c:pt idx="1773">
                  <c:v>33.148497048786183</c:v>
                </c:pt>
                <c:pt idx="1774">
                  <c:v>33.197431207720868</c:v>
                </c:pt>
                <c:pt idx="1775">
                  <c:v>33.247102388863475</c:v>
                </c:pt>
                <c:pt idx="1776">
                  <c:v>33.297529840944328</c:v>
                </c:pt>
                <c:pt idx="1777">
                  <c:v>33.348733553349078</c:v>
                </c:pt>
                <c:pt idx="1778">
                  <c:v>33.400734294448441</c:v>
                </c:pt>
                <c:pt idx="1779">
                  <c:v>33.453553652447823</c:v>
                </c:pt>
                <c:pt idx="1780">
                  <c:v>33.507214078958462</c:v>
                </c:pt>
                <c:pt idx="1781">
                  <c:v>33.561738935512068</c:v>
                </c:pt>
                <c:pt idx="1782">
                  <c:v>33.61715254326203</c:v>
                </c:pt>
                <c:pt idx="1783">
                  <c:v>33.673480236138161</c:v>
                </c:pt>
                <c:pt idx="1784">
                  <c:v>33.730748417748366</c:v>
                </c:pt>
                <c:pt idx="1785">
                  <c:v>33.788984622351023</c:v>
                </c:pt>
                <c:pt idx="1786">
                  <c:v>33.848217580253916</c:v>
                </c:pt>
                <c:pt idx="1787">
                  <c:v>33.9084772880339</c:v>
                </c:pt>
                <c:pt idx="1788">
                  <c:v>33.96979508401229</c:v>
                </c:pt>
                <c:pt idx="1789">
                  <c:v>34.03220372946835</c:v>
                </c:pt>
                <c:pt idx="1790">
                  <c:v>34.095737496125807</c:v>
                </c:pt>
                <c:pt idx="1791">
                  <c:v>34.160432260506418</c:v>
                </c:pt>
                <c:pt idx="1792">
                  <c:v>34.226325605812562</c:v>
                </c:pt>
                <c:pt idx="1793">
                  <c:v>34.293456932076005</c:v>
                </c:pt>
                <c:pt idx="1794">
                  <c:v>34.361867575396836</c:v>
                </c:pt>
                <c:pt idx="1795">
                  <c:v>34.431600937194233</c:v>
                </c:pt>
                <c:pt idx="1796">
                  <c:v>34.502702624502632</c:v>
                </c:pt>
                <c:pt idx="1797">
                  <c:v>34.57522060247409</c:v>
                </c:pt>
                <c:pt idx="1798">
                  <c:v>34.649205360393758</c:v>
                </c:pt>
                <c:pt idx="1799">
                  <c:v>34.724710092682692</c:v>
                </c:pt>
                <c:pt idx="1800">
                  <c:v>34.801790896554365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8-4443-B844-16A05E8B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27200"/>
        <c:axId val="653019040"/>
      </c:scatterChart>
      <c:valAx>
        <c:axId val="722252928"/>
        <c:scaling>
          <c:orientation val="minMax"/>
          <c:max val="1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22400"/>
        <c:crosses val="autoZero"/>
        <c:crossBetween val="midCat"/>
        <c:majorUnit val="2"/>
      </c:valAx>
      <c:valAx>
        <c:axId val="653022400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52928"/>
        <c:crosses val="autoZero"/>
        <c:crossBetween val="midCat"/>
      </c:valAx>
      <c:valAx>
        <c:axId val="653019040"/>
        <c:scaling>
          <c:orientation val="minMax"/>
          <c:max val="40"/>
          <c:min val="15"/>
        </c:scaling>
        <c:delete val="1"/>
        <c:axPos val="r"/>
        <c:numFmt formatCode="0.00" sourceLinked="1"/>
        <c:majorTickMark val="out"/>
        <c:minorTickMark val="none"/>
        <c:tickLblPos val="nextTo"/>
        <c:crossAx val="653027200"/>
        <c:crosses val="max"/>
        <c:crossBetween val="midCat"/>
      </c:valAx>
      <c:valAx>
        <c:axId val="653027200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653019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581325247989664"/>
          <c:y val="0.22206956632404637"/>
          <c:w val="0.30597259010505784"/>
          <c:h val="0.19527917130817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Validation of non-ideal terminal voltage with experimental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v>matlab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[1]Sheet1!$C$3:$C$133</c:f>
              <c:numCache>
                <c:formatCode>General</c:formatCode>
                <c:ptCount val="131"/>
                <c:pt idx="0">
                  <c:v>0.15</c:v>
                </c:pt>
                <c:pt idx="1">
                  <c:v>0.44</c:v>
                </c:pt>
                <c:pt idx="2">
                  <c:v>0.74</c:v>
                </c:pt>
                <c:pt idx="3">
                  <c:v>1.03</c:v>
                </c:pt>
                <c:pt idx="4">
                  <c:v>1.33</c:v>
                </c:pt>
                <c:pt idx="5">
                  <c:v>1.62</c:v>
                </c:pt>
                <c:pt idx="6">
                  <c:v>1.92</c:v>
                </c:pt>
                <c:pt idx="7">
                  <c:v>2.21</c:v>
                </c:pt>
                <c:pt idx="8">
                  <c:v>2.5099999999999998</c:v>
                </c:pt>
                <c:pt idx="9">
                  <c:v>2.8</c:v>
                </c:pt>
                <c:pt idx="10">
                  <c:v>3.1</c:v>
                </c:pt>
                <c:pt idx="11">
                  <c:v>3.39</c:v>
                </c:pt>
                <c:pt idx="12">
                  <c:v>3.69</c:v>
                </c:pt>
                <c:pt idx="13">
                  <c:v>3.98</c:v>
                </c:pt>
                <c:pt idx="14">
                  <c:v>4.28</c:v>
                </c:pt>
                <c:pt idx="15">
                  <c:v>4.57</c:v>
                </c:pt>
                <c:pt idx="16">
                  <c:v>4.87</c:v>
                </c:pt>
                <c:pt idx="17">
                  <c:v>5.16</c:v>
                </c:pt>
                <c:pt idx="18">
                  <c:v>5.46</c:v>
                </c:pt>
                <c:pt idx="19">
                  <c:v>5.75</c:v>
                </c:pt>
                <c:pt idx="20">
                  <c:v>6.05</c:v>
                </c:pt>
                <c:pt idx="21">
                  <c:v>6.34</c:v>
                </c:pt>
                <c:pt idx="22">
                  <c:v>6.64</c:v>
                </c:pt>
                <c:pt idx="23">
                  <c:v>6.93</c:v>
                </c:pt>
                <c:pt idx="24">
                  <c:v>7.23</c:v>
                </c:pt>
                <c:pt idx="25">
                  <c:v>7.52</c:v>
                </c:pt>
                <c:pt idx="26">
                  <c:v>7.82</c:v>
                </c:pt>
                <c:pt idx="27">
                  <c:v>8.11</c:v>
                </c:pt>
                <c:pt idx="28">
                  <c:v>8.41</c:v>
                </c:pt>
                <c:pt idx="29">
                  <c:v>8.6999999999999993</c:v>
                </c:pt>
                <c:pt idx="30">
                  <c:v>9</c:v>
                </c:pt>
                <c:pt idx="31">
                  <c:v>9.2899999999999991</c:v>
                </c:pt>
                <c:pt idx="32">
                  <c:v>9.59</c:v>
                </c:pt>
                <c:pt idx="33">
                  <c:v>9.8800000000000008</c:v>
                </c:pt>
                <c:pt idx="34">
                  <c:v>10.18</c:v>
                </c:pt>
                <c:pt idx="35">
                  <c:v>10.47</c:v>
                </c:pt>
                <c:pt idx="36">
                  <c:v>10.77</c:v>
                </c:pt>
                <c:pt idx="37">
                  <c:v>11.06</c:v>
                </c:pt>
                <c:pt idx="38">
                  <c:v>11.36</c:v>
                </c:pt>
                <c:pt idx="39">
                  <c:v>11.65</c:v>
                </c:pt>
                <c:pt idx="40">
                  <c:v>11.95</c:v>
                </c:pt>
                <c:pt idx="41">
                  <c:v>12.24</c:v>
                </c:pt>
                <c:pt idx="42">
                  <c:v>12.54</c:v>
                </c:pt>
                <c:pt idx="43">
                  <c:v>12.83</c:v>
                </c:pt>
                <c:pt idx="44">
                  <c:v>13.13</c:v>
                </c:pt>
                <c:pt idx="45">
                  <c:v>13.42</c:v>
                </c:pt>
                <c:pt idx="46">
                  <c:v>13.72</c:v>
                </c:pt>
                <c:pt idx="47">
                  <c:v>14.01</c:v>
                </c:pt>
                <c:pt idx="48">
                  <c:v>14.31</c:v>
                </c:pt>
                <c:pt idx="49">
                  <c:v>14.6</c:v>
                </c:pt>
                <c:pt idx="50">
                  <c:v>14.9</c:v>
                </c:pt>
                <c:pt idx="51">
                  <c:v>15.19</c:v>
                </c:pt>
                <c:pt idx="52">
                  <c:v>15.49</c:v>
                </c:pt>
                <c:pt idx="53">
                  <c:v>15.78</c:v>
                </c:pt>
                <c:pt idx="54">
                  <c:v>16.079999999999998</c:v>
                </c:pt>
                <c:pt idx="55">
                  <c:v>16.37</c:v>
                </c:pt>
                <c:pt idx="56">
                  <c:v>16.66</c:v>
                </c:pt>
                <c:pt idx="57">
                  <c:v>16.96</c:v>
                </c:pt>
                <c:pt idx="58">
                  <c:v>17.25</c:v>
                </c:pt>
                <c:pt idx="59">
                  <c:v>17.55</c:v>
                </c:pt>
                <c:pt idx="60">
                  <c:v>17.84</c:v>
                </c:pt>
                <c:pt idx="61">
                  <c:v>18.14</c:v>
                </c:pt>
                <c:pt idx="62">
                  <c:v>18.43</c:v>
                </c:pt>
                <c:pt idx="63">
                  <c:v>18.73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</c:v>
                </c:pt>
                <c:pt idx="69">
                  <c:v>20.5</c:v>
                </c:pt>
                <c:pt idx="70">
                  <c:v>20.79</c:v>
                </c:pt>
                <c:pt idx="71">
                  <c:v>21.09</c:v>
                </c:pt>
                <c:pt idx="72">
                  <c:v>21.38</c:v>
                </c:pt>
                <c:pt idx="73">
                  <c:v>21.68</c:v>
                </c:pt>
                <c:pt idx="74">
                  <c:v>21.97</c:v>
                </c:pt>
                <c:pt idx="75">
                  <c:v>22.27</c:v>
                </c:pt>
                <c:pt idx="76">
                  <c:v>22.56</c:v>
                </c:pt>
                <c:pt idx="77">
                  <c:v>22.86</c:v>
                </c:pt>
                <c:pt idx="78">
                  <c:v>23.15</c:v>
                </c:pt>
                <c:pt idx="79">
                  <c:v>23.45</c:v>
                </c:pt>
                <c:pt idx="80">
                  <c:v>23.74</c:v>
                </c:pt>
                <c:pt idx="81">
                  <c:v>24.04</c:v>
                </c:pt>
                <c:pt idx="82">
                  <c:v>24.33</c:v>
                </c:pt>
                <c:pt idx="83">
                  <c:v>24.63</c:v>
                </c:pt>
                <c:pt idx="84">
                  <c:v>24.92</c:v>
                </c:pt>
                <c:pt idx="85">
                  <c:v>25.22</c:v>
                </c:pt>
                <c:pt idx="86">
                  <c:v>25.51</c:v>
                </c:pt>
                <c:pt idx="87">
                  <c:v>25.8</c:v>
                </c:pt>
                <c:pt idx="88">
                  <c:v>26.1</c:v>
                </c:pt>
                <c:pt idx="89">
                  <c:v>26.39</c:v>
                </c:pt>
                <c:pt idx="90">
                  <c:v>26.69</c:v>
                </c:pt>
                <c:pt idx="91">
                  <c:v>26.98</c:v>
                </c:pt>
                <c:pt idx="92">
                  <c:v>27.28</c:v>
                </c:pt>
                <c:pt idx="93">
                  <c:v>27.57</c:v>
                </c:pt>
                <c:pt idx="94">
                  <c:v>27.87</c:v>
                </c:pt>
                <c:pt idx="95">
                  <c:v>28.16</c:v>
                </c:pt>
                <c:pt idx="96">
                  <c:v>28.46</c:v>
                </c:pt>
                <c:pt idx="97">
                  <c:v>28.75</c:v>
                </c:pt>
                <c:pt idx="98">
                  <c:v>29.05</c:v>
                </c:pt>
                <c:pt idx="99">
                  <c:v>29.34</c:v>
                </c:pt>
                <c:pt idx="100">
                  <c:v>29.64</c:v>
                </c:pt>
                <c:pt idx="101">
                  <c:v>29.93</c:v>
                </c:pt>
                <c:pt idx="102">
                  <c:v>30.23</c:v>
                </c:pt>
                <c:pt idx="103">
                  <c:v>30.52</c:v>
                </c:pt>
                <c:pt idx="104">
                  <c:v>30.81</c:v>
                </c:pt>
                <c:pt idx="105">
                  <c:v>31.11</c:v>
                </c:pt>
                <c:pt idx="106">
                  <c:v>31.39</c:v>
                </c:pt>
                <c:pt idx="107">
                  <c:v>31.66</c:v>
                </c:pt>
                <c:pt idx="108">
                  <c:v>31.93</c:v>
                </c:pt>
                <c:pt idx="109">
                  <c:v>32.18</c:v>
                </c:pt>
                <c:pt idx="110">
                  <c:v>32.369999999999997</c:v>
                </c:pt>
                <c:pt idx="111">
                  <c:v>32.51</c:v>
                </c:pt>
                <c:pt idx="112">
                  <c:v>32.659999999999997</c:v>
                </c:pt>
                <c:pt idx="113">
                  <c:v>32.79</c:v>
                </c:pt>
                <c:pt idx="114">
                  <c:v>32.9</c:v>
                </c:pt>
                <c:pt idx="115">
                  <c:v>32.979999999999997</c:v>
                </c:pt>
                <c:pt idx="116">
                  <c:v>33.15</c:v>
                </c:pt>
                <c:pt idx="117">
                  <c:v>33.44</c:v>
                </c:pt>
                <c:pt idx="118">
                  <c:v>33.729999999999997</c:v>
                </c:pt>
                <c:pt idx="119">
                  <c:v>34.03</c:v>
                </c:pt>
                <c:pt idx="120">
                  <c:v>34.32</c:v>
                </c:pt>
                <c:pt idx="121">
                  <c:v>34.549999999999997</c:v>
                </c:pt>
                <c:pt idx="122">
                  <c:v>34.61</c:v>
                </c:pt>
                <c:pt idx="123">
                  <c:v>34.840000000000003</c:v>
                </c:pt>
                <c:pt idx="124">
                  <c:v>34.909999999999997</c:v>
                </c:pt>
                <c:pt idx="125">
                  <c:v>35.14</c:v>
                </c:pt>
                <c:pt idx="126">
                  <c:v>35.200000000000003</c:v>
                </c:pt>
                <c:pt idx="127">
                  <c:v>35.43</c:v>
                </c:pt>
                <c:pt idx="128">
                  <c:v>35.5</c:v>
                </c:pt>
                <c:pt idx="129">
                  <c:v>35.68</c:v>
                </c:pt>
                <c:pt idx="130">
                  <c:v>35.770000000000003</c:v>
                </c:pt>
              </c:numCache>
            </c:numRef>
          </c:xVal>
          <c:yVal>
            <c:numRef>
              <c:f>[1]Sheet1!$D$3:$D$133</c:f>
              <c:numCache>
                <c:formatCode>General</c:formatCode>
                <c:ptCount val="131"/>
                <c:pt idx="0">
                  <c:v>2.64</c:v>
                </c:pt>
                <c:pt idx="1">
                  <c:v>2.63</c:v>
                </c:pt>
                <c:pt idx="2">
                  <c:v>2.62</c:v>
                </c:pt>
                <c:pt idx="3">
                  <c:v>2.61</c:v>
                </c:pt>
                <c:pt idx="4">
                  <c:v>2.6</c:v>
                </c:pt>
                <c:pt idx="5">
                  <c:v>2.59</c:v>
                </c:pt>
                <c:pt idx="6">
                  <c:v>2.57</c:v>
                </c:pt>
                <c:pt idx="7">
                  <c:v>2.56</c:v>
                </c:pt>
                <c:pt idx="8">
                  <c:v>2.5499999999999998</c:v>
                </c:pt>
                <c:pt idx="9">
                  <c:v>2.54</c:v>
                </c:pt>
                <c:pt idx="10">
                  <c:v>2.5299999999999998</c:v>
                </c:pt>
                <c:pt idx="11">
                  <c:v>2.52</c:v>
                </c:pt>
                <c:pt idx="12">
                  <c:v>2.5099999999999998</c:v>
                </c:pt>
                <c:pt idx="13">
                  <c:v>2.4900000000000002</c:v>
                </c:pt>
                <c:pt idx="14">
                  <c:v>2.48</c:v>
                </c:pt>
                <c:pt idx="15">
                  <c:v>2.4700000000000002</c:v>
                </c:pt>
                <c:pt idx="16">
                  <c:v>2.46</c:v>
                </c:pt>
                <c:pt idx="17">
                  <c:v>2.4500000000000002</c:v>
                </c:pt>
                <c:pt idx="18">
                  <c:v>2.44</c:v>
                </c:pt>
                <c:pt idx="19">
                  <c:v>2.42</c:v>
                </c:pt>
                <c:pt idx="20">
                  <c:v>2.41</c:v>
                </c:pt>
                <c:pt idx="21">
                  <c:v>2.4</c:v>
                </c:pt>
                <c:pt idx="22">
                  <c:v>2.39</c:v>
                </c:pt>
                <c:pt idx="23">
                  <c:v>2.37</c:v>
                </c:pt>
                <c:pt idx="24">
                  <c:v>2.36</c:v>
                </c:pt>
                <c:pt idx="25">
                  <c:v>2.35</c:v>
                </c:pt>
                <c:pt idx="26">
                  <c:v>2.34</c:v>
                </c:pt>
                <c:pt idx="27">
                  <c:v>2.33</c:v>
                </c:pt>
                <c:pt idx="28">
                  <c:v>2.31</c:v>
                </c:pt>
                <c:pt idx="29">
                  <c:v>2.2999999999999998</c:v>
                </c:pt>
                <c:pt idx="30">
                  <c:v>2.29</c:v>
                </c:pt>
                <c:pt idx="31">
                  <c:v>2.27</c:v>
                </c:pt>
                <c:pt idx="32">
                  <c:v>2.2599999999999998</c:v>
                </c:pt>
                <c:pt idx="33">
                  <c:v>2.25</c:v>
                </c:pt>
                <c:pt idx="34">
                  <c:v>2.2400000000000002</c:v>
                </c:pt>
                <c:pt idx="35">
                  <c:v>2.2200000000000002</c:v>
                </c:pt>
                <c:pt idx="36">
                  <c:v>2.21</c:v>
                </c:pt>
                <c:pt idx="37">
                  <c:v>2.2000000000000002</c:v>
                </c:pt>
                <c:pt idx="38">
                  <c:v>2.1800000000000002</c:v>
                </c:pt>
                <c:pt idx="39">
                  <c:v>2.17</c:v>
                </c:pt>
                <c:pt idx="40">
                  <c:v>2.16</c:v>
                </c:pt>
                <c:pt idx="41">
                  <c:v>2.14</c:v>
                </c:pt>
                <c:pt idx="42">
                  <c:v>2.13</c:v>
                </c:pt>
                <c:pt idx="43">
                  <c:v>2.11</c:v>
                </c:pt>
                <c:pt idx="44">
                  <c:v>2.1</c:v>
                </c:pt>
                <c:pt idx="45">
                  <c:v>2.09</c:v>
                </c:pt>
                <c:pt idx="46">
                  <c:v>2.0699999999999998</c:v>
                </c:pt>
                <c:pt idx="47">
                  <c:v>2.06</c:v>
                </c:pt>
                <c:pt idx="48">
                  <c:v>2.04</c:v>
                </c:pt>
                <c:pt idx="49">
                  <c:v>2.0299999999999998</c:v>
                </c:pt>
                <c:pt idx="50">
                  <c:v>2.02</c:v>
                </c:pt>
                <c:pt idx="51">
                  <c:v>2</c:v>
                </c:pt>
                <c:pt idx="52">
                  <c:v>1.99</c:v>
                </c:pt>
                <c:pt idx="53">
                  <c:v>1.97</c:v>
                </c:pt>
                <c:pt idx="54">
                  <c:v>1.96</c:v>
                </c:pt>
                <c:pt idx="55">
                  <c:v>1.94</c:v>
                </c:pt>
                <c:pt idx="56">
                  <c:v>1.93</c:v>
                </c:pt>
                <c:pt idx="57">
                  <c:v>1.91</c:v>
                </c:pt>
                <c:pt idx="58">
                  <c:v>1.9</c:v>
                </c:pt>
                <c:pt idx="59">
                  <c:v>1.88</c:v>
                </c:pt>
                <c:pt idx="60">
                  <c:v>1.86</c:v>
                </c:pt>
                <c:pt idx="61">
                  <c:v>1.85</c:v>
                </c:pt>
                <c:pt idx="62">
                  <c:v>1.83</c:v>
                </c:pt>
                <c:pt idx="63">
                  <c:v>1.82</c:v>
                </c:pt>
                <c:pt idx="64">
                  <c:v>1.8</c:v>
                </c:pt>
                <c:pt idx="65">
                  <c:v>1.78</c:v>
                </c:pt>
                <c:pt idx="66">
                  <c:v>1.77</c:v>
                </c:pt>
                <c:pt idx="67">
                  <c:v>1.75</c:v>
                </c:pt>
                <c:pt idx="68">
                  <c:v>1.73</c:v>
                </c:pt>
                <c:pt idx="69">
                  <c:v>1.71</c:v>
                </c:pt>
                <c:pt idx="70">
                  <c:v>1.7</c:v>
                </c:pt>
                <c:pt idx="71">
                  <c:v>1.68</c:v>
                </c:pt>
                <c:pt idx="72">
                  <c:v>1.66</c:v>
                </c:pt>
                <c:pt idx="73">
                  <c:v>1.64</c:v>
                </c:pt>
                <c:pt idx="74">
                  <c:v>1.63</c:v>
                </c:pt>
                <c:pt idx="75">
                  <c:v>1.61</c:v>
                </c:pt>
                <c:pt idx="76">
                  <c:v>1.59</c:v>
                </c:pt>
                <c:pt idx="77">
                  <c:v>1.57</c:v>
                </c:pt>
                <c:pt idx="78">
                  <c:v>1.55</c:v>
                </c:pt>
                <c:pt idx="79">
                  <c:v>1.53</c:v>
                </c:pt>
                <c:pt idx="80">
                  <c:v>1.51</c:v>
                </c:pt>
                <c:pt idx="81">
                  <c:v>1.49</c:v>
                </c:pt>
                <c:pt idx="82">
                  <c:v>1.47</c:v>
                </c:pt>
                <c:pt idx="83">
                  <c:v>1.45</c:v>
                </c:pt>
                <c:pt idx="84">
                  <c:v>1.43</c:v>
                </c:pt>
                <c:pt idx="85">
                  <c:v>1.41</c:v>
                </c:pt>
                <c:pt idx="86">
                  <c:v>1.39</c:v>
                </c:pt>
                <c:pt idx="87">
                  <c:v>1.36</c:v>
                </c:pt>
                <c:pt idx="88">
                  <c:v>1.34</c:v>
                </c:pt>
                <c:pt idx="89">
                  <c:v>1.32</c:v>
                </c:pt>
                <c:pt idx="90">
                  <c:v>1.3</c:v>
                </c:pt>
                <c:pt idx="91">
                  <c:v>1.27</c:v>
                </c:pt>
                <c:pt idx="92">
                  <c:v>1.25</c:v>
                </c:pt>
                <c:pt idx="93">
                  <c:v>1.22</c:v>
                </c:pt>
                <c:pt idx="94">
                  <c:v>1.2</c:v>
                </c:pt>
                <c:pt idx="95">
                  <c:v>1.17</c:v>
                </c:pt>
                <c:pt idx="96">
                  <c:v>1.1399999999999999</c:v>
                </c:pt>
                <c:pt idx="97">
                  <c:v>1.1100000000000001</c:v>
                </c:pt>
                <c:pt idx="98">
                  <c:v>1.08</c:v>
                </c:pt>
                <c:pt idx="99">
                  <c:v>1.05</c:v>
                </c:pt>
                <c:pt idx="100">
                  <c:v>1.02</c:v>
                </c:pt>
                <c:pt idx="101">
                  <c:v>0.99</c:v>
                </c:pt>
                <c:pt idx="102">
                  <c:v>0.96</c:v>
                </c:pt>
                <c:pt idx="103">
                  <c:v>0.92</c:v>
                </c:pt>
                <c:pt idx="104">
                  <c:v>0.88</c:v>
                </c:pt>
                <c:pt idx="105">
                  <c:v>0.84</c:v>
                </c:pt>
                <c:pt idx="106">
                  <c:v>0.81</c:v>
                </c:pt>
                <c:pt idx="107">
                  <c:v>0.77</c:v>
                </c:pt>
                <c:pt idx="108">
                  <c:v>0.73</c:v>
                </c:pt>
                <c:pt idx="109">
                  <c:v>0.69</c:v>
                </c:pt>
                <c:pt idx="110">
                  <c:v>0.65</c:v>
                </c:pt>
                <c:pt idx="111">
                  <c:v>0.6</c:v>
                </c:pt>
                <c:pt idx="112">
                  <c:v>0.56000000000000005</c:v>
                </c:pt>
                <c:pt idx="113">
                  <c:v>0.52</c:v>
                </c:pt>
                <c:pt idx="114">
                  <c:v>0.48</c:v>
                </c:pt>
                <c:pt idx="115">
                  <c:v>0.44</c:v>
                </c:pt>
                <c:pt idx="116">
                  <c:v>0.36</c:v>
                </c:pt>
                <c:pt idx="117">
                  <c:v>0.34</c:v>
                </c:pt>
                <c:pt idx="118">
                  <c:v>0.34</c:v>
                </c:pt>
                <c:pt idx="119">
                  <c:v>0.32</c:v>
                </c:pt>
                <c:pt idx="120">
                  <c:v>0.31</c:v>
                </c:pt>
                <c:pt idx="121">
                  <c:v>0.31</c:v>
                </c:pt>
                <c:pt idx="122">
                  <c:v>0.3</c:v>
                </c:pt>
                <c:pt idx="123">
                  <c:v>0.28999999999999998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0.27</c:v>
                </c:pt>
                <c:pt idx="127">
                  <c:v>0.27</c:v>
                </c:pt>
                <c:pt idx="128">
                  <c:v>0.27</c:v>
                </c:pt>
                <c:pt idx="129">
                  <c:v>0.26</c:v>
                </c:pt>
                <c:pt idx="130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C-485D-B26E-7A92769BE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069647"/>
        <c:axId val="844595439"/>
      </c:scatterChart>
      <c:scatterChart>
        <c:scatterStyle val="lineMarker"/>
        <c:varyColors val="0"/>
        <c:ser>
          <c:idx val="1"/>
          <c:order val="0"/>
          <c:tx>
            <c:v>experimental</c:v>
          </c:tx>
          <c:marker>
            <c:symbol val="none"/>
          </c:marker>
          <c:xVal>
            <c:numRef>
              <c:f>[1]Sheet1!$A$3:$A$63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[1]Sheet1!$B$3:$B$63</c:f>
              <c:numCache>
                <c:formatCode>General</c:formatCode>
                <c:ptCount val="61"/>
                <c:pt idx="0">
                  <c:v>2.65</c:v>
                </c:pt>
                <c:pt idx="1">
                  <c:v>2.63</c:v>
                </c:pt>
                <c:pt idx="2">
                  <c:v>2.61</c:v>
                </c:pt>
                <c:pt idx="3">
                  <c:v>2.59</c:v>
                </c:pt>
                <c:pt idx="4">
                  <c:v>2.57</c:v>
                </c:pt>
                <c:pt idx="5">
                  <c:v>2.5499999999999998</c:v>
                </c:pt>
                <c:pt idx="6">
                  <c:v>2.5299999999999998</c:v>
                </c:pt>
                <c:pt idx="7">
                  <c:v>2.5099999999999998</c:v>
                </c:pt>
                <c:pt idx="8">
                  <c:v>2.4900000000000002</c:v>
                </c:pt>
                <c:pt idx="9">
                  <c:v>2.46</c:v>
                </c:pt>
                <c:pt idx="10">
                  <c:v>2.44</c:v>
                </c:pt>
                <c:pt idx="11">
                  <c:v>2.42</c:v>
                </c:pt>
                <c:pt idx="12">
                  <c:v>2.4</c:v>
                </c:pt>
                <c:pt idx="13">
                  <c:v>2.39</c:v>
                </c:pt>
                <c:pt idx="14">
                  <c:v>2.37</c:v>
                </c:pt>
                <c:pt idx="15">
                  <c:v>2.35</c:v>
                </c:pt>
                <c:pt idx="16">
                  <c:v>2.3199999999999998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2.2400000000000002</c:v>
                </c:pt>
                <c:pt idx="21">
                  <c:v>2.23</c:v>
                </c:pt>
                <c:pt idx="22">
                  <c:v>2.2000000000000002</c:v>
                </c:pt>
                <c:pt idx="23">
                  <c:v>2.1800000000000002</c:v>
                </c:pt>
                <c:pt idx="24">
                  <c:v>2.16</c:v>
                </c:pt>
                <c:pt idx="25">
                  <c:v>2.14</c:v>
                </c:pt>
                <c:pt idx="26">
                  <c:v>2.12</c:v>
                </c:pt>
                <c:pt idx="27">
                  <c:v>2.1</c:v>
                </c:pt>
                <c:pt idx="28">
                  <c:v>2.08</c:v>
                </c:pt>
                <c:pt idx="29">
                  <c:v>2.06</c:v>
                </c:pt>
                <c:pt idx="30">
                  <c:v>2.04</c:v>
                </c:pt>
                <c:pt idx="31">
                  <c:v>2.0099999999999998</c:v>
                </c:pt>
                <c:pt idx="32">
                  <c:v>1.99</c:v>
                </c:pt>
                <c:pt idx="33">
                  <c:v>1.97</c:v>
                </c:pt>
                <c:pt idx="34">
                  <c:v>1.95</c:v>
                </c:pt>
                <c:pt idx="35">
                  <c:v>1.93</c:v>
                </c:pt>
                <c:pt idx="36">
                  <c:v>1.91</c:v>
                </c:pt>
                <c:pt idx="37">
                  <c:v>1.89</c:v>
                </c:pt>
                <c:pt idx="38">
                  <c:v>1.87</c:v>
                </c:pt>
                <c:pt idx="39">
                  <c:v>1.86</c:v>
                </c:pt>
                <c:pt idx="40">
                  <c:v>1.84</c:v>
                </c:pt>
                <c:pt idx="41">
                  <c:v>1.83</c:v>
                </c:pt>
                <c:pt idx="42">
                  <c:v>1.82</c:v>
                </c:pt>
                <c:pt idx="43">
                  <c:v>1.8</c:v>
                </c:pt>
                <c:pt idx="44">
                  <c:v>1.8</c:v>
                </c:pt>
                <c:pt idx="45">
                  <c:v>1.79</c:v>
                </c:pt>
                <c:pt idx="46">
                  <c:v>1.78</c:v>
                </c:pt>
                <c:pt idx="47">
                  <c:v>1.76</c:v>
                </c:pt>
                <c:pt idx="48">
                  <c:v>1.74</c:v>
                </c:pt>
                <c:pt idx="49">
                  <c:v>1.72</c:v>
                </c:pt>
                <c:pt idx="50">
                  <c:v>1.69</c:v>
                </c:pt>
                <c:pt idx="51">
                  <c:v>1.67</c:v>
                </c:pt>
                <c:pt idx="52">
                  <c:v>1.65</c:v>
                </c:pt>
                <c:pt idx="53">
                  <c:v>1.63</c:v>
                </c:pt>
                <c:pt idx="54">
                  <c:v>1.61</c:v>
                </c:pt>
                <c:pt idx="55">
                  <c:v>1.59</c:v>
                </c:pt>
                <c:pt idx="56">
                  <c:v>1.56</c:v>
                </c:pt>
                <c:pt idx="57">
                  <c:v>1.54</c:v>
                </c:pt>
                <c:pt idx="58">
                  <c:v>1.52</c:v>
                </c:pt>
                <c:pt idx="59">
                  <c:v>1.5</c:v>
                </c:pt>
                <c:pt idx="60">
                  <c:v>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C-485D-B26E-7A92769BE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758319"/>
        <c:axId val="1372742447"/>
      </c:scatterChart>
      <c:valAx>
        <c:axId val="961069647"/>
        <c:scaling>
          <c:orientation val="minMax"/>
          <c:max val="3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595439"/>
        <c:crosses val="autoZero"/>
        <c:crossBetween val="midCat"/>
        <c:majorUnit val="6"/>
      </c:valAx>
      <c:valAx>
        <c:axId val="8445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69647"/>
        <c:crosses val="autoZero"/>
        <c:crossBetween val="midCat"/>
      </c:valAx>
      <c:valAx>
        <c:axId val="1372742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1372758319"/>
        <c:crosses val="max"/>
        <c:crossBetween val="midCat"/>
      </c:valAx>
      <c:valAx>
        <c:axId val="1372758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27424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spPr>
    <a:ln w="12700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Error % between experimental and MATLAB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'Non-ideal validation'!$E$5:$E$65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'Non-ideal validation'!$H$5:$H$65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0.38314176245211617</c:v>
                </c:pt>
                <c:pt idx="3">
                  <c:v>0</c:v>
                </c:pt>
                <c:pt idx="4">
                  <c:v>0.38910505836576781</c:v>
                </c:pt>
                <c:pt idx="5">
                  <c:v>-1.1764705882352864</c:v>
                </c:pt>
                <c:pt idx="6">
                  <c:v>-1.5810276679841737</c:v>
                </c:pt>
                <c:pt idx="7">
                  <c:v>-1.9920318725099533</c:v>
                </c:pt>
                <c:pt idx="8">
                  <c:v>-2.0080321285140665</c:v>
                </c:pt>
                <c:pt idx="9">
                  <c:v>-2.0325203252032447</c:v>
                </c:pt>
                <c:pt idx="10">
                  <c:v>-2.0491803278688452</c:v>
                </c:pt>
                <c:pt idx="11">
                  <c:v>-2.4793388429752086</c:v>
                </c:pt>
                <c:pt idx="12">
                  <c:v>-2.5000000000000022</c:v>
                </c:pt>
                <c:pt idx="13">
                  <c:v>-3.347280334728036</c:v>
                </c:pt>
                <c:pt idx="14">
                  <c:v>-3.3755274261603407</c:v>
                </c:pt>
                <c:pt idx="15">
                  <c:v>-3.8297872340425658</c:v>
                </c:pt>
                <c:pt idx="16">
                  <c:v>-4.3103448275861922</c:v>
                </c:pt>
                <c:pt idx="17">
                  <c:v>-3.4782608695652013</c:v>
                </c:pt>
                <c:pt idx="18">
                  <c:v>-4.8245614035087669</c:v>
                </c:pt>
                <c:pt idx="19">
                  <c:v>-5.3097345132743214</c:v>
                </c:pt>
                <c:pt idx="20">
                  <c:v>-5.803571428571443</c:v>
                </c:pt>
                <c:pt idx="21">
                  <c:v>-6.2780269058296021</c:v>
                </c:pt>
                <c:pt idx="22">
                  <c:v>-6.3636363636363686</c:v>
                </c:pt>
                <c:pt idx="23">
                  <c:v>-6.8807339449541445</c:v>
                </c:pt>
                <c:pt idx="24">
                  <c:v>-7.8703703703703765</c:v>
                </c:pt>
                <c:pt idx="25">
                  <c:v>-7.9439252336448662</c:v>
                </c:pt>
                <c:pt idx="26">
                  <c:v>-8.9622641509434047</c:v>
                </c:pt>
                <c:pt idx="27">
                  <c:v>-9.5238095238095308</c:v>
                </c:pt>
                <c:pt idx="28">
                  <c:v>-10.576923076923075</c:v>
                </c:pt>
                <c:pt idx="29">
                  <c:v>-11.16504854368932</c:v>
                </c:pt>
                <c:pt idx="30">
                  <c:v>-12.254901960784313</c:v>
                </c:pt>
                <c:pt idx="31">
                  <c:v>-12.935323383084569</c:v>
                </c:pt>
                <c:pt idx="32">
                  <c:v>-14.070351758793972</c:v>
                </c:pt>
                <c:pt idx="33">
                  <c:v>-14.720812182741119</c:v>
                </c:pt>
                <c:pt idx="34">
                  <c:v>-15.8974358974359</c:v>
                </c:pt>
                <c:pt idx="35">
                  <c:v>-17.616580310880821</c:v>
                </c:pt>
                <c:pt idx="36">
                  <c:v>-18.324607329842927</c:v>
                </c:pt>
                <c:pt idx="37">
                  <c:v>-19.04761904761904</c:v>
                </c:pt>
                <c:pt idx="38">
                  <c:v>-21.390374331550806</c:v>
                </c:pt>
                <c:pt idx="39">
                  <c:v>-22.043010752688179</c:v>
                </c:pt>
                <c:pt idx="40">
                  <c:v>-23.369565217391312</c:v>
                </c:pt>
                <c:pt idx="41">
                  <c:v>-24.043715846994544</c:v>
                </c:pt>
                <c:pt idx="42">
                  <c:v>-25.274725274725274</c:v>
                </c:pt>
                <c:pt idx="43">
                  <c:v>-24.444444444444439</c:v>
                </c:pt>
                <c:pt idx="44">
                  <c:v>-26.666666666666668</c:v>
                </c:pt>
                <c:pt idx="45">
                  <c:v>-26.256983240223462</c:v>
                </c:pt>
                <c:pt idx="46">
                  <c:v>-28.08988764044944</c:v>
                </c:pt>
                <c:pt idx="47">
                  <c:v>-30.681818181818183</c:v>
                </c:pt>
                <c:pt idx="48">
                  <c:v>-32.758620689655174</c:v>
                </c:pt>
                <c:pt idx="49">
                  <c:v>-35.465116279069761</c:v>
                </c:pt>
                <c:pt idx="50">
                  <c:v>-37.869822485207095</c:v>
                </c:pt>
                <c:pt idx="51">
                  <c:v>-42.514970059880241</c:v>
                </c:pt>
                <c:pt idx="52">
                  <c:v>-46.666666666666664</c:v>
                </c:pt>
                <c:pt idx="53">
                  <c:v>-47.852760736196316</c:v>
                </c:pt>
                <c:pt idx="54">
                  <c:v>-49.689440993788821</c:v>
                </c:pt>
                <c:pt idx="55">
                  <c:v>-62.264150943396231</c:v>
                </c:pt>
                <c:pt idx="56">
                  <c:v>-78.205128205128204</c:v>
                </c:pt>
                <c:pt idx="57">
                  <c:v>-77.922077922077918</c:v>
                </c:pt>
                <c:pt idx="58">
                  <c:v>-79.60526315789474</c:v>
                </c:pt>
                <c:pt idx="59">
                  <c:v>-81.333333333333329</c:v>
                </c:pt>
                <c:pt idx="60">
                  <c:v>-82.432432432432435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9-43DC-931D-75C94D5A1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790207"/>
        <c:axId val="1372747407"/>
      </c:scatterChart>
      <c:valAx>
        <c:axId val="12697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47407"/>
        <c:crosses val="autoZero"/>
        <c:crossBetween val="midCat"/>
      </c:valAx>
      <c:valAx>
        <c:axId val="13727474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Error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%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652086475615886E-2"/>
              <c:y val="0.47673592884222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79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Validation of non-ideal terminal voltage with experimental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experimental</c:v>
          </c:tx>
          <c:marker>
            <c:symbol val="none"/>
          </c:marker>
          <c:xVal>
            <c:numRef>
              <c:f>[1]Sheet1!$A$3:$A$63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[1]Sheet1!$B$3:$B$63</c:f>
              <c:numCache>
                <c:formatCode>General</c:formatCode>
                <c:ptCount val="61"/>
                <c:pt idx="0">
                  <c:v>2.65</c:v>
                </c:pt>
                <c:pt idx="1">
                  <c:v>2.63</c:v>
                </c:pt>
                <c:pt idx="2">
                  <c:v>2.61</c:v>
                </c:pt>
                <c:pt idx="3">
                  <c:v>2.59</c:v>
                </c:pt>
                <c:pt idx="4">
                  <c:v>2.57</c:v>
                </c:pt>
                <c:pt idx="5">
                  <c:v>2.5499999999999998</c:v>
                </c:pt>
                <c:pt idx="6">
                  <c:v>2.5299999999999998</c:v>
                </c:pt>
                <c:pt idx="7">
                  <c:v>2.5099999999999998</c:v>
                </c:pt>
                <c:pt idx="8">
                  <c:v>2.4900000000000002</c:v>
                </c:pt>
                <c:pt idx="9">
                  <c:v>2.46</c:v>
                </c:pt>
                <c:pt idx="10">
                  <c:v>2.44</c:v>
                </c:pt>
                <c:pt idx="11">
                  <c:v>2.42</c:v>
                </c:pt>
                <c:pt idx="12">
                  <c:v>2.4</c:v>
                </c:pt>
                <c:pt idx="13">
                  <c:v>2.39</c:v>
                </c:pt>
                <c:pt idx="14">
                  <c:v>2.37</c:v>
                </c:pt>
                <c:pt idx="15">
                  <c:v>2.35</c:v>
                </c:pt>
                <c:pt idx="16">
                  <c:v>2.3199999999999998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2.2400000000000002</c:v>
                </c:pt>
                <c:pt idx="21">
                  <c:v>2.23</c:v>
                </c:pt>
                <c:pt idx="22">
                  <c:v>2.2000000000000002</c:v>
                </c:pt>
                <c:pt idx="23">
                  <c:v>2.1800000000000002</c:v>
                </c:pt>
                <c:pt idx="24">
                  <c:v>2.16</c:v>
                </c:pt>
                <c:pt idx="25">
                  <c:v>2.14</c:v>
                </c:pt>
                <c:pt idx="26">
                  <c:v>2.12</c:v>
                </c:pt>
                <c:pt idx="27">
                  <c:v>2.1</c:v>
                </c:pt>
                <c:pt idx="28">
                  <c:v>2.08</c:v>
                </c:pt>
                <c:pt idx="29">
                  <c:v>2.06</c:v>
                </c:pt>
                <c:pt idx="30">
                  <c:v>2.04</c:v>
                </c:pt>
                <c:pt idx="31">
                  <c:v>2.0099999999999998</c:v>
                </c:pt>
                <c:pt idx="32">
                  <c:v>1.99</c:v>
                </c:pt>
                <c:pt idx="33">
                  <c:v>1.97</c:v>
                </c:pt>
                <c:pt idx="34">
                  <c:v>1.95</c:v>
                </c:pt>
                <c:pt idx="35">
                  <c:v>1.93</c:v>
                </c:pt>
                <c:pt idx="36">
                  <c:v>1.91</c:v>
                </c:pt>
                <c:pt idx="37">
                  <c:v>1.89</c:v>
                </c:pt>
                <c:pt idx="38">
                  <c:v>1.87</c:v>
                </c:pt>
                <c:pt idx="39">
                  <c:v>1.86</c:v>
                </c:pt>
                <c:pt idx="40">
                  <c:v>1.84</c:v>
                </c:pt>
                <c:pt idx="41">
                  <c:v>1.83</c:v>
                </c:pt>
                <c:pt idx="42">
                  <c:v>1.82</c:v>
                </c:pt>
                <c:pt idx="43">
                  <c:v>1.8</c:v>
                </c:pt>
                <c:pt idx="44">
                  <c:v>1.8</c:v>
                </c:pt>
                <c:pt idx="45">
                  <c:v>1.79</c:v>
                </c:pt>
                <c:pt idx="46">
                  <c:v>1.78</c:v>
                </c:pt>
                <c:pt idx="47">
                  <c:v>1.76</c:v>
                </c:pt>
                <c:pt idx="48">
                  <c:v>1.74</c:v>
                </c:pt>
                <c:pt idx="49">
                  <c:v>1.72</c:v>
                </c:pt>
                <c:pt idx="50">
                  <c:v>1.69</c:v>
                </c:pt>
                <c:pt idx="51">
                  <c:v>1.67</c:v>
                </c:pt>
                <c:pt idx="52">
                  <c:v>1.65</c:v>
                </c:pt>
                <c:pt idx="53">
                  <c:v>1.63</c:v>
                </c:pt>
                <c:pt idx="54">
                  <c:v>1.61</c:v>
                </c:pt>
                <c:pt idx="55">
                  <c:v>1.59</c:v>
                </c:pt>
                <c:pt idx="56">
                  <c:v>1.56</c:v>
                </c:pt>
                <c:pt idx="57">
                  <c:v>1.54</c:v>
                </c:pt>
                <c:pt idx="58">
                  <c:v>1.52</c:v>
                </c:pt>
                <c:pt idx="59">
                  <c:v>1.5</c:v>
                </c:pt>
                <c:pt idx="60">
                  <c:v>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3-4E94-B48E-7D7433C7658F}"/>
            </c:ext>
          </c:extLst>
        </c:ser>
        <c:ser>
          <c:idx val="0"/>
          <c:order val="1"/>
          <c:tx>
            <c:v>matlab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[1]Sheet1!$C$3:$C$133</c:f>
              <c:numCache>
                <c:formatCode>General</c:formatCode>
                <c:ptCount val="131"/>
                <c:pt idx="0">
                  <c:v>0.15</c:v>
                </c:pt>
                <c:pt idx="1">
                  <c:v>0.44</c:v>
                </c:pt>
                <c:pt idx="2">
                  <c:v>0.74</c:v>
                </c:pt>
                <c:pt idx="3">
                  <c:v>1.03</c:v>
                </c:pt>
                <c:pt idx="4">
                  <c:v>1.33</c:v>
                </c:pt>
                <c:pt idx="5">
                  <c:v>1.62</c:v>
                </c:pt>
                <c:pt idx="6">
                  <c:v>1.92</c:v>
                </c:pt>
                <c:pt idx="7">
                  <c:v>2.21</c:v>
                </c:pt>
                <c:pt idx="8">
                  <c:v>2.5099999999999998</c:v>
                </c:pt>
                <c:pt idx="9">
                  <c:v>2.8</c:v>
                </c:pt>
                <c:pt idx="10">
                  <c:v>3.1</c:v>
                </c:pt>
                <c:pt idx="11">
                  <c:v>3.39</c:v>
                </c:pt>
                <c:pt idx="12">
                  <c:v>3.69</c:v>
                </c:pt>
                <c:pt idx="13">
                  <c:v>3.98</c:v>
                </c:pt>
                <c:pt idx="14">
                  <c:v>4.28</c:v>
                </c:pt>
                <c:pt idx="15">
                  <c:v>4.57</c:v>
                </c:pt>
                <c:pt idx="16">
                  <c:v>4.87</c:v>
                </c:pt>
                <c:pt idx="17">
                  <c:v>5.16</c:v>
                </c:pt>
                <c:pt idx="18">
                  <c:v>5.46</c:v>
                </c:pt>
                <c:pt idx="19">
                  <c:v>5.75</c:v>
                </c:pt>
                <c:pt idx="20">
                  <c:v>6.05</c:v>
                </c:pt>
                <c:pt idx="21">
                  <c:v>6.34</c:v>
                </c:pt>
                <c:pt idx="22">
                  <c:v>6.64</c:v>
                </c:pt>
                <c:pt idx="23">
                  <c:v>6.93</c:v>
                </c:pt>
                <c:pt idx="24">
                  <c:v>7.23</c:v>
                </c:pt>
                <c:pt idx="25">
                  <c:v>7.52</c:v>
                </c:pt>
                <c:pt idx="26">
                  <c:v>7.82</c:v>
                </c:pt>
                <c:pt idx="27">
                  <c:v>8.11</c:v>
                </c:pt>
                <c:pt idx="28">
                  <c:v>8.41</c:v>
                </c:pt>
                <c:pt idx="29">
                  <c:v>8.6999999999999993</c:v>
                </c:pt>
                <c:pt idx="30">
                  <c:v>9</c:v>
                </c:pt>
                <c:pt idx="31">
                  <c:v>9.2899999999999991</c:v>
                </c:pt>
                <c:pt idx="32">
                  <c:v>9.59</c:v>
                </c:pt>
                <c:pt idx="33">
                  <c:v>9.8800000000000008</c:v>
                </c:pt>
                <c:pt idx="34">
                  <c:v>10.18</c:v>
                </c:pt>
                <c:pt idx="35">
                  <c:v>10.47</c:v>
                </c:pt>
                <c:pt idx="36">
                  <c:v>10.77</c:v>
                </c:pt>
                <c:pt idx="37">
                  <c:v>11.06</c:v>
                </c:pt>
                <c:pt idx="38">
                  <c:v>11.36</c:v>
                </c:pt>
                <c:pt idx="39">
                  <c:v>11.65</c:v>
                </c:pt>
                <c:pt idx="40">
                  <c:v>11.95</c:v>
                </c:pt>
                <c:pt idx="41">
                  <c:v>12.24</c:v>
                </c:pt>
                <c:pt idx="42">
                  <c:v>12.54</c:v>
                </c:pt>
                <c:pt idx="43">
                  <c:v>12.83</c:v>
                </c:pt>
                <c:pt idx="44">
                  <c:v>13.13</c:v>
                </c:pt>
                <c:pt idx="45">
                  <c:v>13.42</c:v>
                </c:pt>
                <c:pt idx="46">
                  <c:v>13.72</c:v>
                </c:pt>
                <c:pt idx="47">
                  <c:v>14.01</c:v>
                </c:pt>
                <c:pt idx="48">
                  <c:v>14.31</c:v>
                </c:pt>
                <c:pt idx="49">
                  <c:v>14.6</c:v>
                </c:pt>
                <c:pt idx="50">
                  <c:v>14.9</c:v>
                </c:pt>
                <c:pt idx="51">
                  <c:v>15.19</c:v>
                </c:pt>
                <c:pt idx="52">
                  <c:v>15.49</c:v>
                </c:pt>
                <c:pt idx="53">
                  <c:v>15.78</c:v>
                </c:pt>
                <c:pt idx="54">
                  <c:v>16.079999999999998</c:v>
                </c:pt>
                <c:pt idx="55">
                  <c:v>16.37</c:v>
                </c:pt>
                <c:pt idx="56">
                  <c:v>16.66</c:v>
                </c:pt>
                <c:pt idx="57">
                  <c:v>16.96</c:v>
                </c:pt>
                <c:pt idx="58">
                  <c:v>17.25</c:v>
                </c:pt>
                <c:pt idx="59">
                  <c:v>17.55</c:v>
                </c:pt>
                <c:pt idx="60">
                  <c:v>17.84</c:v>
                </c:pt>
                <c:pt idx="61">
                  <c:v>18.14</c:v>
                </c:pt>
                <c:pt idx="62">
                  <c:v>18.43</c:v>
                </c:pt>
                <c:pt idx="63">
                  <c:v>18.73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</c:v>
                </c:pt>
                <c:pt idx="69">
                  <c:v>20.5</c:v>
                </c:pt>
                <c:pt idx="70">
                  <c:v>20.79</c:v>
                </c:pt>
                <c:pt idx="71">
                  <c:v>21.09</c:v>
                </c:pt>
                <c:pt idx="72">
                  <c:v>21.38</c:v>
                </c:pt>
                <c:pt idx="73">
                  <c:v>21.68</c:v>
                </c:pt>
                <c:pt idx="74">
                  <c:v>21.97</c:v>
                </c:pt>
                <c:pt idx="75">
                  <c:v>22.27</c:v>
                </c:pt>
                <c:pt idx="76">
                  <c:v>22.56</c:v>
                </c:pt>
                <c:pt idx="77">
                  <c:v>22.86</c:v>
                </c:pt>
                <c:pt idx="78">
                  <c:v>23.15</c:v>
                </c:pt>
                <c:pt idx="79">
                  <c:v>23.45</c:v>
                </c:pt>
                <c:pt idx="80">
                  <c:v>23.74</c:v>
                </c:pt>
                <c:pt idx="81">
                  <c:v>24.04</c:v>
                </c:pt>
                <c:pt idx="82">
                  <c:v>24.33</c:v>
                </c:pt>
                <c:pt idx="83">
                  <c:v>24.63</c:v>
                </c:pt>
                <c:pt idx="84">
                  <c:v>24.92</c:v>
                </c:pt>
                <c:pt idx="85">
                  <c:v>25.22</c:v>
                </c:pt>
                <c:pt idx="86">
                  <c:v>25.51</c:v>
                </c:pt>
                <c:pt idx="87">
                  <c:v>25.8</c:v>
                </c:pt>
                <c:pt idx="88">
                  <c:v>26.1</c:v>
                </c:pt>
                <c:pt idx="89">
                  <c:v>26.39</c:v>
                </c:pt>
                <c:pt idx="90">
                  <c:v>26.69</c:v>
                </c:pt>
                <c:pt idx="91">
                  <c:v>26.98</c:v>
                </c:pt>
                <c:pt idx="92">
                  <c:v>27.28</c:v>
                </c:pt>
                <c:pt idx="93">
                  <c:v>27.57</c:v>
                </c:pt>
                <c:pt idx="94">
                  <c:v>27.87</c:v>
                </c:pt>
                <c:pt idx="95">
                  <c:v>28.16</c:v>
                </c:pt>
                <c:pt idx="96">
                  <c:v>28.46</c:v>
                </c:pt>
                <c:pt idx="97">
                  <c:v>28.75</c:v>
                </c:pt>
                <c:pt idx="98">
                  <c:v>29.05</c:v>
                </c:pt>
                <c:pt idx="99">
                  <c:v>29.34</c:v>
                </c:pt>
                <c:pt idx="100">
                  <c:v>29.64</c:v>
                </c:pt>
                <c:pt idx="101">
                  <c:v>29.93</c:v>
                </c:pt>
                <c:pt idx="102">
                  <c:v>30.23</c:v>
                </c:pt>
                <c:pt idx="103">
                  <c:v>30.52</c:v>
                </c:pt>
                <c:pt idx="104">
                  <c:v>30.81</c:v>
                </c:pt>
                <c:pt idx="105">
                  <c:v>31.11</c:v>
                </c:pt>
                <c:pt idx="106">
                  <c:v>31.39</c:v>
                </c:pt>
                <c:pt idx="107">
                  <c:v>31.66</c:v>
                </c:pt>
                <c:pt idx="108">
                  <c:v>31.93</c:v>
                </c:pt>
                <c:pt idx="109">
                  <c:v>32.18</c:v>
                </c:pt>
                <c:pt idx="110">
                  <c:v>32.369999999999997</c:v>
                </c:pt>
                <c:pt idx="111">
                  <c:v>32.51</c:v>
                </c:pt>
                <c:pt idx="112">
                  <c:v>32.659999999999997</c:v>
                </c:pt>
                <c:pt idx="113">
                  <c:v>32.79</c:v>
                </c:pt>
                <c:pt idx="114">
                  <c:v>32.9</c:v>
                </c:pt>
                <c:pt idx="115">
                  <c:v>32.979999999999997</c:v>
                </c:pt>
                <c:pt idx="116">
                  <c:v>33.15</c:v>
                </c:pt>
                <c:pt idx="117">
                  <c:v>33.44</c:v>
                </c:pt>
                <c:pt idx="118">
                  <c:v>33.729999999999997</c:v>
                </c:pt>
                <c:pt idx="119">
                  <c:v>34.03</c:v>
                </c:pt>
                <c:pt idx="120">
                  <c:v>34.32</c:v>
                </c:pt>
                <c:pt idx="121">
                  <c:v>34.549999999999997</c:v>
                </c:pt>
                <c:pt idx="122">
                  <c:v>34.61</c:v>
                </c:pt>
                <c:pt idx="123">
                  <c:v>34.840000000000003</c:v>
                </c:pt>
                <c:pt idx="124">
                  <c:v>34.909999999999997</c:v>
                </c:pt>
                <c:pt idx="125">
                  <c:v>35.14</c:v>
                </c:pt>
                <c:pt idx="126">
                  <c:v>35.200000000000003</c:v>
                </c:pt>
                <c:pt idx="127">
                  <c:v>35.43</c:v>
                </c:pt>
                <c:pt idx="128">
                  <c:v>35.5</c:v>
                </c:pt>
                <c:pt idx="129">
                  <c:v>35.68</c:v>
                </c:pt>
                <c:pt idx="130">
                  <c:v>35.770000000000003</c:v>
                </c:pt>
              </c:numCache>
            </c:numRef>
          </c:xVal>
          <c:yVal>
            <c:numRef>
              <c:f>[1]Sheet1!$D$3:$D$133</c:f>
              <c:numCache>
                <c:formatCode>General</c:formatCode>
                <c:ptCount val="131"/>
                <c:pt idx="0">
                  <c:v>2.64</c:v>
                </c:pt>
                <c:pt idx="1">
                  <c:v>2.63</c:v>
                </c:pt>
                <c:pt idx="2">
                  <c:v>2.62</c:v>
                </c:pt>
                <c:pt idx="3">
                  <c:v>2.61</c:v>
                </c:pt>
                <c:pt idx="4">
                  <c:v>2.6</c:v>
                </c:pt>
                <c:pt idx="5">
                  <c:v>2.59</c:v>
                </c:pt>
                <c:pt idx="6">
                  <c:v>2.57</c:v>
                </c:pt>
                <c:pt idx="7">
                  <c:v>2.56</c:v>
                </c:pt>
                <c:pt idx="8">
                  <c:v>2.5499999999999998</c:v>
                </c:pt>
                <c:pt idx="9">
                  <c:v>2.54</c:v>
                </c:pt>
                <c:pt idx="10">
                  <c:v>2.5299999999999998</c:v>
                </c:pt>
                <c:pt idx="11">
                  <c:v>2.52</c:v>
                </c:pt>
                <c:pt idx="12">
                  <c:v>2.5099999999999998</c:v>
                </c:pt>
                <c:pt idx="13">
                  <c:v>2.4900000000000002</c:v>
                </c:pt>
                <c:pt idx="14">
                  <c:v>2.48</c:v>
                </c:pt>
                <c:pt idx="15">
                  <c:v>2.4700000000000002</c:v>
                </c:pt>
                <c:pt idx="16">
                  <c:v>2.46</c:v>
                </c:pt>
                <c:pt idx="17">
                  <c:v>2.4500000000000002</c:v>
                </c:pt>
                <c:pt idx="18">
                  <c:v>2.44</c:v>
                </c:pt>
                <c:pt idx="19">
                  <c:v>2.42</c:v>
                </c:pt>
                <c:pt idx="20">
                  <c:v>2.41</c:v>
                </c:pt>
                <c:pt idx="21">
                  <c:v>2.4</c:v>
                </c:pt>
                <c:pt idx="22">
                  <c:v>2.39</c:v>
                </c:pt>
                <c:pt idx="23">
                  <c:v>2.37</c:v>
                </c:pt>
                <c:pt idx="24">
                  <c:v>2.36</c:v>
                </c:pt>
                <c:pt idx="25">
                  <c:v>2.35</c:v>
                </c:pt>
                <c:pt idx="26">
                  <c:v>2.34</c:v>
                </c:pt>
                <c:pt idx="27">
                  <c:v>2.33</c:v>
                </c:pt>
                <c:pt idx="28">
                  <c:v>2.31</c:v>
                </c:pt>
                <c:pt idx="29">
                  <c:v>2.2999999999999998</c:v>
                </c:pt>
                <c:pt idx="30">
                  <c:v>2.29</c:v>
                </c:pt>
                <c:pt idx="31">
                  <c:v>2.27</c:v>
                </c:pt>
                <c:pt idx="32">
                  <c:v>2.2599999999999998</c:v>
                </c:pt>
                <c:pt idx="33">
                  <c:v>2.25</c:v>
                </c:pt>
                <c:pt idx="34">
                  <c:v>2.2400000000000002</c:v>
                </c:pt>
                <c:pt idx="35">
                  <c:v>2.2200000000000002</c:v>
                </c:pt>
                <c:pt idx="36">
                  <c:v>2.21</c:v>
                </c:pt>
                <c:pt idx="37">
                  <c:v>2.2000000000000002</c:v>
                </c:pt>
                <c:pt idx="38">
                  <c:v>2.1800000000000002</c:v>
                </c:pt>
                <c:pt idx="39">
                  <c:v>2.17</c:v>
                </c:pt>
                <c:pt idx="40">
                  <c:v>2.16</c:v>
                </c:pt>
                <c:pt idx="41">
                  <c:v>2.14</c:v>
                </c:pt>
                <c:pt idx="42">
                  <c:v>2.13</c:v>
                </c:pt>
                <c:pt idx="43">
                  <c:v>2.11</c:v>
                </c:pt>
                <c:pt idx="44">
                  <c:v>2.1</c:v>
                </c:pt>
                <c:pt idx="45">
                  <c:v>2.09</c:v>
                </c:pt>
                <c:pt idx="46">
                  <c:v>2.0699999999999998</c:v>
                </c:pt>
                <c:pt idx="47">
                  <c:v>2.06</c:v>
                </c:pt>
                <c:pt idx="48">
                  <c:v>2.04</c:v>
                </c:pt>
                <c:pt idx="49">
                  <c:v>2.0299999999999998</c:v>
                </c:pt>
                <c:pt idx="50">
                  <c:v>2.02</c:v>
                </c:pt>
                <c:pt idx="51">
                  <c:v>2</c:v>
                </c:pt>
                <c:pt idx="52">
                  <c:v>1.99</c:v>
                </c:pt>
                <c:pt idx="53">
                  <c:v>1.97</c:v>
                </c:pt>
                <c:pt idx="54">
                  <c:v>1.96</c:v>
                </c:pt>
                <c:pt idx="55">
                  <c:v>1.94</c:v>
                </c:pt>
                <c:pt idx="56">
                  <c:v>1.93</c:v>
                </c:pt>
                <c:pt idx="57">
                  <c:v>1.91</c:v>
                </c:pt>
                <c:pt idx="58">
                  <c:v>1.9</c:v>
                </c:pt>
                <c:pt idx="59">
                  <c:v>1.88</c:v>
                </c:pt>
                <c:pt idx="60">
                  <c:v>1.86</c:v>
                </c:pt>
                <c:pt idx="61">
                  <c:v>1.85</c:v>
                </c:pt>
                <c:pt idx="62">
                  <c:v>1.83</c:v>
                </c:pt>
                <c:pt idx="63">
                  <c:v>1.82</c:v>
                </c:pt>
                <c:pt idx="64">
                  <c:v>1.8</c:v>
                </c:pt>
                <c:pt idx="65">
                  <c:v>1.78</c:v>
                </c:pt>
                <c:pt idx="66">
                  <c:v>1.77</c:v>
                </c:pt>
                <c:pt idx="67">
                  <c:v>1.75</c:v>
                </c:pt>
                <c:pt idx="68">
                  <c:v>1.73</c:v>
                </c:pt>
                <c:pt idx="69">
                  <c:v>1.71</c:v>
                </c:pt>
                <c:pt idx="70">
                  <c:v>1.7</c:v>
                </c:pt>
                <c:pt idx="71">
                  <c:v>1.68</c:v>
                </c:pt>
                <c:pt idx="72">
                  <c:v>1.66</c:v>
                </c:pt>
                <c:pt idx="73">
                  <c:v>1.64</c:v>
                </c:pt>
                <c:pt idx="74">
                  <c:v>1.63</c:v>
                </c:pt>
                <c:pt idx="75">
                  <c:v>1.61</c:v>
                </c:pt>
                <c:pt idx="76">
                  <c:v>1.59</c:v>
                </c:pt>
                <c:pt idx="77">
                  <c:v>1.57</c:v>
                </c:pt>
                <c:pt idx="78">
                  <c:v>1.55</c:v>
                </c:pt>
                <c:pt idx="79">
                  <c:v>1.53</c:v>
                </c:pt>
                <c:pt idx="80">
                  <c:v>1.51</c:v>
                </c:pt>
                <c:pt idx="81">
                  <c:v>1.49</c:v>
                </c:pt>
                <c:pt idx="82">
                  <c:v>1.47</c:v>
                </c:pt>
                <c:pt idx="83">
                  <c:v>1.45</c:v>
                </c:pt>
                <c:pt idx="84">
                  <c:v>1.43</c:v>
                </c:pt>
                <c:pt idx="85">
                  <c:v>1.41</c:v>
                </c:pt>
                <c:pt idx="86">
                  <c:v>1.39</c:v>
                </c:pt>
                <c:pt idx="87">
                  <c:v>1.36</c:v>
                </c:pt>
                <c:pt idx="88">
                  <c:v>1.34</c:v>
                </c:pt>
                <c:pt idx="89">
                  <c:v>1.32</c:v>
                </c:pt>
                <c:pt idx="90">
                  <c:v>1.3</c:v>
                </c:pt>
                <c:pt idx="91">
                  <c:v>1.27</c:v>
                </c:pt>
                <c:pt idx="92">
                  <c:v>1.25</c:v>
                </c:pt>
                <c:pt idx="93">
                  <c:v>1.22</c:v>
                </c:pt>
                <c:pt idx="94">
                  <c:v>1.2</c:v>
                </c:pt>
                <c:pt idx="95">
                  <c:v>1.17</c:v>
                </c:pt>
                <c:pt idx="96">
                  <c:v>1.1399999999999999</c:v>
                </c:pt>
                <c:pt idx="97">
                  <c:v>1.1100000000000001</c:v>
                </c:pt>
                <c:pt idx="98">
                  <c:v>1.08</c:v>
                </c:pt>
                <c:pt idx="99">
                  <c:v>1.05</c:v>
                </c:pt>
                <c:pt idx="100">
                  <c:v>1.02</c:v>
                </c:pt>
                <c:pt idx="101">
                  <c:v>0.99</c:v>
                </c:pt>
                <c:pt idx="102">
                  <c:v>0.96</c:v>
                </c:pt>
                <c:pt idx="103">
                  <c:v>0.92</c:v>
                </c:pt>
                <c:pt idx="104">
                  <c:v>0.88</c:v>
                </c:pt>
                <c:pt idx="105">
                  <c:v>0.84</c:v>
                </c:pt>
                <c:pt idx="106">
                  <c:v>0.81</c:v>
                </c:pt>
                <c:pt idx="107">
                  <c:v>0.77</c:v>
                </c:pt>
                <c:pt idx="108">
                  <c:v>0.73</c:v>
                </c:pt>
                <c:pt idx="109">
                  <c:v>0.69</c:v>
                </c:pt>
                <c:pt idx="110">
                  <c:v>0.65</c:v>
                </c:pt>
                <c:pt idx="111">
                  <c:v>0.6</c:v>
                </c:pt>
                <c:pt idx="112">
                  <c:v>0.56000000000000005</c:v>
                </c:pt>
                <c:pt idx="113">
                  <c:v>0.52</c:v>
                </c:pt>
                <c:pt idx="114">
                  <c:v>0.48</c:v>
                </c:pt>
                <c:pt idx="115">
                  <c:v>0.44</c:v>
                </c:pt>
                <c:pt idx="116">
                  <c:v>0.36</c:v>
                </c:pt>
                <c:pt idx="117">
                  <c:v>0.34</c:v>
                </c:pt>
                <c:pt idx="118">
                  <c:v>0.34</c:v>
                </c:pt>
                <c:pt idx="119">
                  <c:v>0.32</c:v>
                </c:pt>
                <c:pt idx="120">
                  <c:v>0.31</c:v>
                </c:pt>
                <c:pt idx="121">
                  <c:v>0.31</c:v>
                </c:pt>
                <c:pt idx="122">
                  <c:v>0.3</c:v>
                </c:pt>
                <c:pt idx="123">
                  <c:v>0.28999999999999998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0.27</c:v>
                </c:pt>
                <c:pt idx="127">
                  <c:v>0.27</c:v>
                </c:pt>
                <c:pt idx="128">
                  <c:v>0.27</c:v>
                </c:pt>
                <c:pt idx="129">
                  <c:v>0.26</c:v>
                </c:pt>
                <c:pt idx="130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3-4E94-B48E-7D7433C7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069647"/>
        <c:axId val="844595439"/>
      </c:scatterChart>
      <c:valAx>
        <c:axId val="961069647"/>
        <c:scaling>
          <c:orientation val="minMax"/>
          <c:max val="3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595439"/>
        <c:crosses val="autoZero"/>
        <c:crossBetween val="midCat"/>
        <c:majorUnit val="6"/>
      </c:valAx>
      <c:valAx>
        <c:axId val="8445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696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spPr>
    <a:ln w="12700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Validation of two branch terminal voltage with experimental data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509872940310867"/>
          <c:y val="3.24074192211356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Experimental</c:v>
          </c:tx>
          <c:marker>
            <c:symbol val="none"/>
          </c:marker>
          <c:xVal>
            <c:numRef>
              <c:f>'Two branch validation'!$A$4:$A$64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'Two branch validation'!$B$4:$B$64</c:f>
              <c:numCache>
                <c:formatCode>General</c:formatCode>
                <c:ptCount val="61"/>
                <c:pt idx="0">
                  <c:v>2.65</c:v>
                </c:pt>
                <c:pt idx="1">
                  <c:v>2.63</c:v>
                </c:pt>
                <c:pt idx="2">
                  <c:v>2.61</c:v>
                </c:pt>
                <c:pt idx="3">
                  <c:v>2.59</c:v>
                </c:pt>
                <c:pt idx="4">
                  <c:v>2.57</c:v>
                </c:pt>
                <c:pt idx="5">
                  <c:v>2.5499999999999998</c:v>
                </c:pt>
                <c:pt idx="6">
                  <c:v>2.5299999999999998</c:v>
                </c:pt>
                <c:pt idx="7">
                  <c:v>2.5099999999999998</c:v>
                </c:pt>
                <c:pt idx="8">
                  <c:v>2.4900000000000002</c:v>
                </c:pt>
                <c:pt idx="9">
                  <c:v>2.46</c:v>
                </c:pt>
                <c:pt idx="10">
                  <c:v>2.44</c:v>
                </c:pt>
                <c:pt idx="11">
                  <c:v>2.42</c:v>
                </c:pt>
                <c:pt idx="12">
                  <c:v>2.4</c:v>
                </c:pt>
                <c:pt idx="13">
                  <c:v>2.39</c:v>
                </c:pt>
                <c:pt idx="14">
                  <c:v>2.37</c:v>
                </c:pt>
                <c:pt idx="15">
                  <c:v>2.35</c:v>
                </c:pt>
                <c:pt idx="16">
                  <c:v>2.3199999999999998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2.2400000000000002</c:v>
                </c:pt>
                <c:pt idx="21">
                  <c:v>2.23</c:v>
                </c:pt>
                <c:pt idx="22">
                  <c:v>2.2000000000000002</c:v>
                </c:pt>
                <c:pt idx="23">
                  <c:v>2.1800000000000002</c:v>
                </c:pt>
                <c:pt idx="24">
                  <c:v>2.16</c:v>
                </c:pt>
                <c:pt idx="25">
                  <c:v>2.14</c:v>
                </c:pt>
                <c:pt idx="26">
                  <c:v>2.12</c:v>
                </c:pt>
                <c:pt idx="27">
                  <c:v>2.1</c:v>
                </c:pt>
                <c:pt idx="28">
                  <c:v>2.08</c:v>
                </c:pt>
                <c:pt idx="29">
                  <c:v>2.06</c:v>
                </c:pt>
                <c:pt idx="30">
                  <c:v>2.04</c:v>
                </c:pt>
                <c:pt idx="31">
                  <c:v>2.0099999999999998</c:v>
                </c:pt>
                <c:pt idx="32">
                  <c:v>1.99</c:v>
                </c:pt>
                <c:pt idx="33">
                  <c:v>1.97</c:v>
                </c:pt>
                <c:pt idx="34">
                  <c:v>1.95</c:v>
                </c:pt>
                <c:pt idx="35">
                  <c:v>1.93</c:v>
                </c:pt>
                <c:pt idx="36">
                  <c:v>1.91</c:v>
                </c:pt>
                <c:pt idx="37">
                  <c:v>1.89</c:v>
                </c:pt>
                <c:pt idx="38">
                  <c:v>1.87</c:v>
                </c:pt>
                <c:pt idx="39">
                  <c:v>1.86</c:v>
                </c:pt>
                <c:pt idx="40">
                  <c:v>1.84</c:v>
                </c:pt>
                <c:pt idx="41">
                  <c:v>1.83</c:v>
                </c:pt>
                <c:pt idx="42">
                  <c:v>1.82</c:v>
                </c:pt>
                <c:pt idx="43">
                  <c:v>1.8</c:v>
                </c:pt>
                <c:pt idx="44">
                  <c:v>1.8</c:v>
                </c:pt>
                <c:pt idx="45">
                  <c:v>1.79</c:v>
                </c:pt>
                <c:pt idx="46">
                  <c:v>1.78</c:v>
                </c:pt>
                <c:pt idx="47">
                  <c:v>1.76</c:v>
                </c:pt>
                <c:pt idx="48">
                  <c:v>1.74</c:v>
                </c:pt>
                <c:pt idx="49">
                  <c:v>1.72</c:v>
                </c:pt>
                <c:pt idx="50">
                  <c:v>1.69</c:v>
                </c:pt>
                <c:pt idx="51">
                  <c:v>1.67</c:v>
                </c:pt>
                <c:pt idx="52">
                  <c:v>1.65</c:v>
                </c:pt>
                <c:pt idx="53">
                  <c:v>1.63</c:v>
                </c:pt>
                <c:pt idx="54">
                  <c:v>1.61</c:v>
                </c:pt>
                <c:pt idx="55">
                  <c:v>1.59</c:v>
                </c:pt>
                <c:pt idx="56">
                  <c:v>1.56</c:v>
                </c:pt>
                <c:pt idx="57">
                  <c:v>1.54</c:v>
                </c:pt>
                <c:pt idx="58">
                  <c:v>1.52</c:v>
                </c:pt>
                <c:pt idx="59">
                  <c:v>1.5</c:v>
                </c:pt>
                <c:pt idx="60">
                  <c:v>1.48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FE-4FFD-AC2B-65C229E1B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739519"/>
        <c:axId val="1364580271"/>
      </c:scatterChart>
      <c:scatterChart>
        <c:scatterStyle val="smoothMarker"/>
        <c:varyColors val="0"/>
        <c:ser>
          <c:idx val="0"/>
          <c:order val="1"/>
          <c:tx>
            <c:v>Matlab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'Two branch validation'!$C$4:$C$125</c:f>
              <c:numCache>
                <c:formatCode>General</c:formatCode>
                <c:ptCount val="122"/>
                <c:pt idx="0">
                  <c:v>0.06</c:v>
                </c:pt>
                <c:pt idx="1">
                  <c:v>0.36</c:v>
                </c:pt>
                <c:pt idx="2">
                  <c:v>0.66</c:v>
                </c:pt>
                <c:pt idx="3">
                  <c:v>0.95</c:v>
                </c:pt>
                <c:pt idx="4">
                  <c:v>1.25</c:v>
                </c:pt>
                <c:pt idx="5">
                  <c:v>1.55</c:v>
                </c:pt>
                <c:pt idx="6">
                  <c:v>1.84</c:v>
                </c:pt>
                <c:pt idx="7">
                  <c:v>2.14</c:v>
                </c:pt>
                <c:pt idx="8">
                  <c:v>2.4300000000000002</c:v>
                </c:pt>
                <c:pt idx="9">
                  <c:v>2.73</c:v>
                </c:pt>
                <c:pt idx="10">
                  <c:v>3.03</c:v>
                </c:pt>
                <c:pt idx="11">
                  <c:v>3.32</c:v>
                </c:pt>
                <c:pt idx="12">
                  <c:v>3.62</c:v>
                </c:pt>
                <c:pt idx="13">
                  <c:v>3.91</c:v>
                </c:pt>
                <c:pt idx="14">
                  <c:v>4.21</c:v>
                </c:pt>
                <c:pt idx="15">
                  <c:v>4.51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5.69</c:v>
                </c:pt>
                <c:pt idx="20">
                  <c:v>5.99</c:v>
                </c:pt>
                <c:pt idx="21">
                  <c:v>6.28</c:v>
                </c:pt>
                <c:pt idx="22">
                  <c:v>6.58</c:v>
                </c:pt>
                <c:pt idx="23">
                  <c:v>6.88</c:v>
                </c:pt>
                <c:pt idx="24">
                  <c:v>7.17</c:v>
                </c:pt>
                <c:pt idx="25">
                  <c:v>7.47</c:v>
                </c:pt>
                <c:pt idx="26">
                  <c:v>7.76</c:v>
                </c:pt>
                <c:pt idx="27">
                  <c:v>8.06</c:v>
                </c:pt>
                <c:pt idx="28">
                  <c:v>8.36</c:v>
                </c:pt>
                <c:pt idx="29">
                  <c:v>8.65</c:v>
                </c:pt>
                <c:pt idx="30">
                  <c:v>8.9499999999999993</c:v>
                </c:pt>
                <c:pt idx="31">
                  <c:v>9.25</c:v>
                </c:pt>
                <c:pt idx="32">
                  <c:v>9.5399999999999991</c:v>
                </c:pt>
                <c:pt idx="33">
                  <c:v>9.84</c:v>
                </c:pt>
                <c:pt idx="34">
                  <c:v>10.130000000000001</c:v>
                </c:pt>
                <c:pt idx="35">
                  <c:v>10.43</c:v>
                </c:pt>
                <c:pt idx="36">
                  <c:v>10.73</c:v>
                </c:pt>
                <c:pt idx="37">
                  <c:v>11.02</c:v>
                </c:pt>
                <c:pt idx="38">
                  <c:v>11.32</c:v>
                </c:pt>
                <c:pt idx="39">
                  <c:v>11.62</c:v>
                </c:pt>
                <c:pt idx="40">
                  <c:v>11.91</c:v>
                </c:pt>
                <c:pt idx="41">
                  <c:v>12.21</c:v>
                </c:pt>
                <c:pt idx="42">
                  <c:v>12.5</c:v>
                </c:pt>
                <c:pt idx="43">
                  <c:v>12.8</c:v>
                </c:pt>
                <c:pt idx="44">
                  <c:v>13.1</c:v>
                </c:pt>
                <c:pt idx="45">
                  <c:v>13.39</c:v>
                </c:pt>
                <c:pt idx="46">
                  <c:v>13.69</c:v>
                </c:pt>
                <c:pt idx="47">
                  <c:v>13.99</c:v>
                </c:pt>
                <c:pt idx="48">
                  <c:v>14.28</c:v>
                </c:pt>
                <c:pt idx="49">
                  <c:v>14.58</c:v>
                </c:pt>
                <c:pt idx="50">
                  <c:v>14.87</c:v>
                </c:pt>
                <c:pt idx="51">
                  <c:v>15.17</c:v>
                </c:pt>
                <c:pt idx="52">
                  <c:v>15.47</c:v>
                </c:pt>
                <c:pt idx="53">
                  <c:v>15.76</c:v>
                </c:pt>
                <c:pt idx="54">
                  <c:v>16.059999999999999</c:v>
                </c:pt>
                <c:pt idx="55">
                  <c:v>16.350000000000001</c:v>
                </c:pt>
                <c:pt idx="56">
                  <c:v>16.649999999999999</c:v>
                </c:pt>
                <c:pt idx="57">
                  <c:v>16.95</c:v>
                </c:pt>
                <c:pt idx="58">
                  <c:v>17.239999999999998</c:v>
                </c:pt>
                <c:pt idx="59">
                  <c:v>17.54</c:v>
                </c:pt>
                <c:pt idx="60">
                  <c:v>17.84</c:v>
                </c:pt>
                <c:pt idx="61">
                  <c:v>18.13</c:v>
                </c:pt>
                <c:pt idx="62">
                  <c:v>18.43</c:v>
                </c:pt>
                <c:pt idx="63">
                  <c:v>18.72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20.21</c:v>
                </c:pt>
                <c:pt idx="69">
                  <c:v>20.5</c:v>
                </c:pt>
                <c:pt idx="70">
                  <c:v>20.8</c:v>
                </c:pt>
                <c:pt idx="71">
                  <c:v>21.09</c:v>
                </c:pt>
                <c:pt idx="72">
                  <c:v>21.39</c:v>
                </c:pt>
                <c:pt idx="73">
                  <c:v>21.69</c:v>
                </c:pt>
                <c:pt idx="74">
                  <c:v>21.98</c:v>
                </c:pt>
                <c:pt idx="75">
                  <c:v>22.28</c:v>
                </c:pt>
                <c:pt idx="76">
                  <c:v>22.58</c:v>
                </c:pt>
                <c:pt idx="77">
                  <c:v>22.87</c:v>
                </c:pt>
                <c:pt idx="78">
                  <c:v>23.17</c:v>
                </c:pt>
                <c:pt idx="79">
                  <c:v>23.46</c:v>
                </c:pt>
                <c:pt idx="80">
                  <c:v>23.76</c:v>
                </c:pt>
                <c:pt idx="81">
                  <c:v>24.06</c:v>
                </c:pt>
                <c:pt idx="82">
                  <c:v>24.35</c:v>
                </c:pt>
                <c:pt idx="83">
                  <c:v>24.65</c:v>
                </c:pt>
                <c:pt idx="84">
                  <c:v>24.95</c:v>
                </c:pt>
                <c:pt idx="85">
                  <c:v>25.24</c:v>
                </c:pt>
                <c:pt idx="86">
                  <c:v>25.54</c:v>
                </c:pt>
                <c:pt idx="87">
                  <c:v>25.84</c:v>
                </c:pt>
                <c:pt idx="88">
                  <c:v>26.13</c:v>
                </c:pt>
                <c:pt idx="89">
                  <c:v>26.43</c:v>
                </c:pt>
                <c:pt idx="90">
                  <c:v>26.72</c:v>
                </c:pt>
                <c:pt idx="91">
                  <c:v>27.02</c:v>
                </c:pt>
                <c:pt idx="92">
                  <c:v>27.32</c:v>
                </c:pt>
                <c:pt idx="93">
                  <c:v>27.61</c:v>
                </c:pt>
                <c:pt idx="94">
                  <c:v>27.91</c:v>
                </c:pt>
                <c:pt idx="95">
                  <c:v>28.21</c:v>
                </c:pt>
                <c:pt idx="96">
                  <c:v>28.5</c:v>
                </c:pt>
                <c:pt idx="97">
                  <c:v>28.8</c:v>
                </c:pt>
                <c:pt idx="98">
                  <c:v>29.09</c:v>
                </c:pt>
                <c:pt idx="99">
                  <c:v>29.39</c:v>
                </c:pt>
                <c:pt idx="100">
                  <c:v>29.69</c:v>
                </c:pt>
                <c:pt idx="101">
                  <c:v>29.98</c:v>
                </c:pt>
                <c:pt idx="102">
                  <c:v>30.28</c:v>
                </c:pt>
                <c:pt idx="103">
                  <c:v>30.58</c:v>
                </c:pt>
                <c:pt idx="104">
                  <c:v>30.87</c:v>
                </c:pt>
                <c:pt idx="105">
                  <c:v>31.17</c:v>
                </c:pt>
                <c:pt idx="106">
                  <c:v>31.47</c:v>
                </c:pt>
                <c:pt idx="107">
                  <c:v>31.76</c:v>
                </c:pt>
                <c:pt idx="108">
                  <c:v>32.06</c:v>
                </c:pt>
                <c:pt idx="109">
                  <c:v>32.35</c:v>
                </c:pt>
                <c:pt idx="110">
                  <c:v>32.65</c:v>
                </c:pt>
                <c:pt idx="111">
                  <c:v>32.950000000000003</c:v>
                </c:pt>
                <c:pt idx="112">
                  <c:v>33.24</c:v>
                </c:pt>
                <c:pt idx="113">
                  <c:v>33.54</c:v>
                </c:pt>
                <c:pt idx="114">
                  <c:v>33.840000000000003</c:v>
                </c:pt>
                <c:pt idx="115">
                  <c:v>34.130000000000003</c:v>
                </c:pt>
                <c:pt idx="116">
                  <c:v>34.43</c:v>
                </c:pt>
                <c:pt idx="117">
                  <c:v>34.729999999999997</c:v>
                </c:pt>
                <c:pt idx="118">
                  <c:v>35.020000000000003</c:v>
                </c:pt>
                <c:pt idx="119">
                  <c:v>35.32</c:v>
                </c:pt>
                <c:pt idx="120">
                  <c:v>35.619999999999997</c:v>
                </c:pt>
                <c:pt idx="121">
                  <c:v>35.78</c:v>
                </c:pt>
              </c:numCache>
            </c:numRef>
          </c:xVal>
          <c:yVal>
            <c:numRef>
              <c:f>'Two branch validation'!$D$4:$D$125</c:f>
              <c:numCache>
                <c:formatCode>General</c:formatCode>
                <c:ptCount val="122"/>
                <c:pt idx="0">
                  <c:v>2.65</c:v>
                </c:pt>
                <c:pt idx="1">
                  <c:v>2.65</c:v>
                </c:pt>
                <c:pt idx="2">
                  <c:v>2.64</c:v>
                </c:pt>
                <c:pt idx="3">
                  <c:v>2.63</c:v>
                </c:pt>
                <c:pt idx="4">
                  <c:v>2.63</c:v>
                </c:pt>
                <c:pt idx="5">
                  <c:v>2.62</c:v>
                </c:pt>
                <c:pt idx="6">
                  <c:v>2.61</c:v>
                </c:pt>
                <c:pt idx="7">
                  <c:v>2.61</c:v>
                </c:pt>
                <c:pt idx="8">
                  <c:v>2.6</c:v>
                </c:pt>
                <c:pt idx="9">
                  <c:v>2.59</c:v>
                </c:pt>
                <c:pt idx="10">
                  <c:v>2.58</c:v>
                </c:pt>
                <c:pt idx="11">
                  <c:v>2.58</c:v>
                </c:pt>
                <c:pt idx="12">
                  <c:v>2.57</c:v>
                </c:pt>
                <c:pt idx="13">
                  <c:v>2.56</c:v>
                </c:pt>
                <c:pt idx="14">
                  <c:v>2.56</c:v>
                </c:pt>
                <c:pt idx="15">
                  <c:v>2.5499999999999998</c:v>
                </c:pt>
                <c:pt idx="16">
                  <c:v>2.54</c:v>
                </c:pt>
                <c:pt idx="17">
                  <c:v>2.54</c:v>
                </c:pt>
                <c:pt idx="18">
                  <c:v>2.5299999999999998</c:v>
                </c:pt>
                <c:pt idx="19">
                  <c:v>2.52</c:v>
                </c:pt>
                <c:pt idx="20">
                  <c:v>2.5099999999999998</c:v>
                </c:pt>
                <c:pt idx="21">
                  <c:v>2.5099999999999998</c:v>
                </c:pt>
                <c:pt idx="22">
                  <c:v>2.5</c:v>
                </c:pt>
                <c:pt idx="23">
                  <c:v>2.4900000000000002</c:v>
                </c:pt>
                <c:pt idx="24">
                  <c:v>2.48</c:v>
                </c:pt>
                <c:pt idx="25">
                  <c:v>2.48</c:v>
                </c:pt>
                <c:pt idx="26">
                  <c:v>2.4700000000000002</c:v>
                </c:pt>
                <c:pt idx="27">
                  <c:v>2.46</c:v>
                </c:pt>
                <c:pt idx="28">
                  <c:v>2.4500000000000002</c:v>
                </c:pt>
                <c:pt idx="29">
                  <c:v>2.4500000000000002</c:v>
                </c:pt>
                <c:pt idx="30">
                  <c:v>2.44</c:v>
                </c:pt>
                <c:pt idx="31">
                  <c:v>2.4300000000000002</c:v>
                </c:pt>
                <c:pt idx="32">
                  <c:v>2.42</c:v>
                </c:pt>
                <c:pt idx="33">
                  <c:v>2.42</c:v>
                </c:pt>
                <c:pt idx="34">
                  <c:v>2.41</c:v>
                </c:pt>
                <c:pt idx="35">
                  <c:v>2.4</c:v>
                </c:pt>
                <c:pt idx="36">
                  <c:v>2.39</c:v>
                </c:pt>
                <c:pt idx="37">
                  <c:v>2.39</c:v>
                </c:pt>
                <c:pt idx="38">
                  <c:v>2.38</c:v>
                </c:pt>
                <c:pt idx="39">
                  <c:v>2.37</c:v>
                </c:pt>
                <c:pt idx="40">
                  <c:v>2.36</c:v>
                </c:pt>
                <c:pt idx="41">
                  <c:v>2.35</c:v>
                </c:pt>
                <c:pt idx="42">
                  <c:v>2.35</c:v>
                </c:pt>
                <c:pt idx="43">
                  <c:v>2.34</c:v>
                </c:pt>
                <c:pt idx="44">
                  <c:v>2.33</c:v>
                </c:pt>
                <c:pt idx="45">
                  <c:v>2.3199999999999998</c:v>
                </c:pt>
                <c:pt idx="46">
                  <c:v>2.31</c:v>
                </c:pt>
                <c:pt idx="47">
                  <c:v>2.31</c:v>
                </c:pt>
                <c:pt idx="48">
                  <c:v>2.2999999999999998</c:v>
                </c:pt>
                <c:pt idx="49">
                  <c:v>2.29</c:v>
                </c:pt>
                <c:pt idx="50">
                  <c:v>2.2799999999999998</c:v>
                </c:pt>
                <c:pt idx="51">
                  <c:v>2.27</c:v>
                </c:pt>
                <c:pt idx="52">
                  <c:v>2.2599999999999998</c:v>
                </c:pt>
                <c:pt idx="53">
                  <c:v>2.2599999999999998</c:v>
                </c:pt>
                <c:pt idx="54">
                  <c:v>2.25</c:v>
                </c:pt>
                <c:pt idx="55">
                  <c:v>2.2400000000000002</c:v>
                </c:pt>
                <c:pt idx="56">
                  <c:v>2.23</c:v>
                </c:pt>
                <c:pt idx="57">
                  <c:v>2.2200000000000002</c:v>
                </c:pt>
                <c:pt idx="58">
                  <c:v>2.21</c:v>
                </c:pt>
                <c:pt idx="59">
                  <c:v>2.2000000000000002</c:v>
                </c:pt>
                <c:pt idx="60">
                  <c:v>2.19</c:v>
                </c:pt>
                <c:pt idx="61">
                  <c:v>2.19</c:v>
                </c:pt>
                <c:pt idx="62">
                  <c:v>2.1800000000000002</c:v>
                </c:pt>
                <c:pt idx="63">
                  <c:v>2.17</c:v>
                </c:pt>
                <c:pt idx="64">
                  <c:v>2.16</c:v>
                </c:pt>
                <c:pt idx="65">
                  <c:v>2.15</c:v>
                </c:pt>
                <c:pt idx="66">
                  <c:v>2.14</c:v>
                </c:pt>
                <c:pt idx="67">
                  <c:v>2.13</c:v>
                </c:pt>
                <c:pt idx="68">
                  <c:v>2.12</c:v>
                </c:pt>
                <c:pt idx="69">
                  <c:v>2.11</c:v>
                </c:pt>
                <c:pt idx="70">
                  <c:v>2.1</c:v>
                </c:pt>
                <c:pt idx="71">
                  <c:v>2.09</c:v>
                </c:pt>
                <c:pt idx="72">
                  <c:v>2.09</c:v>
                </c:pt>
                <c:pt idx="73">
                  <c:v>2.08</c:v>
                </c:pt>
                <c:pt idx="74">
                  <c:v>2.0699999999999998</c:v>
                </c:pt>
                <c:pt idx="75">
                  <c:v>2.06</c:v>
                </c:pt>
                <c:pt idx="76">
                  <c:v>2.0499999999999998</c:v>
                </c:pt>
                <c:pt idx="77">
                  <c:v>2.04</c:v>
                </c:pt>
                <c:pt idx="78">
                  <c:v>2.0299999999999998</c:v>
                </c:pt>
                <c:pt idx="79">
                  <c:v>2.02</c:v>
                </c:pt>
                <c:pt idx="80">
                  <c:v>2.0099999999999998</c:v>
                </c:pt>
                <c:pt idx="81">
                  <c:v>2</c:v>
                </c:pt>
                <c:pt idx="82">
                  <c:v>1.99</c:v>
                </c:pt>
                <c:pt idx="83">
                  <c:v>1.98</c:v>
                </c:pt>
                <c:pt idx="84">
                  <c:v>1.97</c:v>
                </c:pt>
                <c:pt idx="85">
                  <c:v>1.96</c:v>
                </c:pt>
                <c:pt idx="86">
                  <c:v>1.95</c:v>
                </c:pt>
                <c:pt idx="87">
                  <c:v>1.94</c:v>
                </c:pt>
                <c:pt idx="88">
                  <c:v>1.93</c:v>
                </c:pt>
                <c:pt idx="89">
                  <c:v>1.91</c:v>
                </c:pt>
                <c:pt idx="90">
                  <c:v>1.9</c:v>
                </c:pt>
                <c:pt idx="91">
                  <c:v>1.89</c:v>
                </c:pt>
                <c:pt idx="92">
                  <c:v>1.88</c:v>
                </c:pt>
                <c:pt idx="93">
                  <c:v>1.87</c:v>
                </c:pt>
                <c:pt idx="94">
                  <c:v>1.86</c:v>
                </c:pt>
                <c:pt idx="95">
                  <c:v>1.85</c:v>
                </c:pt>
                <c:pt idx="96">
                  <c:v>1.84</c:v>
                </c:pt>
                <c:pt idx="97">
                  <c:v>1.83</c:v>
                </c:pt>
                <c:pt idx="98">
                  <c:v>1.82</c:v>
                </c:pt>
                <c:pt idx="99">
                  <c:v>1.8</c:v>
                </c:pt>
                <c:pt idx="100">
                  <c:v>1.79</c:v>
                </c:pt>
                <c:pt idx="101">
                  <c:v>1.78</c:v>
                </c:pt>
                <c:pt idx="102">
                  <c:v>1.77</c:v>
                </c:pt>
                <c:pt idx="103">
                  <c:v>1.76</c:v>
                </c:pt>
                <c:pt idx="104">
                  <c:v>1.74</c:v>
                </c:pt>
                <c:pt idx="105">
                  <c:v>1.73</c:v>
                </c:pt>
                <c:pt idx="106">
                  <c:v>1.72</c:v>
                </c:pt>
                <c:pt idx="107">
                  <c:v>1.71</c:v>
                </c:pt>
                <c:pt idx="108">
                  <c:v>1.7</c:v>
                </c:pt>
                <c:pt idx="109">
                  <c:v>1.68</c:v>
                </c:pt>
                <c:pt idx="110">
                  <c:v>1.67</c:v>
                </c:pt>
                <c:pt idx="111">
                  <c:v>1.66</c:v>
                </c:pt>
                <c:pt idx="112">
                  <c:v>1.64</c:v>
                </c:pt>
                <c:pt idx="113">
                  <c:v>1.63</c:v>
                </c:pt>
                <c:pt idx="114">
                  <c:v>1.62</c:v>
                </c:pt>
                <c:pt idx="115">
                  <c:v>1.6</c:v>
                </c:pt>
                <c:pt idx="116">
                  <c:v>1.59</c:v>
                </c:pt>
                <c:pt idx="117">
                  <c:v>1.58</c:v>
                </c:pt>
                <c:pt idx="118">
                  <c:v>1.56</c:v>
                </c:pt>
                <c:pt idx="119">
                  <c:v>1.55</c:v>
                </c:pt>
                <c:pt idx="120">
                  <c:v>1.53</c:v>
                </c:pt>
                <c:pt idx="121">
                  <c:v>1.53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FE-4FFD-AC2B-65C229E1B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738975"/>
        <c:axId val="1372766255"/>
      </c:scatterChart>
      <c:valAx>
        <c:axId val="1777739519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80271"/>
        <c:crosses val="autoZero"/>
        <c:crossBetween val="midCat"/>
        <c:majorUnit val="3"/>
      </c:valAx>
      <c:valAx>
        <c:axId val="136458027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Voltage(V)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739519"/>
        <c:crosses val="autoZero"/>
        <c:crossBetween val="midCat"/>
        <c:majorUnit val="0.5"/>
      </c:valAx>
      <c:valAx>
        <c:axId val="1372766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1372738975"/>
        <c:crosses val="max"/>
        <c:crossBetween val="midCat"/>
      </c:valAx>
      <c:valAx>
        <c:axId val="1372738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2766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spPr>
    <a:ln w="12700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Error % between experimental</a:t>
            </a:r>
            <a:r>
              <a:rPr lang="en-IN" b="1" baseline="0">
                <a:solidFill>
                  <a:sysClr val="windowText" lastClr="000000"/>
                </a:solidFill>
              </a:rPr>
              <a:t> and MATLAB data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'Two branch validation'!$E$4:$E$64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'Two branch validation'!$H$4:$H$64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0.38314176245211617</c:v>
                </c:pt>
                <c:pt idx="3">
                  <c:v>0.77220077220077288</c:v>
                </c:pt>
                <c:pt idx="4">
                  <c:v>0.77821011673151819</c:v>
                </c:pt>
                <c:pt idx="5">
                  <c:v>1.1764705882353039</c:v>
                </c:pt>
                <c:pt idx="6">
                  <c:v>1.1857707509881523</c:v>
                </c:pt>
                <c:pt idx="7">
                  <c:v>1.1952191235059861</c:v>
                </c:pt>
                <c:pt idx="8">
                  <c:v>1.6064257028112285</c:v>
                </c:pt>
                <c:pt idx="9">
                  <c:v>2.0325203252032447</c:v>
                </c:pt>
                <c:pt idx="10">
                  <c:v>2.4590163934426252</c:v>
                </c:pt>
                <c:pt idx="11">
                  <c:v>2.4793388429752086</c:v>
                </c:pt>
                <c:pt idx="12">
                  <c:v>2.9166666666666785</c:v>
                </c:pt>
                <c:pt idx="13">
                  <c:v>2.5104602510460272</c:v>
                </c:pt>
                <c:pt idx="14">
                  <c:v>2.9535864978902886</c:v>
                </c:pt>
                <c:pt idx="15">
                  <c:v>2.9787234042553123</c:v>
                </c:pt>
                <c:pt idx="16">
                  <c:v>3.4482758620689689</c:v>
                </c:pt>
                <c:pt idx="17">
                  <c:v>3.9130434782608829</c:v>
                </c:pt>
                <c:pt idx="18">
                  <c:v>3.9473684210526452</c:v>
                </c:pt>
                <c:pt idx="19">
                  <c:v>3.982300884955766</c:v>
                </c:pt>
                <c:pt idx="20">
                  <c:v>4.4642857142856975</c:v>
                </c:pt>
                <c:pt idx="21">
                  <c:v>4.0358744394618773</c:v>
                </c:pt>
                <c:pt idx="22">
                  <c:v>4.9999999999999938</c:v>
                </c:pt>
                <c:pt idx="23">
                  <c:v>5.0458715596330217</c:v>
                </c:pt>
                <c:pt idx="24">
                  <c:v>4.6296296296296129</c:v>
                </c:pt>
                <c:pt idx="25">
                  <c:v>5.1401869158878437</c:v>
                </c:pt>
                <c:pt idx="26">
                  <c:v>5.1886792452830131</c:v>
                </c:pt>
                <c:pt idx="27">
                  <c:v>5.2380952380952319</c:v>
                </c:pt>
                <c:pt idx="28">
                  <c:v>5.2884615384615321</c:v>
                </c:pt>
                <c:pt idx="29">
                  <c:v>5.8252427184466073</c:v>
                </c:pt>
                <c:pt idx="30">
                  <c:v>5.3921568627450922</c:v>
                </c:pt>
                <c:pt idx="31">
                  <c:v>5.9701492537313499</c:v>
                </c:pt>
                <c:pt idx="32">
                  <c:v>6.0301507537688384</c:v>
                </c:pt>
                <c:pt idx="33">
                  <c:v>6.0913705583756288</c:v>
                </c:pt>
                <c:pt idx="34">
                  <c:v>6.6666666666666723</c:v>
                </c:pt>
                <c:pt idx="35">
                  <c:v>6.2176165803108754</c:v>
                </c:pt>
                <c:pt idx="36">
                  <c:v>6.2827225130889994</c:v>
                </c:pt>
                <c:pt idx="37">
                  <c:v>6.3492063492063435</c:v>
                </c:pt>
                <c:pt idx="38">
                  <c:v>6.4171122994652343</c:v>
                </c:pt>
                <c:pt idx="39">
                  <c:v>6.4516129032257989</c:v>
                </c:pt>
                <c:pt idx="40">
                  <c:v>7.0652173913043415</c:v>
                </c:pt>
                <c:pt idx="41">
                  <c:v>7.1038251366120155</c:v>
                </c:pt>
                <c:pt idx="42">
                  <c:v>7.142857142857137</c:v>
                </c:pt>
                <c:pt idx="43">
                  <c:v>7.7777777777777724</c:v>
                </c:pt>
                <c:pt idx="44">
                  <c:v>7.2222222222222161</c:v>
                </c:pt>
                <c:pt idx="45">
                  <c:v>6.7039106145251326</c:v>
                </c:pt>
                <c:pt idx="46">
                  <c:v>6.7415730337078577</c:v>
                </c:pt>
                <c:pt idx="47">
                  <c:v>6.2500000000000053</c:v>
                </c:pt>
                <c:pt idx="48">
                  <c:v>6.3218390804597764</c:v>
                </c:pt>
                <c:pt idx="49">
                  <c:v>6.3953488372093084</c:v>
                </c:pt>
                <c:pt idx="50">
                  <c:v>6.5088757396449761</c:v>
                </c:pt>
                <c:pt idx="51">
                  <c:v>5.9880239520958138</c:v>
                </c:pt>
                <c:pt idx="52">
                  <c:v>5.4545454545454595</c:v>
                </c:pt>
                <c:pt idx="53">
                  <c:v>5.5214723926380422</c:v>
                </c:pt>
                <c:pt idx="54">
                  <c:v>6.2111801242235938</c:v>
                </c:pt>
                <c:pt idx="55">
                  <c:v>5.031446540880494</c:v>
                </c:pt>
                <c:pt idx="56">
                  <c:v>5.128205128205118</c:v>
                </c:pt>
                <c:pt idx="57">
                  <c:v>5.1948051948051992</c:v>
                </c:pt>
                <c:pt idx="58">
                  <c:v>4.6052631578947407</c:v>
                </c:pt>
                <c:pt idx="59">
                  <c:v>3.3333333333333361</c:v>
                </c:pt>
                <c:pt idx="60">
                  <c:v>3.3783783783783812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F-4F63-968E-32A87B7F3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757279"/>
        <c:axId val="1777374863"/>
      </c:scatterChart>
      <c:valAx>
        <c:axId val="1777757279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74863"/>
        <c:crosses val="autoZero"/>
        <c:crossBetween val="midCat"/>
        <c:majorUnit val="2"/>
        <c:minorUnit val="2"/>
      </c:valAx>
      <c:valAx>
        <c:axId val="1777374863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error</a:t>
                </a:r>
                <a:r>
                  <a:rPr lang="en-IN" b="1" baseline="0">
                    <a:solidFill>
                      <a:sysClr val="windowText" lastClr="000000"/>
                    </a:solidFill>
                  </a:rPr>
                  <a:t> %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75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Terminal voltages</a:t>
            </a:r>
            <a:r>
              <a:rPr lang="en-IN" b="1" baseline="0">
                <a:solidFill>
                  <a:sysClr val="windowText" lastClr="000000"/>
                </a:solidFill>
              </a:rPr>
              <a:t> of E</a:t>
            </a:r>
            <a:r>
              <a:rPr lang="en-IN" b="1">
                <a:solidFill>
                  <a:sysClr val="windowText" lastClr="000000"/>
                </a:solidFill>
              </a:rPr>
              <a:t>xperimental vs Non-ideal vs Two branch</a:t>
            </a:r>
          </a:p>
        </c:rich>
      </c:tx>
      <c:layout>
        <c:manualLayout>
          <c:xMode val="edge"/>
          <c:yMode val="edge"/>
          <c:x val="6.1707485950759221E-2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two branch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 vs NI vs TB'!$A$4:$A$64</c:f>
              <c:numCache>
                <c:formatCode>General</c:formatCode>
                <c:ptCount val="61"/>
                <c:pt idx="0">
                  <c:v>0.32</c:v>
                </c:pt>
                <c:pt idx="1">
                  <c:v>0.95</c:v>
                </c:pt>
                <c:pt idx="2">
                  <c:v>1.48</c:v>
                </c:pt>
                <c:pt idx="3">
                  <c:v>2.08</c:v>
                </c:pt>
                <c:pt idx="4">
                  <c:v>2.72</c:v>
                </c:pt>
                <c:pt idx="5">
                  <c:v>3.39</c:v>
                </c:pt>
                <c:pt idx="6">
                  <c:v>4.03</c:v>
                </c:pt>
                <c:pt idx="7">
                  <c:v>4.71</c:v>
                </c:pt>
                <c:pt idx="8">
                  <c:v>5.35</c:v>
                </c:pt>
                <c:pt idx="9">
                  <c:v>6.04</c:v>
                </c:pt>
                <c:pt idx="10">
                  <c:v>6.66</c:v>
                </c:pt>
                <c:pt idx="11">
                  <c:v>7.29</c:v>
                </c:pt>
                <c:pt idx="12">
                  <c:v>7.91</c:v>
                </c:pt>
                <c:pt idx="13">
                  <c:v>8.4499999999999993</c:v>
                </c:pt>
                <c:pt idx="14">
                  <c:v>9.0500000000000007</c:v>
                </c:pt>
                <c:pt idx="15">
                  <c:v>9.67</c:v>
                </c:pt>
                <c:pt idx="16">
                  <c:v>10.36</c:v>
                </c:pt>
                <c:pt idx="17">
                  <c:v>11</c:v>
                </c:pt>
                <c:pt idx="18">
                  <c:v>11.63</c:v>
                </c:pt>
                <c:pt idx="19">
                  <c:v>12.24</c:v>
                </c:pt>
                <c:pt idx="20">
                  <c:v>12.81</c:v>
                </c:pt>
                <c:pt idx="21">
                  <c:v>13.37</c:v>
                </c:pt>
                <c:pt idx="22">
                  <c:v>14.01</c:v>
                </c:pt>
                <c:pt idx="23">
                  <c:v>14.7</c:v>
                </c:pt>
                <c:pt idx="24">
                  <c:v>15.32</c:v>
                </c:pt>
                <c:pt idx="25">
                  <c:v>15.96</c:v>
                </c:pt>
                <c:pt idx="26">
                  <c:v>16.579999999999998</c:v>
                </c:pt>
                <c:pt idx="27">
                  <c:v>17.27</c:v>
                </c:pt>
                <c:pt idx="28">
                  <c:v>17.899999999999999</c:v>
                </c:pt>
                <c:pt idx="29">
                  <c:v>18.53</c:v>
                </c:pt>
                <c:pt idx="30">
                  <c:v>19.149999999999999</c:v>
                </c:pt>
                <c:pt idx="31">
                  <c:v>19.84</c:v>
                </c:pt>
                <c:pt idx="32">
                  <c:v>20.48</c:v>
                </c:pt>
                <c:pt idx="33">
                  <c:v>21.11</c:v>
                </c:pt>
                <c:pt idx="34">
                  <c:v>21.73</c:v>
                </c:pt>
                <c:pt idx="35">
                  <c:v>22.43</c:v>
                </c:pt>
                <c:pt idx="36">
                  <c:v>23.05</c:v>
                </c:pt>
                <c:pt idx="37">
                  <c:v>23.69</c:v>
                </c:pt>
                <c:pt idx="38">
                  <c:v>24.32</c:v>
                </c:pt>
                <c:pt idx="39">
                  <c:v>24.61</c:v>
                </c:pt>
                <c:pt idx="40">
                  <c:v>25.01</c:v>
                </c:pt>
                <c:pt idx="41">
                  <c:v>25.21</c:v>
                </c:pt>
                <c:pt idx="42">
                  <c:v>25.6</c:v>
                </c:pt>
                <c:pt idx="43">
                  <c:v>25.81</c:v>
                </c:pt>
                <c:pt idx="44">
                  <c:v>26.27</c:v>
                </c:pt>
                <c:pt idx="45">
                  <c:v>26.42</c:v>
                </c:pt>
                <c:pt idx="46">
                  <c:v>26.89</c:v>
                </c:pt>
                <c:pt idx="47">
                  <c:v>27.52</c:v>
                </c:pt>
                <c:pt idx="48">
                  <c:v>28.16</c:v>
                </c:pt>
                <c:pt idx="49">
                  <c:v>28.79</c:v>
                </c:pt>
                <c:pt idx="50">
                  <c:v>29.41</c:v>
                </c:pt>
                <c:pt idx="51">
                  <c:v>30.11</c:v>
                </c:pt>
                <c:pt idx="52">
                  <c:v>30.73</c:v>
                </c:pt>
                <c:pt idx="53">
                  <c:v>31.36</c:v>
                </c:pt>
                <c:pt idx="54">
                  <c:v>31.99</c:v>
                </c:pt>
                <c:pt idx="55">
                  <c:v>32.619999999999997</c:v>
                </c:pt>
                <c:pt idx="56">
                  <c:v>33.25</c:v>
                </c:pt>
                <c:pt idx="57">
                  <c:v>33.89</c:v>
                </c:pt>
                <c:pt idx="58">
                  <c:v>34.520000000000003</c:v>
                </c:pt>
                <c:pt idx="59">
                  <c:v>35.15</c:v>
                </c:pt>
                <c:pt idx="60">
                  <c:v>35.72</c:v>
                </c:pt>
              </c:numCache>
            </c:numRef>
          </c:xVal>
          <c:yVal>
            <c:numRef>
              <c:f>'Exp vs NI vs TB'!$B$4:$B$64</c:f>
              <c:numCache>
                <c:formatCode>General</c:formatCode>
                <c:ptCount val="61"/>
                <c:pt idx="0">
                  <c:v>2.65</c:v>
                </c:pt>
                <c:pt idx="1">
                  <c:v>2.63</c:v>
                </c:pt>
                <c:pt idx="2">
                  <c:v>2.61</c:v>
                </c:pt>
                <c:pt idx="3">
                  <c:v>2.59</c:v>
                </c:pt>
                <c:pt idx="4">
                  <c:v>2.57</c:v>
                </c:pt>
                <c:pt idx="5">
                  <c:v>2.5499999999999998</c:v>
                </c:pt>
                <c:pt idx="6">
                  <c:v>2.5299999999999998</c:v>
                </c:pt>
                <c:pt idx="7">
                  <c:v>2.5099999999999998</c:v>
                </c:pt>
                <c:pt idx="8">
                  <c:v>2.4900000000000002</c:v>
                </c:pt>
                <c:pt idx="9">
                  <c:v>2.46</c:v>
                </c:pt>
                <c:pt idx="10">
                  <c:v>2.44</c:v>
                </c:pt>
                <c:pt idx="11">
                  <c:v>2.42</c:v>
                </c:pt>
                <c:pt idx="12">
                  <c:v>2.4</c:v>
                </c:pt>
                <c:pt idx="13">
                  <c:v>2.39</c:v>
                </c:pt>
                <c:pt idx="14">
                  <c:v>2.37</c:v>
                </c:pt>
                <c:pt idx="15">
                  <c:v>2.35</c:v>
                </c:pt>
                <c:pt idx="16">
                  <c:v>2.3199999999999998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2.2400000000000002</c:v>
                </c:pt>
                <c:pt idx="21">
                  <c:v>2.23</c:v>
                </c:pt>
                <c:pt idx="22">
                  <c:v>2.2000000000000002</c:v>
                </c:pt>
                <c:pt idx="23">
                  <c:v>2.1800000000000002</c:v>
                </c:pt>
                <c:pt idx="24">
                  <c:v>2.16</c:v>
                </c:pt>
                <c:pt idx="25">
                  <c:v>2.14</c:v>
                </c:pt>
                <c:pt idx="26">
                  <c:v>2.12</c:v>
                </c:pt>
                <c:pt idx="27">
                  <c:v>2.1</c:v>
                </c:pt>
                <c:pt idx="28">
                  <c:v>2.08</c:v>
                </c:pt>
                <c:pt idx="29">
                  <c:v>2.06</c:v>
                </c:pt>
                <c:pt idx="30">
                  <c:v>2.04</c:v>
                </c:pt>
                <c:pt idx="31">
                  <c:v>2.0099999999999998</c:v>
                </c:pt>
                <c:pt idx="32">
                  <c:v>1.99</c:v>
                </c:pt>
                <c:pt idx="33">
                  <c:v>1.97</c:v>
                </c:pt>
                <c:pt idx="34">
                  <c:v>1.95</c:v>
                </c:pt>
                <c:pt idx="35">
                  <c:v>1.93</c:v>
                </c:pt>
                <c:pt idx="36">
                  <c:v>1.91</c:v>
                </c:pt>
                <c:pt idx="37">
                  <c:v>1.89</c:v>
                </c:pt>
                <c:pt idx="38">
                  <c:v>1.87</c:v>
                </c:pt>
                <c:pt idx="39">
                  <c:v>1.86</c:v>
                </c:pt>
                <c:pt idx="40">
                  <c:v>1.84</c:v>
                </c:pt>
                <c:pt idx="41">
                  <c:v>1.83</c:v>
                </c:pt>
                <c:pt idx="42">
                  <c:v>1.82</c:v>
                </c:pt>
                <c:pt idx="43">
                  <c:v>1.8</c:v>
                </c:pt>
                <c:pt idx="44">
                  <c:v>1.8</c:v>
                </c:pt>
                <c:pt idx="45">
                  <c:v>1.79</c:v>
                </c:pt>
                <c:pt idx="46">
                  <c:v>1.78</c:v>
                </c:pt>
                <c:pt idx="47">
                  <c:v>1.76</c:v>
                </c:pt>
                <c:pt idx="48">
                  <c:v>1.74</c:v>
                </c:pt>
                <c:pt idx="49">
                  <c:v>1.72</c:v>
                </c:pt>
                <c:pt idx="50">
                  <c:v>1.69</c:v>
                </c:pt>
                <c:pt idx="51">
                  <c:v>1.67</c:v>
                </c:pt>
                <c:pt idx="52">
                  <c:v>1.65</c:v>
                </c:pt>
                <c:pt idx="53">
                  <c:v>1.63</c:v>
                </c:pt>
                <c:pt idx="54">
                  <c:v>1.61</c:v>
                </c:pt>
                <c:pt idx="55">
                  <c:v>1.59</c:v>
                </c:pt>
                <c:pt idx="56">
                  <c:v>1.56</c:v>
                </c:pt>
                <c:pt idx="57">
                  <c:v>1.54</c:v>
                </c:pt>
                <c:pt idx="58">
                  <c:v>1.52</c:v>
                </c:pt>
                <c:pt idx="59">
                  <c:v>1.5</c:v>
                </c:pt>
                <c:pt idx="60">
                  <c:v>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9F-46CA-9BF0-F5781696B5BD}"/>
            </c:ext>
          </c:extLst>
        </c:ser>
        <c:ser>
          <c:idx val="0"/>
          <c:order val="2"/>
          <c:tx>
            <c:v>non-ideal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'Exp vs NI vs TB'!$C$4:$C$134</c:f>
              <c:numCache>
                <c:formatCode>General</c:formatCode>
                <c:ptCount val="131"/>
                <c:pt idx="0">
                  <c:v>0.15</c:v>
                </c:pt>
                <c:pt idx="1">
                  <c:v>0.44</c:v>
                </c:pt>
                <c:pt idx="2">
                  <c:v>0.74</c:v>
                </c:pt>
                <c:pt idx="3">
                  <c:v>1.03</c:v>
                </c:pt>
                <c:pt idx="4">
                  <c:v>1.33</c:v>
                </c:pt>
                <c:pt idx="5">
                  <c:v>1.62</c:v>
                </c:pt>
                <c:pt idx="6">
                  <c:v>1.92</c:v>
                </c:pt>
                <c:pt idx="7">
                  <c:v>2.21</c:v>
                </c:pt>
                <c:pt idx="8">
                  <c:v>2.5099999999999998</c:v>
                </c:pt>
                <c:pt idx="9">
                  <c:v>2.8</c:v>
                </c:pt>
                <c:pt idx="10">
                  <c:v>3.1</c:v>
                </c:pt>
                <c:pt idx="11">
                  <c:v>3.39</c:v>
                </c:pt>
                <c:pt idx="12">
                  <c:v>3.69</c:v>
                </c:pt>
                <c:pt idx="13">
                  <c:v>3.98</c:v>
                </c:pt>
                <c:pt idx="14">
                  <c:v>4.28</c:v>
                </c:pt>
                <c:pt idx="15">
                  <c:v>4.57</c:v>
                </c:pt>
                <c:pt idx="16">
                  <c:v>4.87</c:v>
                </c:pt>
                <c:pt idx="17">
                  <c:v>5.16</c:v>
                </c:pt>
                <c:pt idx="18">
                  <c:v>5.46</c:v>
                </c:pt>
                <c:pt idx="19">
                  <c:v>5.75</c:v>
                </c:pt>
                <c:pt idx="20">
                  <c:v>6.05</c:v>
                </c:pt>
                <c:pt idx="21">
                  <c:v>6.34</c:v>
                </c:pt>
                <c:pt idx="22">
                  <c:v>6.64</c:v>
                </c:pt>
                <c:pt idx="23">
                  <c:v>6.93</c:v>
                </c:pt>
                <c:pt idx="24">
                  <c:v>7.23</c:v>
                </c:pt>
                <c:pt idx="25">
                  <c:v>7.52</c:v>
                </c:pt>
                <c:pt idx="26">
                  <c:v>7.82</c:v>
                </c:pt>
                <c:pt idx="27">
                  <c:v>8.11</c:v>
                </c:pt>
                <c:pt idx="28">
                  <c:v>8.41</c:v>
                </c:pt>
                <c:pt idx="29">
                  <c:v>8.6999999999999993</c:v>
                </c:pt>
                <c:pt idx="30">
                  <c:v>9</c:v>
                </c:pt>
                <c:pt idx="31">
                  <c:v>9.2899999999999991</c:v>
                </c:pt>
                <c:pt idx="32">
                  <c:v>9.59</c:v>
                </c:pt>
                <c:pt idx="33">
                  <c:v>9.8800000000000008</c:v>
                </c:pt>
                <c:pt idx="34">
                  <c:v>10.18</c:v>
                </c:pt>
                <c:pt idx="35">
                  <c:v>10.47</c:v>
                </c:pt>
                <c:pt idx="36">
                  <c:v>10.77</c:v>
                </c:pt>
                <c:pt idx="37">
                  <c:v>11.06</c:v>
                </c:pt>
                <c:pt idx="38">
                  <c:v>11.36</c:v>
                </c:pt>
                <c:pt idx="39">
                  <c:v>11.65</c:v>
                </c:pt>
                <c:pt idx="40">
                  <c:v>11.95</c:v>
                </c:pt>
                <c:pt idx="41">
                  <c:v>12.24</c:v>
                </c:pt>
                <c:pt idx="42">
                  <c:v>12.54</c:v>
                </c:pt>
                <c:pt idx="43">
                  <c:v>12.83</c:v>
                </c:pt>
                <c:pt idx="44">
                  <c:v>13.13</c:v>
                </c:pt>
                <c:pt idx="45">
                  <c:v>13.42</c:v>
                </c:pt>
                <c:pt idx="46">
                  <c:v>13.72</c:v>
                </c:pt>
                <c:pt idx="47">
                  <c:v>14.01</c:v>
                </c:pt>
                <c:pt idx="48">
                  <c:v>14.31</c:v>
                </c:pt>
                <c:pt idx="49">
                  <c:v>14.6</c:v>
                </c:pt>
                <c:pt idx="50">
                  <c:v>14.9</c:v>
                </c:pt>
                <c:pt idx="51">
                  <c:v>15.19</c:v>
                </c:pt>
                <c:pt idx="52">
                  <c:v>15.49</c:v>
                </c:pt>
                <c:pt idx="53">
                  <c:v>15.78</c:v>
                </c:pt>
                <c:pt idx="54">
                  <c:v>16.079999999999998</c:v>
                </c:pt>
                <c:pt idx="55">
                  <c:v>16.37</c:v>
                </c:pt>
                <c:pt idx="56">
                  <c:v>16.66</c:v>
                </c:pt>
                <c:pt idx="57">
                  <c:v>16.96</c:v>
                </c:pt>
                <c:pt idx="58">
                  <c:v>17.25</c:v>
                </c:pt>
                <c:pt idx="59">
                  <c:v>17.55</c:v>
                </c:pt>
                <c:pt idx="60">
                  <c:v>17.84</c:v>
                </c:pt>
                <c:pt idx="61">
                  <c:v>18.14</c:v>
                </c:pt>
                <c:pt idx="62">
                  <c:v>18.43</c:v>
                </c:pt>
                <c:pt idx="63">
                  <c:v>18.73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</c:v>
                </c:pt>
                <c:pt idx="69">
                  <c:v>20.5</c:v>
                </c:pt>
                <c:pt idx="70">
                  <c:v>20.79</c:v>
                </c:pt>
                <c:pt idx="71">
                  <c:v>21.09</c:v>
                </c:pt>
                <c:pt idx="72">
                  <c:v>21.38</c:v>
                </c:pt>
                <c:pt idx="73">
                  <c:v>21.68</c:v>
                </c:pt>
                <c:pt idx="74">
                  <c:v>21.97</c:v>
                </c:pt>
                <c:pt idx="75">
                  <c:v>22.27</c:v>
                </c:pt>
                <c:pt idx="76">
                  <c:v>22.56</c:v>
                </c:pt>
                <c:pt idx="77">
                  <c:v>22.86</c:v>
                </c:pt>
                <c:pt idx="78">
                  <c:v>23.15</c:v>
                </c:pt>
                <c:pt idx="79">
                  <c:v>23.45</c:v>
                </c:pt>
                <c:pt idx="80">
                  <c:v>23.74</c:v>
                </c:pt>
                <c:pt idx="81">
                  <c:v>24.04</c:v>
                </c:pt>
                <c:pt idx="82">
                  <c:v>24.33</c:v>
                </c:pt>
                <c:pt idx="83">
                  <c:v>24.63</c:v>
                </c:pt>
                <c:pt idx="84">
                  <c:v>24.92</c:v>
                </c:pt>
                <c:pt idx="85">
                  <c:v>25.22</c:v>
                </c:pt>
                <c:pt idx="86">
                  <c:v>25.51</c:v>
                </c:pt>
                <c:pt idx="87">
                  <c:v>25.8</c:v>
                </c:pt>
                <c:pt idx="88">
                  <c:v>26.1</c:v>
                </c:pt>
                <c:pt idx="89">
                  <c:v>26.39</c:v>
                </c:pt>
                <c:pt idx="90">
                  <c:v>26.69</c:v>
                </c:pt>
                <c:pt idx="91">
                  <c:v>26.98</c:v>
                </c:pt>
                <c:pt idx="92">
                  <c:v>27.28</c:v>
                </c:pt>
                <c:pt idx="93">
                  <c:v>27.57</c:v>
                </c:pt>
                <c:pt idx="94">
                  <c:v>27.87</c:v>
                </c:pt>
                <c:pt idx="95">
                  <c:v>28.16</c:v>
                </c:pt>
                <c:pt idx="96">
                  <c:v>28.46</c:v>
                </c:pt>
                <c:pt idx="97">
                  <c:v>28.75</c:v>
                </c:pt>
                <c:pt idx="98">
                  <c:v>29.05</c:v>
                </c:pt>
                <c:pt idx="99">
                  <c:v>29.34</c:v>
                </c:pt>
                <c:pt idx="100">
                  <c:v>29.64</c:v>
                </c:pt>
                <c:pt idx="101">
                  <c:v>29.93</c:v>
                </c:pt>
                <c:pt idx="102">
                  <c:v>30.23</c:v>
                </c:pt>
                <c:pt idx="103">
                  <c:v>30.52</c:v>
                </c:pt>
                <c:pt idx="104">
                  <c:v>30.81</c:v>
                </c:pt>
                <c:pt idx="105">
                  <c:v>31.11</c:v>
                </c:pt>
                <c:pt idx="106">
                  <c:v>31.39</c:v>
                </c:pt>
                <c:pt idx="107">
                  <c:v>31.66</c:v>
                </c:pt>
                <c:pt idx="108">
                  <c:v>31.93</c:v>
                </c:pt>
                <c:pt idx="109">
                  <c:v>32.18</c:v>
                </c:pt>
                <c:pt idx="110">
                  <c:v>32.369999999999997</c:v>
                </c:pt>
                <c:pt idx="111">
                  <c:v>32.51</c:v>
                </c:pt>
                <c:pt idx="112">
                  <c:v>32.659999999999997</c:v>
                </c:pt>
                <c:pt idx="113">
                  <c:v>32.79</c:v>
                </c:pt>
                <c:pt idx="114">
                  <c:v>32.9</c:v>
                </c:pt>
                <c:pt idx="115">
                  <c:v>32.979999999999997</c:v>
                </c:pt>
                <c:pt idx="116">
                  <c:v>33.15</c:v>
                </c:pt>
                <c:pt idx="117">
                  <c:v>33.44</c:v>
                </c:pt>
                <c:pt idx="118">
                  <c:v>33.729999999999997</c:v>
                </c:pt>
                <c:pt idx="119">
                  <c:v>34.03</c:v>
                </c:pt>
                <c:pt idx="120">
                  <c:v>34.32</c:v>
                </c:pt>
                <c:pt idx="121">
                  <c:v>34.549999999999997</c:v>
                </c:pt>
                <c:pt idx="122">
                  <c:v>34.61</c:v>
                </c:pt>
                <c:pt idx="123">
                  <c:v>34.840000000000003</c:v>
                </c:pt>
                <c:pt idx="124">
                  <c:v>34.909999999999997</c:v>
                </c:pt>
                <c:pt idx="125">
                  <c:v>35.14</c:v>
                </c:pt>
                <c:pt idx="126">
                  <c:v>35.200000000000003</c:v>
                </c:pt>
                <c:pt idx="127">
                  <c:v>35.43</c:v>
                </c:pt>
                <c:pt idx="128">
                  <c:v>35.5</c:v>
                </c:pt>
                <c:pt idx="129">
                  <c:v>35.68</c:v>
                </c:pt>
                <c:pt idx="130">
                  <c:v>35.770000000000003</c:v>
                </c:pt>
              </c:numCache>
            </c:numRef>
          </c:xVal>
          <c:yVal>
            <c:numRef>
              <c:f>'Exp vs NI vs TB'!$D$4:$D$134</c:f>
              <c:numCache>
                <c:formatCode>General</c:formatCode>
                <c:ptCount val="131"/>
                <c:pt idx="0">
                  <c:v>2.64</c:v>
                </c:pt>
                <c:pt idx="1">
                  <c:v>2.63</c:v>
                </c:pt>
                <c:pt idx="2">
                  <c:v>2.62</c:v>
                </c:pt>
                <c:pt idx="3">
                  <c:v>2.61</c:v>
                </c:pt>
                <c:pt idx="4">
                  <c:v>2.6</c:v>
                </c:pt>
                <c:pt idx="5">
                  <c:v>2.59</c:v>
                </c:pt>
                <c:pt idx="6">
                  <c:v>2.57</c:v>
                </c:pt>
                <c:pt idx="7">
                  <c:v>2.56</c:v>
                </c:pt>
                <c:pt idx="8">
                  <c:v>2.5499999999999998</c:v>
                </c:pt>
                <c:pt idx="9">
                  <c:v>2.54</c:v>
                </c:pt>
                <c:pt idx="10">
                  <c:v>2.5299999999999998</c:v>
                </c:pt>
                <c:pt idx="11">
                  <c:v>2.52</c:v>
                </c:pt>
                <c:pt idx="12">
                  <c:v>2.5099999999999998</c:v>
                </c:pt>
                <c:pt idx="13">
                  <c:v>2.4900000000000002</c:v>
                </c:pt>
                <c:pt idx="14">
                  <c:v>2.48</c:v>
                </c:pt>
                <c:pt idx="15">
                  <c:v>2.4700000000000002</c:v>
                </c:pt>
                <c:pt idx="16">
                  <c:v>2.46</c:v>
                </c:pt>
                <c:pt idx="17">
                  <c:v>2.4500000000000002</c:v>
                </c:pt>
                <c:pt idx="18">
                  <c:v>2.44</c:v>
                </c:pt>
                <c:pt idx="19">
                  <c:v>2.42</c:v>
                </c:pt>
                <c:pt idx="20">
                  <c:v>2.41</c:v>
                </c:pt>
                <c:pt idx="21">
                  <c:v>2.4</c:v>
                </c:pt>
                <c:pt idx="22">
                  <c:v>2.39</c:v>
                </c:pt>
                <c:pt idx="23">
                  <c:v>2.37</c:v>
                </c:pt>
                <c:pt idx="24">
                  <c:v>2.36</c:v>
                </c:pt>
                <c:pt idx="25">
                  <c:v>2.35</c:v>
                </c:pt>
                <c:pt idx="26">
                  <c:v>2.34</c:v>
                </c:pt>
                <c:pt idx="27">
                  <c:v>2.33</c:v>
                </c:pt>
                <c:pt idx="28">
                  <c:v>2.31</c:v>
                </c:pt>
                <c:pt idx="29">
                  <c:v>2.2999999999999998</c:v>
                </c:pt>
                <c:pt idx="30">
                  <c:v>2.29</c:v>
                </c:pt>
                <c:pt idx="31">
                  <c:v>2.27</c:v>
                </c:pt>
                <c:pt idx="32">
                  <c:v>2.2599999999999998</c:v>
                </c:pt>
                <c:pt idx="33">
                  <c:v>2.25</c:v>
                </c:pt>
                <c:pt idx="34">
                  <c:v>2.2400000000000002</c:v>
                </c:pt>
                <c:pt idx="35">
                  <c:v>2.2200000000000002</c:v>
                </c:pt>
                <c:pt idx="36">
                  <c:v>2.21</c:v>
                </c:pt>
                <c:pt idx="37">
                  <c:v>2.2000000000000002</c:v>
                </c:pt>
                <c:pt idx="38">
                  <c:v>2.1800000000000002</c:v>
                </c:pt>
                <c:pt idx="39">
                  <c:v>2.17</c:v>
                </c:pt>
                <c:pt idx="40">
                  <c:v>2.16</c:v>
                </c:pt>
                <c:pt idx="41">
                  <c:v>2.14</c:v>
                </c:pt>
                <c:pt idx="42">
                  <c:v>2.13</c:v>
                </c:pt>
                <c:pt idx="43">
                  <c:v>2.11</c:v>
                </c:pt>
                <c:pt idx="44">
                  <c:v>2.1</c:v>
                </c:pt>
                <c:pt idx="45">
                  <c:v>2.09</c:v>
                </c:pt>
                <c:pt idx="46">
                  <c:v>2.0699999999999998</c:v>
                </c:pt>
                <c:pt idx="47">
                  <c:v>2.06</c:v>
                </c:pt>
                <c:pt idx="48">
                  <c:v>2.04</c:v>
                </c:pt>
                <c:pt idx="49">
                  <c:v>2.0299999999999998</c:v>
                </c:pt>
                <c:pt idx="50">
                  <c:v>2.02</c:v>
                </c:pt>
                <c:pt idx="51">
                  <c:v>2</c:v>
                </c:pt>
                <c:pt idx="52">
                  <c:v>1.99</c:v>
                </c:pt>
                <c:pt idx="53">
                  <c:v>1.97</c:v>
                </c:pt>
                <c:pt idx="54">
                  <c:v>1.96</c:v>
                </c:pt>
                <c:pt idx="55">
                  <c:v>1.94</c:v>
                </c:pt>
                <c:pt idx="56">
                  <c:v>1.93</c:v>
                </c:pt>
                <c:pt idx="57">
                  <c:v>1.91</c:v>
                </c:pt>
                <c:pt idx="58">
                  <c:v>1.9</c:v>
                </c:pt>
                <c:pt idx="59">
                  <c:v>1.88</c:v>
                </c:pt>
                <c:pt idx="60">
                  <c:v>1.86</c:v>
                </c:pt>
                <c:pt idx="61">
                  <c:v>1.85</c:v>
                </c:pt>
                <c:pt idx="62">
                  <c:v>1.83</c:v>
                </c:pt>
                <c:pt idx="63">
                  <c:v>1.82</c:v>
                </c:pt>
                <c:pt idx="64">
                  <c:v>1.8</c:v>
                </c:pt>
                <c:pt idx="65">
                  <c:v>1.78</c:v>
                </c:pt>
                <c:pt idx="66">
                  <c:v>1.77</c:v>
                </c:pt>
                <c:pt idx="67">
                  <c:v>1.75</c:v>
                </c:pt>
                <c:pt idx="68">
                  <c:v>1.73</c:v>
                </c:pt>
                <c:pt idx="69">
                  <c:v>1.71</c:v>
                </c:pt>
                <c:pt idx="70">
                  <c:v>1.7</c:v>
                </c:pt>
                <c:pt idx="71">
                  <c:v>1.68</c:v>
                </c:pt>
                <c:pt idx="72">
                  <c:v>1.66</c:v>
                </c:pt>
                <c:pt idx="73">
                  <c:v>1.64</c:v>
                </c:pt>
                <c:pt idx="74">
                  <c:v>1.63</c:v>
                </c:pt>
                <c:pt idx="75">
                  <c:v>1.61</c:v>
                </c:pt>
                <c:pt idx="76">
                  <c:v>1.59</c:v>
                </c:pt>
                <c:pt idx="77">
                  <c:v>1.57</c:v>
                </c:pt>
                <c:pt idx="78">
                  <c:v>1.55</c:v>
                </c:pt>
                <c:pt idx="79">
                  <c:v>1.53</c:v>
                </c:pt>
                <c:pt idx="80">
                  <c:v>1.51</c:v>
                </c:pt>
                <c:pt idx="81">
                  <c:v>1.49</c:v>
                </c:pt>
                <c:pt idx="82">
                  <c:v>1.47</c:v>
                </c:pt>
                <c:pt idx="83">
                  <c:v>1.45</c:v>
                </c:pt>
                <c:pt idx="84">
                  <c:v>1.43</c:v>
                </c:pt>
                <c:pt idx="85">
                  <c:v>1.41</c:v>
                </c:pt>
                <c:pt idx="86">
                  <c:v>1.39</c:v>
                </c:pt>
                <c:pt idx="87">
                  <c:v>1.36</c:v>
                </c:pt>
                <c:pt idx="88">
                  <c:v>1.34</c:v>
                </c:pt>
                <c:pt idx="89">
                  <c:v>1.32</c:v>
                </c:pt>
                <c:pt idx="90">
                  <c:v>1.3</c:v>
                </c:pt>
                <c:pt idx="91">
                  <c:v>1.27</c:v>
                </c:pt>
                <c:pt idx="92">
                  <c:v>1.25</c:v>
                </c:pt>
                <c:pt idx="93">
                  <c:v>1.22</c:v>
                </c:pt>
                <c:pt idx="94">
                  <c:v>1.2</c:v>
                </c:pt>
                <c:pt idx="95">
                  <c:v>1.17</c:v>
                </c:pt>
                <c:pt idx="96">
                  <c:v>1.1399999999999999</c:v>
                </c:pt>
                <c:pt idx="97">
                  <c:v>1.1100000000000001</c:v>
                </c:pt>
                <c:pt idx="98">
                  <c:v>1.08</c:v>
                </c:pt>
                <c:pt idx="99">
                  <c:v>1.05</c:v>
                </c:pt>
                <c:pt idx="100">
                  <c:v>1.02</c:v>
                </c:pt>
                <c:pt idx="101">
                  <c:v>0.99</c:v>
                </c:pt>
                <c:pt idx="102">
                  <c:v>0.96</c:v>
                </c:pt>
                <c:pt idx="103">
                  <c:v>0.92</c:v>
                </c:pt>
                <c:pt idx="104">
                  <c:v>0.88</c:v>
                </c:pt>
                <c:pt idx="105">
                  <c:v>0.84</c:v>
                </c:pt>
                <c:pt idx="106">
                  <c:v>0.81</c:v>
                </c:pt>
                <c:pt idx="107">
                  <c:v>0.77</c:v>
                </c:pt>
                <c:pt idx="108">
                  <c:v>0.73</c:v>
                </c:pt>
                <c:pt idx="109">
                  <c:v>0.69</c:v>
                </c:pt>
                <c:pt idx="110">
                  <c:v>0.65</c:v>
                </c:pt>
                <c:pt idx="111">
                  <c:v>0.6</c:v>
                </c:pt>
                <c:pt idx="112">
                  <c:v>0.56000000000000005</c:v>
                </c:pt>
                <c:pt idx="113">
                  <c:v>0.52</c:v>
                </c:pt>
                <c:pt idx="114">
                  <c:v>0.48</c:v>
                </c:pt>
                <c:pt idx="115">
                  <c:v>0.44</c:v>
                </c:pt>
                <c:pt idx="116">
                  <c:v>0.36</c:v>
                </c:pt>
                <c:pt idx="117">
                  <c:v>0.34</c:v>
                </c:pt>
                <c:pt idx="118">
                  <c:v>0.34</c:v>
                </c:pt>
                <c:pt idx="119">
                  <c:v>0.32</c:v>
                </c:pt>
                <c:pt idx="120">
                  <c:v>0.31</c:v>
                </c:pt>
                <c:pt idx="121">
                  <c:v>0.31</c:v>
                </c:pt>
                <c:pt idx="122">
                  <c:v>0.3</c:v>
                </c:pt>
                <c:pt idx="123">
                  <c:v>0.28999999999999998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0.27</c:v>
                </c:pt>
                <c:pt idx="127">
                  <c:v>0.27</c:v>
                </c:pt>
                <c:pt idx="128">
                  <c:v>0.27</c:v>
                </c:pt>
                <c:pt idx="129">
                  <c:v>0.26</c:v>
                </c:pt>
                <c:pt idx="130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9F-46CA-9BF0-F5781696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798367"/>
        <c:axId val="1529130271"/>
      </c:scatterChart>
      <c:scatterChart>
        <c:scatterStyle val="lineMarker"/>
        <c:varyColors val="0"/>
        <c:ser>
          <c:idx val="1"/>
          <c:order val="0"/>
          <c:tx>
            <c:v>experimental</c:v>
          </c:tx>
          <c:marker>
            <c:symbol val="none"/>
          </c:marker>
          <c:xVal>
            <c:numRef>
              <c:f>'Exp vs NI vs TB'!$E$4:$E$125</c:f>
              <c:numCache>
                <c:formatCode>General</c:formatCode>
                <c:ptCount val="122"/>
                <c:pt idx="0">
                  <c:v>0.06</c:v>
                </c:pt>
                <c:pt idx="1">
                  <c:v>0.36</c:v>
                </c:pt>
                <c:pt idx="2">
                  <c:v>0.66</c:v>
                </c:pt>
                <c:pt idx="3">
                  <c:v>0.95</c:v>
                </c:pt>
                <c:pt idx="4">
                  <c:v>1.25</c:v>
                </c:pt>
                <c:pt idx="5">
                  <c:v>1.55</c:v>
                </c:pt>
                <c:pt idx="6">
                  <c:v>1.84</c:v>
                </c:pt>
                <c:pt idx="7">
                  <c:v>2.14</c:v>
                </c:pt>
                <c:pt idx="8">
                  <c:v>2.4300000000000002</c:v>
                </c:pt>
                <c:pt idx="9">
                  <c:v>2.73</c:v>
                </c:pt>
                <c:pt idx="10">
                  <c:v>3.03</c:v>
                </c:pt>
                <c:pt idx="11">
                  <c:v>3.32</c:v>
                </c:pt>
                <c:pt idx="12">
                  <c:v>3.62</c:v>
                </c:pt>
                <c:pt idx="13">
                  <c:v>3.91</c:v>
                </c:pt>
                <c:pt idx="14">
                  <c:v>4.21</c:v>
                </c:pt>
                <c:pt idx="15">
                  <c:v>4.51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5.69</c:v>
                </c:pt>
                <c:pt idx="20">
                  <c:v>5.99</c:v>
                </c:pt>
                <c:pt idx="21">
                  <c:v>6.28</c:v>
                </c:pt>
                <c:pt idx="22">
                  <c:v>6.58</c:v>
                </c:pt>
                <c:pt idx="23">
                  <c:v>6.88</c:v>
                </c:pt>
                <c:pt idx="24">
                  <c:v>7.17</c:v>
                </c:pt>
                <c:pt idx="25">
                  <c:v>7.47</c:v>
                </c:pt>
                <c:pt idx="26">
                  <c:v>7.76</c:v>
                </c:pt>
                <c:pt idx="27">
                  <c:v>8.06</c:v>
                </c:pt>
                <c:pt idx="28">
                  <c:v>8.36</c:v>
                </c:pt>
                <c:pt idx="29">
                  <c:v>8.65</c:v>
                </c:pt>
                <c:pt idx="30">
                  <c:v>8.9499999999999993</c:v>
                </c:pt>
                <c:pt idx="31">
                  <c:v>9.25</c:v>
                </c:pt>
                <c:pt idx="32">
                  <c:v>9.5399999999999991</c:v>
                </c:pt>
                <c:pt idx="33">
                  <c:v>9.84</c:v>
                </c:pt>
                <c:pt idx="34">
                  <c:v>10.130000000000001</c:v>
                </c:pt>
                <c:pt idx="35">
                  <c:v>10.43</c:v>
                </c:pt>
                <c:pt idx="36">
                  <c:v>10.73</c:v>
                </c:pt>
                <c:pt idx="37">
                  <c:v>11.02</c:v>
                </c:pt>
                <c:pt idx="38">
                  <c:v>11.32</c:v>
                </c:pt>
                <c:pt idx="39">
                  <c:v>11.62</c:v>
                </c:pt>
                <c:pt idx="40">
                  <c:v>11.91</c:v>
                </c:pt>
                <c:pt idx="41">
                  <c:v>12.21</c:v>
                </c:pt>
                <c:pt idx="42">
                  <c:v>12.5</c:v>
                </c:pt>
                <c:pt idx="43">
                  <c:v>12.8</c:v>
                </c:pt>
                <c:pt idx="44">
                  <c:v>13.1</c:v>
                </c:pt>
                <c:pt idx="45">
                  <c:v>13.39</c:v>
                </c:pt>
                <c:pt idx="46">
                  <c:v>13.69</c:v>
                </c:pt>
                <c:pt idx="47">
                  <c:v>13.99</c:v>
                </c:pt>
                <c:pt idx="48">
                  <c:v>14.28</c:v>
                </c:pt>
                <c:pt idx="49">
                  <c:v>14.58</c:v>
                </c:pt>
                <c:pt idx="50">
                  <c:v>14.87</c:v>
                </c:pt>
                <c:pt idx="51">
                  <c:v>15.17</c:v>
                </c:pt>
                <c:pt idx="52">
                  <c:v>15.47</c:v>
                </c:pt>
                <c:pt idx="53">
                  <c:v>15.76</c:v>
                </c:pt>
                <c:pt idx="54">
                  <c:v>16.059999999999999</c:v>
                </c:pt>
                <c:pt idx="55">
                  <c:v>16.350000000000001</c:v>
                </c:pt>
                <c:pt idx="56">
                  <c:v>16.649999999999999</c:v>
                </c:pt>
                <c:pt idx="57">
                  <c:v>16.95</c:v>
                </c:pt>
                <c:pt idx="58">
                  <c:v>17.239999999999998</c:v>
                </c:pt>
                <c:pt idx="59">
                  <c:v>17.54</c:v>
                </c:pt>
                <c:pt idx="60">
                  <c:v>17.84</c:v>
                </c:pt>
                <c:pt idx="61">
                  <c:v>18.13</c:v>
                </c:pt>
                <c:pt idx="62">
                  <c:v>18.43</c:v>
                </c:pt>
                <c:pt idx="63">
                  <c:v>18.72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20.21</c:v>
                </c:pt>
                <c:pt idx="69">
                  <c:v>20.5</c:v>
                </c:pt>
                <c:pt idx="70">
                  <c:v>20.8</c:v>
                </c:pt>
                <c:pt idx="71">
                  <c:v>21.09</c:v>
                </c:pt>
                <c:pt idx="72">
                  <c:v>21.39</c:v>
                </c:pt>
                <c:pt idx="73">
                  <c:v>21.69</c:v>
                </c:pt>
                <c:pt idx="74">
                  <c:v>21.98</c:v>
                </c:pt>
                <c:pt idx="75">
                  <c:v>22.28</c:v>
                </c:pt>
                <c:pt idx="76">
                  <c:v>22.58</c:v>
                </c:pt>
                <c:pt idx="77">
                  <c:v>22.87</c:v>
                </c:pt>
                <c:pt idx="78">
                  <c:v>23.17</c:v>
                </c:pt>
                <c:pt idx="79">
                  <c:v>23.46</c:v>
                </c:pt>
                <c:pt idx="80">
                  <c:v>23.76</c:v>
                </c:pt>
                <c:pt idx="81">
                  <c:v>24.06</c:v>
                </c:pt>
                <c:pt idx="82">
                  <c:v>24.35</c:v>
                </c:pt>
                <c:pt idx="83">
                  <c:v>24.65</c:v>
                </c:pt>
                <c:pt idx="84">
                  <c:v>24.95</c:v>
                </c:pt>
                <c:pt idx="85">
                  <c:v>25.24</c:v>
                </c:pt>
                <c:pt idx="86">
                  <c:v>25.54</c:v>
                </c:pt>
                <c:pt idx="87">
                  <c:v>25.84</c:v>
                </c:pt>
                <c:pt idx="88">
                  <c:v>26.13</c:v>
                </c:pt>
                <c:pt idx="89">
                  <c:v>26.43</c:v>
                </c:pt>
                <c:pt idx="90">
                  <c:v>26.72</c:v>
                </c:pt>
                <c:pt idx="91">
                  <c:v>27.02</c:v>
                </c:pt>
                <c:pt idx="92">
                  <c:v>27.32</c:v>
                </c:pt>
                <c:pt idx="93">
                  <c:v>27.61</c:v>
                </c:pt>
                <c:pt idx="94">
                  <c:v>27.91</c:v>
                </c:pt>
                <c:pt idx="95">
                  <c:v>28.21</c:v>
                </c:pt>
                <c:pt idx="96">
                  <c:v>28.5</c:v>
                </c:pt>
                <c:pt idx="97">
                  <c:v>28.8</c:v>
                </c:pt>
                <c:pt idx="98">
                  <c:v>29.09</c:v>
                </c:pt>
                <c:pt idx="99">
                  <c:v>29.39</c:v>
                </c:pt>
                <c:pt idx="100">
                  <c:v>29.69</c:v>
                </c:pt>
                <c:pt idx="101">
                  <c:v>29.98</c:v>
                </c:pt>
                <c:pt idx="102">
                  <c:v>30.28</c:v>
                </c:pt>
                <c:pt idx="103">
                  <c:v>30.58</c:v>
                </c:pt>
                <c:pt idx="104">
                  <c:v>30.87</c:v>
                </c:pt>
                <c:pt idx="105">
                  <c:v>31.17</c:v>
                </c:pt>
                <c:pt idx="106">
                  <c:v>31.47</c:v>
                </c:pt>
                <c:pt idx="107">
                  <c:v>31.76</c:v>
                </c:pt>
                <c:pt idx="108">
                  <c:v>32.06</c:v>
                </c:pt>
                <c:pt idx="109">
                  <c:v>32.35</c:v>
                </c:pt>
                <c:pt idx="110">
                  <c:v>32.65</c:v>
                </c:pt>
                <c:pt idx="111">
                  <c:v>32.950000000000003</c:v>
                </c:pt>
                <c:pt idx="112">
                  <c:v>33.24</c:v>
                </c:pt>
                <c:pt idx="113">
                  <c:v>33.54</c:v>
                </c:pt>
                <c:pt idx="114">
                  <c:v>33.840000000000003</c:v>
                </c:pt>
                <c:pt idx="115">
                  <c:v>34.130000000000003</c:v>
                </c:pt>
                <c:pt idx="116">
                  <c:v>34.43</c:v>
                </c:pt>
                <c:pt idx="117">
                  <c:v>34.729999999999997</c:v>
                </c:pt>
                <c:pt idx="118">
                  <c:v>35.020000000000003</c:v>
                </c:pt>
                <c:pt idx="119">
                  <c:v>35.32</c:v>
                </c:pt>
                <c:pt idx="120">
                  <c:v>35.619999999999997</c:v>
                </c:pt>
                <c:pt idx="121">
                  <c:v>35.78</c:v>
                </c:pt>
              </c:numCache>
            </c:numRef>
          </c:xVal>
          <c:yVal>
            <c:numRef>
              <c:f>'Exp vs NI vs TB'!$F$4:$F$125</c:f>
              <c:numCache>
                <c:formatCode>General</c:formatCode>
                <c:ptCount val="122"/>
                <c:pt idx="0">
                  <c:v>2.65</c:v>
                </c:pt>
                <c:pt idx="1">
                  <c:v>2.65</c:v>
                </c:pt>
                <c:pt idx="2">
                  <c:v>2.64</c:v>
                </c:pt>
                <c:pt idx="3">
                  <c:v>2.63</c:v>
                </c:pt>
                <c:pt idx="4">
                  <c:v>2.63</c:v>
                </c:pt>
                <c:pt idx="5">
                  <c:v>2.62</c:v>
                </c:pt>
                <c:pt idx="6">
                  <c:v>2.61</c:v>
                </c:pt>
                <c:pt idx="7">
                  <c:v>2.61</c:v>
                </c:pt>
                <c:pt idx="8">
                  <c:v>2.6</c:v>
                </c:pt>
                <c:pt idx="9">
                  <c:v>2.59</c:v>
                </c:pt>
                <c:pt idx="10">
                  <c:v>2.58</c:v>
                </c:pt>
                <c:pt idx="11">
                  <c:v>2.58</c:v>
                </c:pt>
                <c:pt idx="12">
                  <c:v>2.57</c:v>
                </c:pt>
                <c:pt idx="13">
                  <c:v>2.56</c:v>
                </c:pt>
                <c:pt idx="14">
                  <c:v>2.56</c:v>
                </c:pt>
                <c:pt idx="15">
                  <c:v>2.5499999999999998</c:v>
                </c:pt>
                <c:pt idx="16">
                  <c:v>2.54</c:v>
                </c:pt>
                <c:pt idx="17">
                  <c:v>2.54</c:v>
                </c:pt>
                <c:pt idx="18">
                  <c:v>2.5299999999999998</c:v>
                </c:pt>
                <c:pt idx="19">
                  <c:v>2.52</c:v>
                </c:pt>
                <c:pt idx="20">
                  <c:v>2.5099999999999998</c:v>
                </c:pt>
                <c:pt idx="21">
                  <c:v>2.5099999999999998</c:v>
                </c:pt>
                <c:pt idx="22">
                  <c:v>2.5</c:v>
                </c:pt>
                <c:pt idx="23">
                  <c:v>2.4900000000000002</c:v>
                </c:pt>
                <c:pt idx="24">
                  <c:v>2.48</c:v>
                </c:pt>
                <c:pt idx="25">
                  <c:v>2.48</c:v>
                </c:pt>
                <c:pt idx="26">
                  <c:v>2.4700000000000002</c:v>
                </c:pt>
                <c:pt idx="27">
                  <c:v>2.46</c:v>
                </c:pt>
                <c:pt idx="28">
                  <c:v>2.4500000000000002</c:v>
                </c:pt>
                <c:pt idx="29">
                  <c:v>2.4500000000000002</c:v>
                </c:pt>
                <c:pt idx="30">
                  <c:v>2.44</c:v>
                </c:pt>
                <c:pt idx="31">
                  <c:v>2.4300000000000002</c:v>
                </c:pt>
                <c:pt idx="32">
                  <c:v>2.42</c:v>
                </c:pt>
                <c:pt idx="33">
                  <c:v>2.42</c:v>
                </c:pt>
                <c:pt idx="34">
                  <c:v>2.41</c:v>
                </c:pt>
                <c:pt idx="35">
                  <c:v>2.4</c:v>
                </c:pt>
                <c:pt idx="36">
                  <c:v>2.39</c:v>
                </c:pt>
                <c:pt idx="37">
                  <c:v>2.39</c:v>
                </c:pt>
                <c:pt idx="38">
                  <c:v>2.38</c:v>
                </c:pt>
                <c:pt idx="39">
                  <c:v>2.37</c:v>
                </c:pt>
                <c:pt idx="40">
                  <c:v>2.36</c:v>
                </c:pt>
                <c:pt idx="41">
                  <c:v>2.35</c:v>
                </c:pt>
                <c:pt idx="42">
                  <c:v>2.35</c:v>
                </c:pt>
                <c:pt idx="43">
                  <c:v>2.34</c:v>
                </c:pt>
                <c:pt idx="44">
                  <c:v>2.33</c:v>
                </c:pt>
                <c:pt idx="45">
                  <c:v>2.3199999999999998</c:v>
                </c:pt>
                <c:pt idx="46">
                  <c:v>2.31</c:v>
                </c:pt>
                <c:pt idx="47">
                  <c:v>2.31</c:v>
                </c:pt>
                <c:pt idx="48">
                  <c:v>2.2999999999999998</c:v>
                </c:pt>
                <c:pt idx="49">
                  <c:v>2.29</c:v>
                </c:pt>
                <c:pt idx="50">
                  <c:v>2.2799999999999998</c:v>
                </c:pt>
                <c:pt idx="51">
                  <c:v>2.27</c:v>
                </c:pt>
                <c:pt idx="52">
                  <c:v>2.2599999999999998</c:v>
                </c:pt>
                <c:pt idx="53">
                  <c:v>2.2599999999999998</c:v>
                </c:pt>
                <c:pt idx="54">
                  <c:v>2.25</c:v>
                </c:pt>
                <c:pt idx="55">
                  <c:v>2.2400000000000002</c:v>
                </c:pt>
                <c:pt idx="56">
                  <c:v>2.23</c:v>
                </c:pt>
                <c:pt idx="57">
                  <c:v>2.2200000000000002</c:v>
                </c:pt>
                <c:pt idx="58">
                  <c:v>2.21</c:v>
                </c:pt>
                <c:pt idx="59">
                  <c:v>2.2000000000000002</c:v>
                </c:pt>
                <c:pt idx="60">
                  <c:v>2.19</c:v>
                </c:pt>
                <c:pt idx="61">
                  <c:v>2.19</c:v>
                </c:pt>
                <c:pt idx="62">
                  <c:v>2.1800000000000002</c:v>
                </c:pt>
                <c:pt idx="63">
                  <c:v>2.17</c:v>
                </c:pt>
                <c:pt idx="64">
                  <c:v>2.16</c:v>
                </c:pt>
                <c:pt idx="65">
                  <c:v>2.15</c:v>
                </c:pt>
                <c:pt idx="66">
                  <c:v>2.14</c:v>
                </c:pt>
                <c:pt idx="67">
                  <c:v>2.13</c:v>
                </c:pt>
                <c:pt idx="68">
                  <c:v>2.12</c:v>
                </c:pt>
                <c:pt idx="69">
                  <c:v>2.11</c:v>
                </c:pt>
                <c:pt idx="70">
                  <c:v>2.1</c:v>
                </c:pt>
                <c:pt idx="71">
                  <c:v>2.09</c:v>
                </c:pt>
                <c:pt idx="72">
                  <c:v>2.09</c:v>
                </c:pt>
                <c:pt idx="73">
                  <c:v>2.08</c:v>
                </c:pt>
                <c:pt idx="74">
                  <c:v>2.0699999999999998</c:v>
                </c:pt>
                <c:pt idx="75">
                  <c:v>2.06</c:v>
                </c:pt>
                <c:pt idx="76">
                  <c:v>2.0499999999999998</c:v>
                </c:pt>
                <c:pt idx="77">
                  <c:v>2.04</c:v>
                </c:pt>
                <c:pt idx="78">
                  <c:v>2.0299999999999998</c:v>
                </c:pt>
                <c:pt idx="79">
                  <c:v>2.02</c:v>
                </c:pt>
                <c:pt idx="80">
                  <c:v>2.0099999999999998</c:v>
                </c:pt>
                <c:pt idx="81">
                  <c:v>2</c:v>
                </c:pt>
                <c:pt idx="82">
                  <c:v>1.99</c:v>
                </c:pt>
                <c:pt idx="83">
                  <c:v>1.98</c:v>
                </c:pt>
                <c:pt idx="84">
                  <c:v>1.97</c:v>
                </c:pt>
                <c:pt idx="85">
                  <c:v>1.96</c:v>
                </c:pt>
                <c:pt idx="86">
                  <c:v>1.95</c:v>
                </c:pt>
                <c:pt idx="87">
                  <c:v>1.94</c:v>
                </c:pt>
                <c:pt idx="88">
                  <c:v>1.93</c:v>
                </c:pt>
                <c:pt idx="89">
                  <c:v>1.91</c:v>
                </c:pt>
                <c:pt idx="90">
                  <c:v>1.9</c:v>
                </c:pt>
                <c:pt idx="91">
                  <c:v>1.89</c:v>
                </c:pt>
                <c:pt idx="92">
                  <c:v>1.88</c:v>
                </c:pt>
                <c:pt idx="93">
                  <c:v>1.87</c:v>
                </c:pt>
                <c:pt idx="94">
                  <c:v>1.86</c:v>
                </c:pt>
                <c:pt idx="95">
                  <c:v>1.85</c:v>
                </c:pt>
                <c:pt idx="96">
                  <c:v>1.84</c:v>
                </c:pt>
                <c:pt idx="97">
                  <c:v>1.83</c:v>
                </c:pt>
                <c:pt idx="98">
                  <c:v>1.82</c:v>
                </c:pt>
                <c:pt idx="99">
                  <c:v>1.8</c:v>
                </c:pt>
                <c:pt idx="100">
                  <c:v>1.79</c:v>
                </c:pt>
                <c:pt idx="101">
                  <c:v>1.78</c:v>
                </c:pt>
                <c:pt idx="102">
                  <c:v>1.77</c:v>
                </c:pt>
                <c:pt idx="103">
                  <c:v>1.76</c:v>
                </c:pt>
                <c:pt idx="104">
                  <c:v>1.74</c:v>
                </c:pt>
                <c:pt idx="105">
                  <c:v>1.73</c:v>
                </c:pt>
                <c:pt idx="106">
                  <c:v>1.72</c:v>
                </c:pt>
                <c:pt idx="107">
                  <c:v>1.71</c:v>
                </c:pt>
                <c:pt idx="108">
                  <c:v>1.7</c:v>
                </c:pt>
                <c:pt idx="109">
                  <c:v>1.68</c:v>
                </c:pt>
                <c:pt idx="110">
                  <c:v>1.67</c:v>
                </c:pt>
                <c:pt idx="111">
                  <c:v>1.66</c:v>
                </c:pt>
                <c:pt idx="112">
                  <c:v>1.64</c:v>
                </c:pt>
                <c:pt idx="113">
                  <c:v>1.63</c:v>
                </c:pt>
                <c:pt idx="114">
                  <c:v>1.62</c:v>
                </c:pt>
                <c:pt idx="115">
                  <c:v>1.6</c:v>
                </c:pt>
                <c:pt idx="116">
                  <c:v>1.59</c:v>
                </c:pt>
                <c:pt idx="117">
                  <c:v>1.58</c:v>
                </c:pt>
                <c:pt idx="118">
                  <c:v>1.56</c:v>
                </c:pt>
                <c:pt idx="119">
                  <c:v>1.55</c:v>
                </c:pt>
                <c:pt idx="120">
                  <c:v>1.53</c:v>
                </c:pt>
                <c:pt idx="121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9F-46CA-9BF0-F5781696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94975"/>
        <c:axId val="1358254767"/>
      </c:scatterChart>
      <c:valAx>
        <c:axId val="1269798367"/>
        <c:scaling>
          <c:orientation val="minMax"/>
          <c:max val="3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30271"/>
        <c:crosses val="autoZero"/>
        <c:crossBetween val="midCat"/>
        <c:majorUnit val="3"/>
      </c:valAx>
      <c:valAx>
        <c:axId val="152913027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Voltage</a:t>
                </a:r>
                <a:r>
                  <a:rPr lang="en-IN" baseline="0"/>
                  <a:t> (V)</a:t>
                </a: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798367"/>
        <c:crosses val="autoZero"/>
        <c:crossBetween val="midCat"/>
      </c:valAx>
      <c:valAx>
        <c:axId val="13582547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1086194975"/>
        <c:crosses val="max"/>
        <c:crossBetween val="midCat"/>
      </c:valAx>
      <c:valAx>
        <c:axId val="1086194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82547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 vs NI vs TB'!$C$4:$C$134</c:f>
              <c:numCache>
                <c:formatCode>General</c:formatCode>
                <c:ptCount val="131"/>
                <c:pt idx="0">
                  <c:v>0.15</c:v>
                </c:pt>
                <c:pt idx="1">
                  <c:v>0.44</c:v>
                </c:pt>
                <c:pt idx="2">
                  <c:v>0.74</c:v>
                </c:pt>
                <c:pt idx="3">
                  <c:v>1.03</c:v>
                </c:pt>
                <c:pt idx="4">
                  <c:v>1.33</c:v>
                </c:pt>
                <c:pt idx="5">
                  <c:v>1.62</c:v>
                </c:pt>
                <c:pt idx="6">
                  <c:v>1.92</c:v>
                </c:pt>
                <c:pt idx="7">
                  <c:v>2.21</c:v>
                </c:pt>
                <c:pt idx="8">
                  <c:v>2.5099999999999998</c:v>
                </c:pt>
                <c:pt idx="9">
                  <c:v>2.8</c:v>
                </c:pt>
                <c:pt idx="10">
                  <c:v>3.1</c:v>
                </c:pt>
                <c:pt idx="11">
                  <c:v>3.39</c:v>
                </c:pt>
                <c:pt idx="12">
                  <c:v>3.69</c:v>
                </c:pt>
                <c:pt idx="13">
                  <c:v>3.98</c:v>
                </c:pt>
                <c:pt idx="14">
                  <c:v>4.28</c:v>
                </c:pt>
                <c:pt idx="15">
                  <c:v>4.57</c:v>
                </c:pt>
                <c:pt idx="16">
                  <c:v>4.87</c:v>
                </c:pt>
                <c:pt idx="17">
                  <c:v>5.16</c:v>
                </c:pt>
                <c:pt idx="18">
                  <c:v>5.46</c:v>
                </c:pt>
                <c:pt idx="19">
                  <c:v>5.75</c:v>
                </c:pt>
                <c:pt idx="20">
                  <c:v>6.05</c:v>
                </c:pt>
                <c:pt idx="21">
                  <c:v>6.34</c:v>
                </c:pt>
                <c:pt idx="22">
                  <c:v>6.64</c:v>
                </c:pt>
                <c:pt idx="23">
                  <c:v>6.93</c:v>
                </c:pt>
                <c:pt idx="24">
                  <c:v>7.23</c:v>
                </c:pt>
                <c:pt idx="25">
                  <c:v>7.52</c:v>
                </c:pt>
                <c:pt idx="26">
                  <c:v>7.82</c:v>
                </c:pt>
                <c:pt idx="27">
                  <c:v>8.11</c:v>
                </c:pt>
                <c:pt idx="28">
                  <c:v>8.41</c:v>
                </c:pt>
                <c:pt idx="29">
                  <c:v>8.6999999999999993</c:v>
                </c:pt>
                <c:pt idx="30">
                  <c:v>9</c:v>
                </c:pt>
                <c:pt idx="31">
                  <c:v>9.2899999999999991</c:v>
                </c:pt>
                <c:pt idx="32">
                  <c:v>9.59</c:v>
                </c:pt>
                <c:pt idx="33">
                  <c:v>9.8800000000000008</c:v>
                </c:pt>
                <c:pt idx="34">
                  <c:v>10.18</c:v>
                </c:pt>
                <c:pt idx="35">
                  <c:v>10.47</c:v>
                </c:pt>
                <c:pt idx="36">
                  <c:v>10.77</c:v>
                </c:pt>
                <c:pt idx="37">
                  <c:v>11.06</c:v>
                </c:pt>
                <c:pt idx="38">
                  <c:v>11.36</c:v>
                </c:pt>
                <c:pt idx="39">
                  <c:v>11.65</c:v>
                </c:pt>
                <c:pt idx="40">
                  <c:v>11.95</c:v>
                </c:pt>
                <c:pt idx="41">
                  <c:v>12.24</c:v>
                </c:pt>
                <c:pt idx="42">
                  <c:v>12.54</c:v>
                </c:pt>
                <c:pt idx="43">
                  <c:v>12.83</c:v>
                </c:pt>
                <c:pt idx="44">
                  <c:v>13.13</c:v>
                </c:pt>
                <c:pt idx="45">
                  <c:v>13.42</c:v>
                </c:pt>
                <c:pt idx="46">
                  <c:v>13.72</c:v>
                </c:pt>
                <c:pt idx="47">
                  <c:v>14.01</c:v>
                </c:pt>
                <c:pt idx="48">
                  <c:v>14.31</c:v>
                </c:pt>
                <c:pt idx="49">
                  <c:v>14.6</c:v>
                </c:pt>
                <c:pt idx="50">
                  <c:v>14.9</c:v>
                </c:pt>
                <c:pt idx="51">
                  <c:v>15.19</c:v>
                </c:pt>
                <c:pt idx="52">
                  <c:v>15.49</c:v>
                </c:pt>
                <c:pt idx="53">
                  <c:v>15.78</c:v>
                </c:pt>
                <c:pt idx="54">
                  <c:v>16.079999999999998</c:v>
                </c:pt>
                <c:pt idx="55">
                  <c:v>16.37</c:v>
                </c:pt>
                <c:pt idx="56">
                  <c:v>16.66</c:v>
                </c:pt>
                <c:pt idx="57">
                  <c:v>16.96</c:v>
                </c:pt>
                <c:pt idx="58">
                  <c:v>17.25</c:v>
                </c:pt>
                <c:pt idx="59">
                  <c:v>17.55</c:v>
                </c:pt>
                <c:pt idx="60">
                  <c:v>17.84</c:v>
                </c:pt>
                <c:pt idx="61">
                  <c:v>18.14</c:v>
                </c:pt>
                <c:pt idx="62">
                  <c:v>18.43</c:v>
                </c:pt>
                <c:pt idx="63">
                  <c:v>18.73</c:v>
                </c:pt>
                <c:pt idx="64">
                  <c:v>19.02</c:v>
                </c:pt>
                <c:pt idx="65">
                  <c:v>19.32</c:v>
                </c:pt>
                <c:pt idx="66">
                  <c:v>19.61</c:v>
                </c:pt>
                <c:pt idx="67">
                  <c:v>19.91</c:v>
                </c:pt>
                <c:pt idx="68">
                  <c:v>20.2</c:v>
                </c:pt>
                <c:pt idx="69">
                  <c:v>20.5</c:v>
                </c:pt>
                <c:pt idx="70">
                  <c:v>20.79</c:v>
                </c:pt>
                <c:pt idx="71">
                  <c:v>21.09</c:v>
                </c:pt>
                <c:pt idx="72">
                  <c:v>21.38</c:v>
                </c:pt>
                <c:pt idx="73">
                  <c:v>21.68</c:v>
                </c:pt>
                <c:pt idx="74">
                  <c:v>21.97</c:v>
                </c:pt>
                <c:pt idx="75">
                  <c:v>22.27</c:v>
                </c:pt>
                <c:pt idx="76">
                  <c:v>22.56</c:v>
                </c:pt>
                <c:pt idx="77">
                  <c:v>22.86</c:v>
                </c:pt>
                <c:pt idx="78">
                  <c:v>23.15</c:v>
                </c:pt>
                <c:pt idx="79">
                  <c:v>23.45</c:v>
                </c:pt>
                <c:pt idx="80">
                  <c:v>23.74</c:v>
                </c:pt>
                <c:pt idx="81">
                  <c:v>24.04</c:v>
                </c:pt>
                <c:pt idx="82">
                  <c:v>24.33</c:v>
                </c:pt>
                <c:pt idx="83">
                  <c:v>24.63</c:v>
                </c:pt>
                <c:pt idx="84">
                  <c:v>24.92</c:v>
                </c:pt>
                <c:pt idx="85">
                  <c:v>25.22</c:v>
                </c:pt>
                <c:pt idx="86">
                  <c:v>25.51</c:v>
                </c:pt>
                <c:pt idx="87">
                  <c:v>25.8</c:v>
                </c:pt>
                <c:pt idx="88">
                  <c:v>26.1</c:v>
                </c:pt>
                <c:pt idx="89">
                  <c:v>26.39</c:v>
                </c:pt>
                <c:pt idx="90">
                  <c:v>26.69</c:v>
                </c:pt>
                <c:pt idx="91">
                  <c:v>26.98</c:v>
                </c:pt>
                <c:pt idx="92">
                  <c:v>27.28</c:v>
                </c:pt>
                <c:pt idx="93">
                  <c:v>27.57</c:v>
                </c:pt>
                <c:pt idx="94">
                  <c:v>27.87</c:v>
                </c:pt>
                <c:pt idx="95">
                  <c:v>28.16</c:v>
                </c:pt>
                <c:pt idx="96">
                  <c:v>28.46</c:v>
                </c:pt>
                <c:pt idx="97">
                  <c:v>28.75</c:v>
                </c:pt>
                <c:pt idx="98">
                  <c:v>29.05</c:v>
                </c:pt>
                <c:pt idx="99">
                  <c:v>29.34</c:v>
                </c:pt>
                <c:pt idx="100">
                  <c:v>29.64</c:v>
                </c:pt>
                <c:pt idx="101">
                  <c:v>29.93</c:v>
                </c:pt>
                <c:pt idx="102">
                  <c:v>30.23</c:v>
                </c:pt>
                <c:pt idx="103">
                  <c:v>30.52</c:v>
                </c:pt>
                <c:pt idx="104">
                  <c:v>30.81</c:v>
                </c:pt>
                <c:pt idx="105">
                  <c:v>31.11</c:v>
                </c:pt>
                <c:pt idx="106">
                  <c:v>31.39</c:v>
                </c:pt>
                <c:pt idx="107">
                  <c:v>31.66</c:v>
                </c:pt>
                <c:pt idx="108">
                  <c:v>31.93</c:v>
                </c:pt>
                <c:pt idx="109">
                  <c:v>32.18</c:v>
                </c:pt>
                <c:pt idx="110">
                  <c:v>32.369999999999997</c:v>
                </c:pt>
                <c:pt idx="111">
                  <c:v>32.51</c:v>
                </c:pt>
                <c:pt idx="112">
                  <c:v>32.659999999999997</c:v>
                </c:pt>
                <c:pt idx="113">
                  <c:v>32.79</c:v>
                </c:pt>
                <c:pt idx="114">
                  <c:v>32.9</c:v>
                </c:pt>
                <c:pt idx="115">
                  <c:v>32.979999999999997</c:v>
                </c:pt>
                <c:pt idx="116">
                  <c:v>33.15</c:v>
                </c:pt>
                <c:pt idx="117">
                  <c:v>33.44</c:v>
                </c:pt>
                <c:pt idx="118">
                  <c:v>33.729999999999997</c:v>
                </c:pt>
                <c:pt idx="119">
                  <c:v>34.03</c:v>
                </c:pt>
                <c:pt idx="120">
                  <c:v>34.32</c:v>
                </c:pt>
                <c:pt idx="121">
                  <c:v>34.549999999999997</c:v>
                </c:pt>
                <c:pt idx="122">
                  <c:v>34.61</c:v>
                </c:pt>
                <c:pt idx="123">
                  <c:v>34.840000000000003</c:v>
                </c:pt>
                <c:pt idx="124">
                  <c:v>34.909999999999997</c:v>
                </c:pt>
                <c:pt idx="125">
                  <c:v>35.14</c:v>
                </c:pt>
                <c:pt idx="126">
                  <c:v>35.200000000000003</c:v>
                </c:pt>
                <c:pt idx="127">
                  <c:v>35.43</c:v>
                </c:pt>
                <c:pt idx="128">
                  <c:v>35.5</c:v>
                </c:pt>
                <c:pt idx="129">
                  <c:v>35.68</c:v>
                </c:pt>
                <c:pt idx="130">
                  <c:v>35.770000000000003</c:v>
                </c:pt>
              </c:numCache>
            </c:numRef>
          </c:xVal>
          <c:yVal>
            <c:numRef>
              <c:f>'Exp vs NI vs TB'!$D$4:$D$134</c:f>
              <c:numCache>
                <c:formatCode>General</c:formatCode>
                <c:ptCount val="131"/>
                <c:pt idx="0">
                  <c:v>2.64</c:v>
                </c:pt>
                <c:pt idx="1">
                  <c:v>2.63</c:v>
                </c:pt>
                <c:pt idx="2">
                  <c:v>2.62</c:v>
                </c:pt>
                <c:pt idx="3">
                  <c:v>2.61</c:v>
                </c:pt>
                <c:pt idx="4">
                  <c:v>2.6</c:v>
                </c:pt>
                <c:pt idx="5">
                  <c:v>2.59</c:v>
                </c:pt>
                <c:pt idx="6">
                  <c:v>2.57</c:v>
                </c:pt>
                <c:pt idx="7">
                  <c:v>2.56</c:v>
                </c:pt>
                <c:pt idx="8">
                  <c:v>2.5499999999999998</c:v>
                </c:pt>
                <c:pt idx="9">
                  <c:v>2.54</c:v>
                </c:pt>
                <c:pt idx="10">
                  <c:v>2.5299999999999998</c:v>
                </c:pt>
                <c:pt idx="11">
                  <c:v>2.52</c:v>
                </c:pt>
                <c:pt idx="12">
                  <c:v>2.5099999999999998</c:v>
                </c:pt>
                <c:pt idx="13">
                  <c:v>2.4900000000000002</c:v>
                </c:pt>
                <c:pt idx="14">
                  <c:v>2.48</c:v>
                </c:pt>
                <c:pt idx="15">
                  <c:v>2.4700000000000002</c:v>
                </c:pt>
                <c:pt idx="16">
                  <c:v>2.46</c:v>
                </c:pt>
                <c:pt idx="17">
                  <c:v>2.4500000000000002</c:v>
                </c:pt>
                <c:pt idx="18">
                  <c:v>2.44</c:v>
                </c:pt>
                <c:pt idx="19">
                  <c:v>2.42</c:v>
                </c:pt>
                <c:pt idx="20">
                  <c:v>2.41</c:v>
                </c:pt>
                <c:pt idx="21">
                  <c:v>2.4</c:v>
                </c:pt>
                <c:pt idx="22">
                  <c:v>2.39</c:v>
                </c:pt>
                <c:pt idx="23">
                  <c:v>2.37</c:v>
                </c:pt>
                <c:pt idx="24">
                  <c:v>2.36</c:v>
                </c:pt>
                <c:pt idx="25">
                  <c:v>2.35</c:v>
                </c:pt>
                <c:pt idx="26">
                  <c:v>2.34</c:v>
                </c:pt>
                <c:pt idx="27">
                  <c:v>2.33</c:v>
                </c:pt>
                <c:pt idx="28">
                  <c:v>2.31</c:v>
                </c:pt>
                <c:pt idx="29">
                  <c:v>2.2999999999999998</c:v>
                </c:pt>
                <c:pt idx="30">
                  <c:v>2.29</c:v>
                </c:pt>
                <c:pt idx="31">
                  <c:v>2.27</c:v>
                </c:pt>
                <c:pt idx="32">
                  <c:v>2.2599999999999998</c:v>
                </c:pt>
                <c:pt idx="33">
                  <c:v>2.25</c:v>
                </c:pt>
                <c:pt idx="34">
                  <c:v>2.2400000000000002</c:v>
                </c:pt>
                <c:pt idx="35">
                  <c:v>2.2200000000000002</c:v>
                </c:pt>
                <c:pt idx="36">
                  <c:v>2.21</c:v>
                </c:pt>
                <c:pt idx="37">
                  <c:v>2.2000000000000002</c:v>
                </c:pt>
                <c:pt idx="38">
                  <c:v>2.1800000000000002</c:v>
                </c:pt>
                <c:pt idx="39">
                  <c:v>2.17</c:v>
                </c:pt>
                <c:pt idx="40">
                  <c:v>2.16</c:v>
                </c:pt>
                <c:pt idx="41">
                  <c:v>2.14</c:v>
                </c:pt>
                <c:pt idx="42">
                  <c:v>2.13</c:v>
                </c:pt>
                <c:pt idx="43">
                  <c:v>2.11</c:v>
                </c:pt>
                <c:pt idx="44">
                  <c:v>2.1</c:v>
                </c:pt>
                <c:pt idx="45">
                  <c:v>2.09</c:v>
                </c:pt>
                <c:pt idx="46">
                  <c:v>2.0699999999999998</c:v>
                </c:pt>
                <c:pt idx="47">
                  <c:v>2.06</c:v>
                </c:pt>
                <c:pt idx="48">
                  <c:v>2.04</c:v>
                </c:pt>
                <c:pt idx="49">
                  <c:v>2.0299999999999998</c:v>
                </c:pt>
                <c:pt idx="50">
                  <c:v>2.02</c:v>
                </c:pt>
                <c:pt idx="51">
                  <c:v>2</c:v>
                </c:pt>
                <c:pt idx="52">
                  <c:v>1.99</c:v>
                </c:pt>
                <c:pt idx="53">
                  <c:v>1.97</c:v>
                </c:pt>
                <c:pt idx="54">
                  <c:v>1.96</c:v>
                </c:pt>
                <c:pt idx="55">
                  <c:v>1.94</c:v>
                </c:pt>
                <c:pt idx="56">
                  <c:v>1.93</c:v>
                </c:pt>
                <c:pt idx="57">
                  <c:v>1.91</c:v>
                </c:pt>
                <c:pt idx="58">
                  <c:v>1.9</c:v>
                </c:pt>
                <c:pt idx="59">
                  <c:v>1.88</c:v>
                </c:pt>
                <c:pt idx="60">
                  <c:v>1.86</c:v>
                </c:pt>
                <c:pt idx="61">
                  <c:v>1.85</c:v>
                </c:pt>
                <c:pt idx="62">
                  <c:v>1.83</c:v>
                </c:pt>
                <c:pt idx="63">
                  <c:v>1.82</c:v>
                </c:pt>
                <c:pt idx="64">
                  <c:v>1.8</c:v>
                </c:pt>
                <c:pt idx="65">
                  <c:v>1.78</c:v>
                </c:pt>
                <c:pt idx="66">
                  <c:v>1.77</c:v>
                </c:pt>
                <c:pt idx="67">
                  <c:v>1.75</c:v>
                </c:pt>
                <c:pt idx="68">
                  <c:v>1.73</c:v>
                </c:pt>
                <c:pt idx="69">
                  <c:v>1.71</c:v>
                </c:pt>
                <c:pt idx="70">
                  <c:v>1.7</c:v>
                </c:pt>
                <c:pt idx="71">
                  <c:v>1.68</c:v>
                </c:pt>
                <c:pt idx="72">
                  <c:v>1.66</c:v>
                </c:pt>
                <c:pt idx="73">
                  <c:v>1.64</c:v>
                </c:pt>
                <c:pt idx="74">
                  <c:v>1.63</c:v>
                </c:pt>
                <c:pt idx="75">
                  <c:v>1.61</c:v>
                </c:pt>
                <c:pt idx="76">
                  <c:v>1.59</c:v>
                </c:pt>
                <c:pt idx="77">
                  <c:v>1.57</c:v>
                </c:pt>
                <c:pt idx="78">
                  <c:v>1.55</c:v>
                </c:pt>
                <c:pt idx="79">
                  <c:v>1.53</c:v>
                </c:pt>
                <c:pt idx="80">
                  <c:v>1.51</c:v>
                </c:pt>
                <c:pt idx="81">
                  <c:v>1.49</c:v>
                </c:pt>
                <c:pt idx="82">
                  <c:v>1.47</c:v>
                </c:pt>
                <c:pt idx="83">
                  <c:v>1.45</c:v>
                </c:pt>
                <c:pt idx="84">
                  <c:v>1.43</c:v>
                </c:pt>
                <c:pt idx="85">
                  <c:v>1.41</c:v>
                </c:pt>
                <c:pt idx="86">
                  <c:v>1.39</c:v>
                </c:pt>
                <c:pt idx="87">
                  <c:v>1.36</c:v>
                </c:pt>
                <c:pt idx="88">
                  <c:v>1.34</c:v>
                </c:pt>
                <c:pt idx="89">
                  <c:v>1.32</c:v>
                </c:pt>
                <c:pt idx="90">
                  <c:v>1.3</c:v>
                </c:pt>
                <c:pt idx="91">
                  <c:v>1.27</c:v>
                </c:pt>
                <c:pt idx="92">
                  <c:v>1.25</c:v>
                </c:pt>
                <c:pt idx="93">
                  <c:v>1.22</c:v>
                </c:pt>
                <c:pt idx="94">
                  <c:v>1.2</c:v>
                </c:pt>
                <c:pt idx="95">
                  <c:v>1.17</c:v>
                </c:pt>
                <c:pt idx="96">
                  <c:v>1.1399999999999999</c:v>
                </c:pt>
                <c:pt idx="97">
                  <c:v>1.1100000000000001</c:v>
                </c:pt>
                <c:pt idx="98">
                  <c:v>1.08</c:v>
                </c:pt>
                <c:pt idx="99">
                  <c:v>1.05</c:v>
                </c:pt>
                <c:pt idx="100">
                  <c:v>1.02</c:v>
                </c:pt>
                <c:pt idx="101">
                  <c:v>0.99</c:v>
                </c:pt>
                <c:pt idx="102">
                  <c:v>0.96</c:v>
                </c:pt>
                <c:pt idx="103">
                  <c:v>0.92</c:v>
                </c:pt>
                <c:pt idx="104">
                  <c:v>0.88</c:v>
                </c:pt>
                <c:pt idx="105">
                  <c:v>0.84</c:v>
                </c:pt>
                <c:pt idx="106">
                  <c:v>0.81</c:v>
                </c:pt>
                <c:pt idx="107">
                  <c:v>0.77</c:v>
                </c:pt>
                <c:pt idx="108">
                  <c:v>0.73</c:v>
                </c:pt>
                <c:pt idx="109">
                  <c:v>0.69</c:v>
                </c:pt>
                <c:pt idx="110">
                  <c:v>0.65</c:v>
                </c:pt>
                <c:pt idx="111">
                  <c:v>0.6</c:v>
                </c:pt>
                <c:pt idx="112">
                  <c:v>0.56000000000000005</c:v>
                </c:pt>
                <c:pt idx="113">
                  <c:v>0.52</c:v>
                </c:pt>
                <c:pt idx="114">
                  <c:v>0.48</c:v>
                </c:pt>
                <c:pt idx="115">
                  <c:v>0.44</c:v>
                </c:pt>
                <c:pt idx="116">
                  <c:v>0.36</c:v>
                </c:pt>
                <c:pt idx="117">
                  <c:v>0.34</c:v>
                </c:pt>
                <c:pt idx="118">
                  <c:v>0.34</c:v>
                </c:pt>
                <c:pt idx="119">
                  <c:v>0.32</c:v>
                </c:pt>
                <c:pt idx="120">
                  <c:v>0.31</c:v>
                </c:pt>
                <c:pt idx="121">
                  <c:v>0.31</c:v>
                </c:pt>
                <c:pt idx="122">
                  <c:v>0.3</c:v>
                </c:pt>
                <c:pt idx="123">
                  <c:v>0.28999999999999998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0.27</c:v>
                </c:pt>
                <c:pt idx="127">
                  <c:v>0.27</c:v>
                </c:pt>
                <c:pt idx="128">
                  <c:v>0.27</c:v>
                </c:pt>
                <c:pt idx="129">
                  <c:v>0.26</c:v>
                </c:pt>
                <c:pt idx="130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B-4BC3-823A-4561903F6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798367"/>
        <c:axId val="1529130271"/>
      </c:scatterChart>
      <c:valAx>
        <c:axId val="12697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30271"/>
        <c:crosses val="autoZero"/>
        <c:crossBetween val="midCat"/>
      </c:valAx>
      <c:valAx>
        <c:axId val="152913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7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'Non-ideal Compari. with MATLAB'!$B$10</c:f>
              <c:strCache>
                <c:ptCount val="1"/>
                <c:pt idx="0">
                  <c:v>Analytical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MATLAB'!$C$9</c:f>
              <c:strCache>
                <c:ptCount val="1"/>
                <c:pt idx="0">
                  <c:v>Internal voltages (V)</c:v>
                </c:pt>
              </c:strCache>
            </c:strRef>
          </c:cat>
          <c:val>
            <c:numRef>
              <c:f>'Non-ideal Compari. with MATLAB'!$C$10</c:f>
              <c:numCache>
                <c:formatCode>General</c:formatCode>
                <c:ptCount val="1"/>
                <c:pt idx="0">
                  <c:v>72.040000000000006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9-4FD7-BE13-7D760244E032}"/>
            </c:ext>
          </c:extLst>
        </c:ser>
        <c:ser>
          <c:idx val="1"/>
          <c:order val="1"/>
          <c:tx>
            <c:strRef>
              <c:f>'Non-ideal Compari. with MATLAB'!$B$11</c:f>
              <c:strCache>
                <c:ptCount val="1"/>
                <c:pt idx="0">
                  <c:v>MATLAB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MATLAB'!$C$9</c:f>
              <c:strCache>
                <c:ptCount val="1"/>
                <c:pt idx="0">
                  <c:v>Internal voltages (V)</c:v>
                </c:pt>
              </c:strCache>
            </c:strRef>
          </c:cat>
          <c:val>
            <c:numRef>
              <c:f>'Non-ideal Compari. with MATLAB'!$C$11</c:f>
              <c:numCache>
                <c:formatCode>General</c:formatCode>
                <c:ptCount val="1"/>
                <c:pt idx="0">
                  <c:v>71.959999999999994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9-4FD7-BE13-7D760244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487808"/>
        <c:axId val="1066244032"/>
      </c:barChart>
      <c:catAx>
        <c:axId val="151648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44032"/>
        <c:crosses val="autoZero"/>
        <c:auto val="1"/>
        <c:lblAlgn val="ctr"/>
        <c:lblOffset val="100"/>
        <c:noMultiLvlLbl val="0"/>
      </c:catAx>
      <c:valAx>
        <c:axId val="10662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8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'Non-ideal Compari. with MATLAB'!$D$29</c:f>
              <c:strCache>
                <c:ptCount val="1"/>
                <c:pt idx="0">
                  <c:v>Analytical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MATLAB'!$E$28</c:f>
              <c:strCache>
                <c:ptCount val="1"/>
                <c:pt idx="0">
                  <c:v>Terminal voltages (V)</c:v>
                </c:pt>
              </c:strCache>
            </c:strRef>
          </c:cat>
          <c:val>
            <c:numRef>
              <c:f>'Non-ideal Compari. with MATLAB'!$E$29</c:f>
              <c:numCache>
                <c:formatCode>General</c:formatCode>
                <c:ptCount val="1"/>
                <c:pt idx="0">
                  <c:v>51.75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0-4D92-BE83-3AAB53DA3892}"/>
            </c:ext>
          </c:extLst>
        </c:ser>
        <c:ser>
          <c:idx val="1"/>
          <c:order val="1"/>
          <c:tx>
            <c:strRef>
              <c:f>'Non-ideal Compari. with MATLAB'!$D$30</c:f>
              <c:strCache>
                <c:ptCount val="1"/>
                <c:pt idx="0">
                  <c:v>MATLAB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MATLAB'!$E$28</c:f>
              <c:strCache>
                <c:ptCount val="1"/>
                <c:pt idx="0">
                  <c:v>Terminal voltages (V)</c:v>
                </c:pt>
              </c:strCache>
            </c:strRef>
          </c:cat>
          <c:val>
            <c:numRef>
              <c:f>'Non-ideal Compari. with MATLAB'!$E$30</c:f>
              <c:numCache>
                <c:formatCode>General</c:formatCode>
                <c:ptCount val="1"/>
                <c:pt idx="0">
                  <c:v>53.08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0-4D92-BE83-3AAB53DA3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770096"/>
        <c:axId val="1557733232"/>
      </c:barChart>
      <c:catAx>
        <c:axId val="106977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3232"/>
        <c:crosses val="autoZero"/>
        <c:auto val="1"/>
        <c:lblAlgn val="ctr"/>
        <c:lblOffset val="100"/>
        <c:noMultiLvlLbl val="0"/>
      </c:catAx>
      <c:valAx>
        <c:axId val="15577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77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'Non-ideal Compari. with MATLAB'!$J$10</c:f>
              <c:strCache>
                <c:ptCount val="1"/>
                <c:pt idx="0">
                  <c:v>Analytical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MATLAB'!$K$9</c:f>
              <c:strCache>
                <c:ptCount val="1"/>
                <c:pt idx="0">
                  <c:v>Current (I)</c:v>
                </c:pt>
              </c:strCache>
            </c:strRef>
          </c:cat>
          <c:val>
            <c:numRef>
              <c:f>'Non-ideal Compari. with MATLAB'!$K$10</c:f>
              <c:numCache>
                <c:formatCode>General</c:formatCode>
                <c:ptCount val="1"/>
                <c:pt idx="0">
                  <c:v>483.09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A-4DC7-994A-18B5E6D28553}"/>
            </c:ext>
          </c:extLst>
        </c:ser>
        <c:ser>
          <c:idx val="1"/>
          <c:order val="1"/>
          <c:tx>
            <c:strRef>
              <c:f>'Non-ideal Compari. with MATLAB'!$J$11</c:f>
              <c:strCache>
                <c:ptCount val="1"/>
                <c:pt idx="0">
                  <c:v>MATLAB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MATLAB'!$K$9</c:f>
              <c:strCache>
                <c:ptCount val="1"/>
                <c:pt idx="0">
                  <c:v>Current (I)</c:v>
                </c:pt>
              </c:strCache>
            </c:strRef>
          </c:cat>
          <c:val>
            <c:numRef>
              <c:f>'Non-ideal Compari. with MATLAB'!$K$11</c:f>
              <c:numCache>
                <c:formatCode>General</c:formatCode>
                <c:ptCount val="1"/>
                <c:pt idx="0">
                  <c:v>449.64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A-4DC7-994A-18B5E6D2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569200"/>
        <c:axId val="1557725792"/>
      </c:barChart>
      <c:catAx>
        <c:axId val="151656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25792"/>
        <c:crosses val="autoZero"/>
        <c:auto val="1"/>
        <c:lblAlgn val="ctr"/>
        <c:lblOffset val="100"/>
        <c:noMultiLvlLbl val="0"/>
      </c:catAx>
      <c:valAx>
        <c:axId val="15577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6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'Non-ideal Compari. with MATLAB'!$P$10</c:f>
              <c:strCache>
                <c:ptCount val="1"/>
                <c:pt idx="0">
                  <c:v>Analytical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MATLAB'!$Q$9</c:f>
              <c:strCache>
                <c:ptCount val="1"/>
                <c:pt idx="0">
                  <c:v>Power (kW)</c:v>
                </c:pt>
              </c:strCache>
            </c:strRef>
          </c:cat>
          <c:val>
            <c:numRef>
              <c:f>'Non-ideal Compari. with MATLAB'!$Q$10</c:f>
              <c:numCache>
                <c:formatCode>General</c:formatCode>
                <c:ptCount val="1"/>
                <c:pt idx="0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6-4D8E-9750-94F2FA21E926}"/>
            </c:ext>
          </c:extLst>
        </c:ser>
        <c:ser>
          <c:idx val="1"/>
          <c:order val="1"/>
          <c:tx>
            <c:strRef>
              <c:f>'Non-ideal Compari. with MATLAB'!$P$11</c:f>
              <c:strCache>
                <c:ptCount val="1"/>
                <c:pt idx="0">
                  <c:v>MATLAB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'Non-ideal Compari. with MATLAB'!$Q$9</c:f>
              <c:strCache>
                <c:ptCount val="1"/>
                <c:pt idx="0">
                  <c:v>Power (kW)</c:v>
                </c:pt>
              </c:strCache>
            </c:strRef>
          </c:cat>
          <c:val>
            <c:numRef>
              <c:f>'Non-ideal Compari. with MATLAB'!$Q$11</c:f>
              <c:numCache>
                <c:formatCode>General</c:formatCode>
                <c:ptCount val="1"/>
                <c:pt idx="0">
                  <c:v>32.35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6-4D8E-9750-94F2FA21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8244288"/>
        <c:axId val="1471411680"/>
      </c:barChart>
      <c:catAx>
        <c:axId val="15082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11680"/>
        <c:crosses val="autoZero"/>
        <c:auto val="1"/>
        <c:lblAlgn val="ctr"/>
        <c:lblOffset val="100"/>
        <c:noMultiLvlLbl val="0"/>
      </c:catAx>
      <c:valAx>
        <c:axId val="14714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128213</xdr:colOff>
      <xdr:row>15</xdr:row>
      <xdr:rowOff>34018</xdr:rowOff>
    </xdr:from>
    <xdr:to>
      <xdr:col>21</xdr:col>
      <xdr:colOff>503202</xdr:colOff>
      <xdr:row>29</xdr:row>
      <xdr:rowOff>53511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3A0554-EB49-AFBA-0809-87F02353A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129658</xdr:colOff>
      <xdr:row>2</xdr:row>
      <xdr:rowOff>114173</xdr:rowOff>
    </xdr:from>
    <xdr:to>
      <xdr:col>21</xdr:col>
      <xdr:colOff>523928</xdr:colOff>
      <xdr:row>14</xdr:row>
      <xdr:rowOff>66245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2304BF-1131-413F-B594-7683018F6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17843</xdr:colOff>
      <xdr:row>7</xdr:row>
      <xdr:rowOff>16263</xdr:rowOff>
    </xdr:from>
    <xdr:to>
      <xdr:col>29</xdr:col>
      <xdr:colOff>346856</xdr:colOff>
      <xdr:row>21</xdr:row>
      <xdr:rowOff>111122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F0C732-45E5-4DD0-89E2-E8AFE4E6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29430</xdr:colOff>
      <xdr:row>2</xdr:row>
      <xdr:rowOff>61866</xdr:rowOff>
    </xdr:from>
    <xdr:to>
      <xdr:col>12</xdr:col>
      <xdr:colOff>169608</xdr:colOff>
      <xdr:row>5</xdr:row>
      <xdr:rowOff>71863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AA79F-87A5-4D0D-BB71-AF4C95C4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73546" y="442866"/>
          <a:ext cx="2842620" cy="5770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3</xdr:row>
      <xdr:rowOff>335280</xdr:rowOff>
    </xdr:from>
    <xdr:to>
      <xdr:col>17</xdr:col>
      <xdr:colOff>114300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DDAC4-6009-4908-A5F6-429D3EB5F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19</xdr:row>
      <xdr:rowOff>129540</xdr:rowOff>
    </xdr:from>
    <xdr:to>
      <xdr:col>16</xdr:col>
      <xdr:colOff>396240</xdr:colOff>
      <xdr:row>34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61C08-5C94-158D-2348-8E08E9EA4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31</xdr:col>
      <xdr:colOff>525780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474D1D-B5FE-4124-B1FA-AF1C685B2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373059</xdr:colOff>
      <xdr:row>3</xdr:row>
      <xdr:rowOff>104776</xdr:rowOff>
    </xdr:from>
    <xdr:to>
      <xdr:col>17</xdr:col>
      <xdr:colOff>166687</xdr:colOff>
      <xdr:row>18</xdr:row>
      <xdr:rowOff>109538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118590-5CC6-27FC-E31D-C964104D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380998</xdr:colOff>
      <xdr:row>19</xdr:row>
      <xdr:rowOff>152400</xdr:rowOff>
    </xdr:from>
    <xdr:to>
      <xdr:col>16</xdr:col>
      <xdr:colOff>507998</xdr:colOff>
      <xdr:row>34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44FACE7-27C4-132D-FE71-FABEE16E2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156210</xdr:rowOff>
    </xdr:from>
    <xdr:to>
      <xdr:col>16</xdr:col>
      <xdr:colOff>304800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18830-EEA1-7D0C-F0D6-CF7EEFE4A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122</xdr:row>
      <xdr:rowOff>80010</xdr:rowOff>
    </xdr:from>
    <xdr:to>
      <xdr:col>15</xdr:col>
      <xdr:colOff>228600</xdr:colOff>
      <xdr:row>137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810EB3-A4B4-B93A-71DB-7508C79E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11</xdr:row>
      <xdr:rowOff>83820</xdr:rowOff>
    </xdr:from>
    <xdr:to>
      <xdr:col>6</xdr:col>
      <xdr:colOff>106680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47C2C8-956B-C298-0B2E-141E9D865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</xdr:colOff>
      <xdr:row>30</xdr:row>
      <xdr:rowOff>99060</xdr:rowOff>
    </xdr:from>
    <xdr:to>
      <xdr:col>6</xdr:col>
      <xdr:colOff>213360</xdr:colOff>
      <xdr:row>45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DE60E3-A3FF-D82B-B3B8-3AEAA81AB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198120</xdr:colOff>
      <xdr:row>11</xdr:row>
      <xdr:rowOff>76200</xdr:rowOff>
    </xdr:from>
    <xdr:to>
      <xdr:col>13</xdr:col>
      <xdr:colOff>502920</xdr:colOff>
      <xdr:row>26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A7B59E-C359-9991-B792-875EBEA9D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30480</xdr:colOff>
      <xdr:row>11</xdr:row>
      <xdr:rowOff>68580</xdr:rowOff>
    </xdr:from>
    <xdr:to>
      <xdr:col>21</xdr:col>
      <xdr:colOff>335280</xdr:colOff>
      <xdr:row>26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7EC062-6345-BC59-CC0A-2A3AA0D02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rts365-my.sharepoint.com/personal/sa22abc_herts_ac_uk/Documents/MSc%20Project/Practical%20files/Excel%20files/Supercapacitor%20model%20Non-ideal%20and%20two%20branch.xlsx" TargetMode="External"/><Relationship Id="rId1" Type="http://schemas.openxmlformats.org/officeDocument/2006/relationships/externalLinkPath" Target="Supercapacitor%20model%20Non-ideal%20and%20two%20bran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n-ideal model"/>
      <sheetName val="Sheet1"/>
      <sheetName val="Two-branch model"/>
      <sheetName val="Results"/>
      <sheetName val="Comparisions of results"/>
      <sheetName val="Comparision with MATLAB"/>
      <sheetName val="Validation with exp. data"/>
    </sheetNames>
    <sheetDataSet>
      <sheetData sheetId="0" refreshError="1"/>
      <sheetData sheetId="1">
        <row r="3">
          <cell r="A3">
            <v>0.32</v>
          </cell>
          <cell r="B3">
            <v>2.65</v>
          </cell>
          <cell r="C3">
            <v>0.15</v>
          </cell>
          <cell r="D3">
            <v>2.64</v>
          </cell>
        </row>
        <row r="4">
          <cell r="A4">
            <v>0.95</v>
          </cell>
          <cell r="B4">
            <v>2.63</v>
          </cell>
          <cell r="C4">
            <v>0.44</v>
          </cell>
          <cell r="D4">
            <v>2.63</v>
          </cell>
        </row>
        <row r="5">
          <cell r="A5">
            <v>1.48</v>
          </cell>
          <cell r="B5">
            <v>2.61</v>
          </cell>
          <cell r="C5">
            <v>0.74</v>
          </cell>
          <cell r="D5">
            <v>2.62</v>
          </cell>
        </row>
        <row r="6">
          <cell r="A6">
            <v>2.08</v>
          </cell>
          <cell r="B6">
            <v>2.59</v>
          </cell>
          <cell r="C6">
            <v>1.03</v>
          </cell>
          <cell r="D6">
            <v>2.61</v>
          </cell>
        </row>
        <row r="7">
          <cell r="A7">
            <v>2.72</v>
          </cell>
          <cell r="B7">
            <v>2.57</v>
          </cell>
          <cell r="C7">
            <v>1.33</v>
          </cell>
          <cell r="D7">
            <v>2.6</v>
          </cell>
        </row>
        <row r="8">
          <cell r="A8">
            <v>3.39</v>
          </cell>
          <cell r="B8">
            <v>2.5499999999999998</v>
          </cell>
          <cell r="C8">
            <v>1.62</v>
          </cell>
          <cell r="D8">
            <v>2.59</v>
          </cell>
        </row>
        <row r="9">
          <cell r="A9">
            <v>4.03</v>
          </cell>
          <cell r="B9">
            <v>2.5299999999999998</v>
          </cell>
          <cell r="C9">
            <v>1.92</v>
          </cell>
          <cell r="D9">
            <v>2.57</v>
          </cell>
        </row>
        <row r="10">
          <cell r="A10">
            <v>4.71</v>
          </cell>
          <cell r="B10">
            <v>2.5099999999999998</v>
          </cell>
          <cell r="C10">
            <v>2.21</v>
          </cell>
          <cell r="D10">
            <v>2.56</v>
          </cell>
        </row>
        <row r="11">
          <cell r="A11">
            <v>5.35</v>
          </cell>
          <cell r="B11">
            <v>2.4900000000000002</v>
          </cell>
          <cell r="C11">
            <v>2.5099999999999998</v>
          </cell>
          <cell r="D11">
            <v>2.5499999999999998</v>
          </cell>
        </row>
        <row r="12">
          <cell r="A12">
            <v>6.04</v>
          </cell>
          <cell r="B12">
            <v>2.46</v>
          </cell>
          <cell r="C12">
            <v>2.8</v>
          </cell>
          <cell r="D12">
            <v>2.54</v>
          </cell>
        </row>
        <row r="13">
          <cell r="A13">
            <v>6.66</v>
          </cell>
          <cell r="B13">
            <v>2.44</v>
          </cell>
          <cell r="C13">
            <v>3.1</v>
          </cell>
          <cell r="D13">
            <v>2.5299999999999998</v>
          </cell>
        </row>
        <row r="14">
          <cell r="A14">
            <v>7.29</v>
          </cell>
          <cell r="B14">
            <v>2.42</v>
          </cell>
          <cell r="C14">
            <v>3.39</v>
          </cell>
          <cell r="D14">
            <v>2.52</v>
          </cell>
        </row>
        <row r="15">
          <cell r="A15">
            <v>7.91</v>
          </cell>
          <cell r="B15">
            <v>2.4</v>
          </cell>
          <cell r="C15">
            <v>3.69</v>
          </cell>
          <cell r="D15">
            <v>2.5099999999999998</v>
          </cell>
        </row>
        <row r="16">
          <cell r="A16">
            <v>8.4499999999999993</v>
          </cell>
          <cell r="B16">
            <v>2.39</v>
          </cell>
          <cell r="C16">
            <v>3.98</v>
          </cell>
          <cell r="D16">
            <v>2.4900000000000002</v>
          </cell>
        </row>
        <row r="17">
          <cell r="A17">
            <v>9.0500000000000007</v>
          </cell>
          <cell r="B17">
            <v>2.37</v>
          </cell>
          <cell r="C17">
            <v>4.28</v>
          </cell>
          <cell r="D17">
            <v>2.48</v>
          </cell>
        </row>
        <row r="18">
          <cell r="A18">
            <v>9.67</v>
          </cell>
          <cell r="B18">
            <v>2.35</v>
          </cell>
          <cell r="C18">
            <v>4.57</v>
          </cell>
          <cell r="D18">
            <v>2.4700000000000002</v>
          </cell>
        </row>
        <row r="19">
          <cell r="A19">
            <v>10.36</v>
          </cell>
          <cell r="B19">
            <v>2.3199999999999998</v>
          </cell>
          <cell r="C19">
            <v>4.87</v>
          </cell>
          <cell r="D19">
            <v>2.46</v>
          </cell>
        </row>
        <row r="20">
          <cell r="A20">
            <v>11</v>
          </cell>
          <cell r="B20">
            <v>2.2999999999999998</v>
          </cell>
          <cell r="C20">
            <v>5.16</v>
          </cell>
          <cell r="D20">
            <v>2.4500000000000002</v>
          </cell>
        </row>
        <row r="21">
          <cell r="A21">
            <v>11.63</v>
          </cell>
          <cell r="B21">
            <v>2.2799999999999998</v>
          </cell>
          <cell r="C21">
            <v>5.46</v>
          </cell>
          <cell r="D21">
            <v>2.44</v>
          </cell>
        </row>
        <row r="22">
          <cell r="A22">
            <v>12.24</v>
          </cell>
          <cell r="B22">
            <v>2.2599999999999998</v>
          </cell>
          <cell r="C22">
            <v>5.75</v>
          </cell>
          <cell r="D22">
            <v>2.42</v>
          </cell>
        </row>
        <row r="23">
          <cell r="A23">
            <v>12.81</v>
          </cell>
          <cell r="B23">
            <v>2.2400000000000002</v>
          </cell>
          <cell r="C23">
            <v>6.05</v>
          </cell>
          <cell r="D23">
            <v>2.41</v>
          </cell>
        </row>
        <row r="24">
          <cell r="A24">
            <v>13.37</v>
          </cell>
          <cell r="B24">
            <v>2.23</v>
          </cell>
          <cell r="C24">
            <v>6.34</v>
          </cell>
          <cell r="D24">
            <v>2.4</v>
          </cell>
        </row>
        <row r="25">
          <cell r="A25">
            <v>14.01</v>
          </cell>
          <cell r="B25">
            <v>2.2000000000000002</v>
          </cell>
          <cell r="C25">
            <v>6.64</v>
          </cell>
          <cell r="D25">
            <v>2.39</v>
          </cell>
        </row>
        <row r="26">
          <cell r="A26">
            <v>14.7</v>
          </cell>
          <cell r="B26">
            <v>2.1800000000000002</v>
          </cell>
          <cell r="C26">
            <v>6.93</v>
          </cell>
          <cell r="D26">
            <v>2.37</v>
          </cell>
        </row>
        <row r="27">
          <cell r="A27">
            <v>15.32</v>
          </cell>
          <cell r="B27">
            <v>2.16</v>
          </cell>
          <cell r="C27">
            <v>7.23</v>
          </cell>
          <cell r="D27">
            <v>2.36</v>
          </cell>
        </row>
        <row r="28">
          <cell r="A28">
            <v>15.96</v>
          </cell>
          <cell r="B28">
            <v>2.14</v>
          </cell>
          <cell r="C28">
            <v>7.52</v>
          </cell>
          <cell r="D28">
            <v>2.35</v>
          </cell>
        </row>
        <row r="29">
          <cell r="A29">
            <v>16.579999999999998</v>
          </cell>
          <cell r="B29">
            <v>2.12</v>
          </cell>
          <cell r="C29">
            <v>7.82</v>
          </cell>
          <cell r="D29">
            <v>2.34</v>
          </cell>
        </row>
        <row r="30">
          <cell r="A30">
            <v>17.27</v>
          </cell>
          <cell r="B30">
            <v>2.1</v>
          </cell>
          <cell r="C30">
            <v>8.11</v>
          </cell>
          <cell r="D30">
            <v>2.33</v>
          </cell>
        </row>
        <row r="31">
          <cell r="A31">
            <v>17.899999999999999</v>
          </cell>
          <cell r="B31">
            <v>2.08</v>
          </cell>
          <cell r="C31">
            <v>8.41</v>
          </cell>
          <cell r="D31">
            <v>2.31</v>
          </cell>
        </row>
        <row r="32">
          <cell r="A32">
            <v>18.53</v>
          </cell>
          <cell r="B32">
            <v>2.06</v>
          </cell>
          <cell r="C32">
            <v>8.6999999999999993</v>
          </cell>
          <cell r="D32">
            <v>2.2999999999999998</v>
          </cell>
        </row>
        <row r="33">
          <cell r="A33">
            <v>19.149999999999999</v>
          </cell>
          <cell r="B33">
            <v>2.04</v>
          </cell>
          <cell r="C33">
            <v>9</v>
          </cell>
          <cell r="D33">
            <v>2.29</v>
          </cell>
        </row>
        <row r="34">
          <cell r="A34">
            <v>19.84</v>
          </cell>
          <cell r="B34">
            <v>2.0099999999999998</v>
          </cell>
          <cell r="C34">
            <v>9.2899999999999991</v>
          </cell>
          <cell r="D34">
            <v>2.27</v>
          </cell>
        </row>
        <row r="35">
          <cell r="A35">
            <v>20.48</v>
          </cell>
          <cell r="B35">
            <v>1.99</v>
          </cell>
          <cell r="C35">
            <v>9.59</v>
          </cell>
          <cell r="D35">
            <v>2.2599999999999998</v>
          </cell>
        </row>
        <row r="36">
          <cell r="A36">
            <v>21.11</v>
          </cell>
          <cell r="B36">
            <v>1.97</v>
          </cell>
          <cell r="C36">
            <v>9.8800000000000008</v>
          </cell>
          <cell r="D36">
            <v>2.25</v>
          </cell>
        </row>
        <row r="37">
          <cell r="A37">
            <v>21.73</v>
          </cell>
          <cell r="B37">
            <v>1.95</v>
          </cell>
          <cell r="C37">
            <v>10.18</v>
          </cell>
          <cell r="D37">
            <v>2.2400000000000002</v>
          </cell>
        </row>
        <row r="38">
          <cell r="A38">
            <v>22.43</v>
          </cell>
          <cell r="B38">
            <v>1.93</v>
          </cell>
          <cell r="C38">
            <v>10.47</v>
          </cell>
          <cell r="D38">
            <v>2.2200000000000002</v>
          </cell>
        </row>
        <row r="39">
          <cell r="A39">
            <v>23.05</v>
          </cell>
          <cell r="B39">
            <v>1.91</v>
          </cell>
          <cell r="C39">
            <v>10.77</v>
          </cell>
          <cell r="D39">
            <v>2.21</v>
          </cell>
        </row>
        <row r="40">
          <cell r="A40">
            <v>23.69</v>
          </cell>
          <cell r="B40">
            <v>1.89</v>
          </cell>
          <cell r="C40">
            <v>11.06</v>
          </cell>
          <cell r="D40">
            <v>2.2000000000000002</v>
          </cell>
        </row>
        <row r="41">
          <cell r="A41">
            <v>24.32</v>
          </cell>
          <cell r="B41">
            <v>1.87</v>
          </cell>
          <cell r="C41">
            <v>11.36</v>
          </cell>
          <cell r="D41">
            <v>2.1800000000000002</v>
          </cell>
        </row>
        <row r="42">
          <cell r="A42">
            <v>24.61</v>
          </cell>
          <cell r="B42">
            <v>1.86</v>
          </cell>
          <cell r="C42">
            <v>11.65</v>
          </cell>
          <cell r="D42">
            <v>2.17</v>
          </cell>
        </row>
        <row r="43">
          <cell r="A43">
            <v>25.01</v>
          </cell>
          <cell r="B43">
            <v>1.84</v>
          </cell>
          <cell r="C43">
            <v>11.95</v>
          </cell>
          <cell r="D43">
            <v>2.16</v>
          </cell>
        </row>
        <row r="44">
          <cell r="A44">
            <v>25.21</v>
          </cell>
          <cell r="B44">
            <v>1.83</v>
          </cell>
          <cell r="C44">
            <v>12.24</v>
          </cell>
          <cell r="D44">
            <v>2.14</v>
          </cell>
        </row>
        <row r="45">
          <cell r="A45">
            <v>25.6</v>
          </cell>
          <cell r="B45">
            <v>1.82</v>
          </cell>
          <cell r="C45">
            <v>12.54</v>
          </cell>
          <cell r="D45">
            <v>2.13</v>
          </cell>
        </row>
        <row r="46">
          <cell r="A46">
            <v>25.81</v>
          </cell>
          <cell r="B46">
            <v>1.8</v>
          </cell>
          <cell r="C46">
            <v>12.83</v>
          </cell>
          <cell r="D46">
            <v>2.11</v>
          </cell>
        </row>
        <row r="47">
          <cell r="A47">
            <v>26.27</v>
          </cell>
          <cell r="B47">
            <v>1.8</v>
          </cell>
          <cell r="C47">
            <v>13.13</v>
          </cell>
          <cell r="D47">
            <v>2.1</v>
          </cell>
        </row>
        <row r="48">
          <cell r="A48">
            <v>26.42</v>
          </cell>
          <cell r="B48">
            <v>1.79</v>
          </cell>
          <cell r="C48">
            <v>13.42</v>
          </cell>
          <cell r="D48">
            <v>2.09</v>
          </cell>
        </row>
        <row r="49">
          <cell r="A49">
            <v>26.89</v>
          </cell>
          <cell r="B49">
            <v>1.78</v>
          </cell>
          <cell r="C49">
            <v>13.72</v>
          </cell>
          <cell r="D49">
            <v>2.0699999999999998</v>
          </cell>
        </row>
        <row r="50">
          <cell r="A50">
            <v>27.52</v>
          </cell>
          <cell r="B50">
            <v>1.76</v>
          </cell>
          <cell r="C50">
            <v>14.01</v>
          </cell>
          <cell r="D50">
            <v>2.06</v>
          </cell>
        </row>
        <row r="51">
          <cell r="A51">
            <v>28.16</v>
          </cell>
          <cell r="B51">
            <v>1.74</v>
          </cell>
          <cell r="C51">
            <v>14.31</v>
          </cell>
          <cell r="D51">
            <v>2.04</v>
          </cell>
        </row>
        <row r="52">
          <cell r="A52">
            <v>28.79</v>
          </cell>
          <cell r="B52">
            <v>1.72</v>
          </cell>
          <cell r="C52">
            <v>14.6</v>
          </cell>
          <cell r="D52">
            <v>2.0299999999999998</v>
          </cell>
        </row>
        <row r="53">
          <cell r="A53">
            <v>29.41</v>
          </cell>
          <cell r="B53">
            <v>1.69</v>
          </cell>
          <cell r="C53">
            <v>14.9</v>
          </cell>
          <cell r="D53">
            <v>2.02</v>
          </cell>
        </row>
        <row r="54">
          <cell r="A54">
            <v>30.11</v>
          </cell>
          <cell r="B54">
            <v>1.67</v>
          </cell>
          <cell r="C54">
            <v>15.19</v>
          </cell>
          <cell r="D54">
            <v>2</v>
          </cell>
        </row>
        <row r="55">
          <cell r="A55">
            <v>30.73</v>
          </cell>
          <cell r="B55">
            <v>1.65</v>
          </cell>
          <cell r="C55">
            <v>15.49</v>
          </cell>
          <cell r="D55">
            <v>1.99</v>
          </cell>
        </row>
        <row r="56">
          <cell r="A56">
            <v>31.36</v>
          </cell>
          <cell r="B56">
            <v>1.63</v>
          </cell>
          <cell r="C56">
            <v>15.78</v>
          </cell>
          <cell r="D56">
            <v>1.97</v>
          </cell>
        </row>
        <row r="57">
          <cell r="A57">
            <v>31.99</v>
          </cell>
          <cell r="B57">
            <v>1.61</v>
          </cell>
          <cell r="C57">
            <v>16.079999999999998</v>
          </cell>
          <cell r="D57">
            <v>1.96</v>
          </cell>
        </row>
        <row r="58">
          <cell r="A58">
            <v>32.619999999999997</v>
          </cell>
          <cell r="B58">
            <v>1.59</v>
          </cell>
          <cell r="C58">
            <v>16.37</v>
          </cell>
          <cell r="D58">
            <v>1.94</v>
          </cell>
        </row>
        <row r="59">
          <cell r="A59">
            <v>33.25</v>
          </cell>
          <cell r="B59">
            <v>1.56</v>
          </cell>
          <cell r="C59">
            <v>16.66</v>
          </cell>
          <cell r="D59">
            <v>1.93</v>
          </cell>
        </row>
        <row r="60">
          <cell r="A60">
            <v>33.89</v>
          </cell>
          <cell r="B60">
            <v>1.54</v>
          </cell>
          <cell r="C60">
            <v>16.96</v>
          </cell>
          <cell r="D60">
            <v>1.91</v>
          </cell>
        </row>
        <row r="61">
          <cell r="A61">
            <v>34.520000000000003</v>
          </cell>
          <cell r="B61">
            <v>1.52</v>
          </cell>
          <cell r="C61">
            <v>17.25</v>
          </cell>
          <cell r="D61">
            <v>1.9</v>
          </cell>
        </row>
        <row r="62">
          <cell r="A62">
            <v>35.15</v>
          </cell>
          <cell r="B62">
            <v>1.5</v>
          </cell>
          <cell r="C62">
            <v>17.55</v>
          </cell>
          <cell r="D62">
            <v>1.88</v>
          </cell>
        </row>
        <row r="63">
          <cell r="A63">
            <v>35.72</v>
          </cell>
          <cell r="B63">
            <v>1.48</v>
          </cell>
          <cell r="C63">
            <v>17.84</v>
          </cell>
          <cell r="D63">
            <v>1.86</v>
          </cell>
        </row>
        <row r="64">
          <cell r="C64">
            <v>18.14</v>
          </cell>
          <cell r="D64">
            <v>1.85</v>
          </cell>
        </row>
        <row r="65">
          <cell r="C65">
            <v>18.43</v>
          </cell>
          <cell r="D65">
            <v>1.83</v>
          </cell>
        </row>
        <row r="66">
          <cell r="C66">
            <v>18.73</v>
          </cell>
          <cell r="D66">
            <v>1.82</v>
          </cell>
        </row>
        <row r="67">
          <cell r="C67">
            <v>19.02</v>
          </cell>
          <cell r="D67">
            <v>1.8</v>
          </cell>
        </row>
        <row r="68">
          <cell r="C68">
            <v>19.32</v>
          </cell>
          <cell r="D68">
            <v>1.78</v>
          </cell>
        </row>
        <row r="69">
          <cell r="C69">
            <v>19.61</v>
          </cell>
          <cell r="D69">
            <v>1.77</v>
          </cell>
        </row>
        <row r="70">
          <cell r="C70">
            <v>19.91</v>
          </cell>
          <cell r="D70">
            <v>1.75</v>
          </cell>
        </row>
        <row r="71">
          <cell r="C71">
            <v>20.2</v>
          </cell>
          <cell r="D71">
            <v>1.73</v>
          </cell>
        </row>
        <row r="72">
          <cell r="C72">
            <v>20.5</v>
          </cell>
          <cell r="D72">
            <v>1.71</v>
          </cell>
        </row>
        <row r="73">
          <cell r="C73">
            <v>20.79</v>
          </cell>
          <cell r="D73">
            <v>1.7</v>
          </cell>
        </row>
        <row r="74">
          <cell r="C74">
            <v>21.09</v>
          </cell>
          <cell r="D74">
            <v>1.68</v>
          </cell>
        </row>
        <row r="75">
          <cell r="C75">
            <v>21.38</v>
          </cell>
          <cell r="D75">
            <v>1.66</v>
          </cell>
        </row>
        <row r="76">
          <cell r="C76">
            <v>21.68</v>
          </cell>
          <cell r="D76">
            <v>1.64</v>
          </cell>
        </row>
        <row r="77">
          <cell r="C77">
            <v>21.97</v>
          </cell>
          <cell r="D77">
            <v>1.63</v>
          </cell>
        </row>
        <row r="78">
          <cell r="C78">
            <v>22.27</v>
          </cell>
          <cell r="D78">
            <v>1.61</v>
          </cell>
        </row>
        <row r="79">
          <cell r="C79">
            <v>22.56</v>
          </cell>
          <cell r="D79">
            <v>1.59</v>
          </cell>
        </row>
        <row r="80">
          <cell r="C80">
            <v>22.86</v>
          </cell>
          <cell r="D80">
            <v>1.57</v>
          </cell>
        </row>
        <row r="81">
          <cell r="C81">
            <v>23.15</v>
          </cell>
          <cell r="D81">
            <v>1.55</v>
          </cell>
        </row>
        <row r="82">
          <cell r="C82">
            <v>23.45</v>
          </cell>
          <cell r="D82">
            <v>1.53</v>
          </cell>
        </row>
        <row r="83">
          <cell r="C83">
            <v>23.74</v>
          </cell>
          <cell r="D83">
            <v>1.51</v>
          </cell>
        </row>
        <row r="84">
          <cell r="C84">
            <v>24.04</v>
          </cell>
          <cell r="D84">
            <v>1.49</v>
          </cell>
        </row>
        <row r="85">
          <cell r="C85">
            <v>24.33</v>
          </cell>
          <cell r="D85">
            <v>1.47</v>
          </cell>
        </row>
        <row r="86">
          <cell r="C86">
            <v>24.63</v>
          </cell>
          <cell r="D86">
            <v>1.45</v>
          </cell>
        </row>
        <row r="87">
          <cell r="C87">
            <v>24.92</v>
          </cell>
          <cell r="D87">
            <v>1.43</v>
          </cell>
        </row>
        <row r="88">
          <cell r="C88">
            <v>25.22</v>
          </cell>
          <cell r="D88">
            <v>1.41</v>
          </cell>
        </row>
        <row r="89">
          <cell r="C89">
            <v>25.51</v>
          </cell>
          <cell r="D89">
            <v>1.39</v>
          </cell>
        </row>
        <row r="90">
          <cell r="C90">
            <v>25.8</v>
          </cell>
          <cell r="D90">
            <v>1.36</v>
          </cell>
        </row>
        <row r="91">
          <cell r="C91">
            <v>26.1</v>
          </cell>
          <cell r="D91">
            <v>1.34</v>
          </cell>
        </row>
        <row r="92">
          <cell r="C92">
            <v>26.39</v>
          </cell>
          <cell r="D92">
            <v>1.32</v>
          </cell>
        </row>
        <row r="93">
          <cell r="C93">
            <v>26.69</v>
          </cell>
          <cell r="D93">
            <v>1.3</v>
          </cell>
        </row>
        <row r="94">
          <cell r="C94">
            <v>26.98</v>
          </cell>
          <cell r="D94">
            <v>1.27</v>
          </cell>
        </row>
        <row r="95">
          <cell r="C95">
            <v>27.28</v>
          </cell>
          <cell r="D95">
            <v>1.25</v>
          </cell>
        </row>
        <row r="96">
          <cell r="C96">
            <v>27.57</v>
          </cell>
          <cell r="D96">
            <v>1.22</v>
          </cell>
        </row>
        <row r="97">
          <cell r="C97">
            <v>27.87</v>
          </cell>
          <cell r="D97">
            <v>1.2</v>
          </cell>
        </row>
        <row r="98">
          <cell r="C98">
            <v>28.16</v>
          </cell>
          <cell r="D98">
            <v>1.17</v>
          </cell>
        </row>
        <row r="99">
          <cell r="C99">
            <v>28.46</v>
          </cell>
          <cell r="D99">
            <v>1.1399999999999999</v>
          </cell>
        </row>
        <row r="100">
          <cell r="C100">
            <v>28.75</v>
          </cell>
          <cell r="D100">
            <v>1.1100000000000001</v>
          </cell>
        </row>
        <row r="101">
          <cell r="C101">
            <v>29.05</v>
          </cell>
          <cell r="D101">
            <v>1.08</v>
          </cell>
        </row>
        <row r="102">
          <cell r="C102">
            <v>29.34</v>
          </cell>
          <cell r="D102">
            <v>1.05</v>
          </cell>
        </row>
        <row r="103">
          <cell r="C103">
            <v>29.64</v>
          </cell>
          <cell r="D103">
            <v>1.02</v>
          </cell>
        </row>
        <row r="104">
          <cell r="C104">
            <v>29.93</v>
          </cell>
          <cell r="D104">
            <v>0.99</v>
          </cell>
        </row>
        <row r="105">
          <cell r="C105">
            <v>30.23</v>
          </cell>
          <cell r="D105">
            <v>0.96</v>
          </cell>
        </row>
        <row r="106">
          <cell r="C106">
            <v>30.52</v>
          </cell>
          <cell r="D106">
            <v>0.92</v>
          </cell>
        </row>
        <row r="107">
          <cell r="C107">
            <v>30.81</v>
          </cell>
          <cell r="D107">
            <v>0.88</v>
          </cell>
        </row>
        <row r="108">
          <cell r="C108">
            <v>31.11</v>
          </cell>
          <cell r="D108">
            <v>0.84</v>
          </cell>
        </row>
        <row r="109">
          <cell r="C109">
            <v>31.39</v>
          </cell>
          <cell r="D109">
            <v>0.81</v>
          </cell>
        </row>
        <row r="110">
          <cell r="C110">
            <v>31.66</v>
          </cell>
          <cell r="D110">
            <v>0.77</v>
          </cell>
        </row>
        <row r="111">
          <cell r="C111">
            <v>31.93</v>
          </cell>
          <cell r="D111">
            <v>0.73</v>
          </cell>
        </row>
        <row r="112">
          <cell r="C112">
            <v>32.18</v>
          </cell>
          <cell r="D112">
            <v>0.69</v>
          </cell>
        </row>
        <row r="113">
          <cell r="C113">
            <v>32.369999999999997</v>
          </cell>
          <cell r="D113">
            <v>0.65</v>
          </cell>
        </row>
        <row r="114">
          <cell r="C114">
            <v>32.51</v>
          </cell>
          <cell r="D114">
            <v>0.6</v>
          </cell>
        </row>
        <row r="115">
          <cell r="C115">
            <v>32.659999999999997</v>
          </cell>
          <cell r="D115">
            <v>0.56000000000000005</v>
          </cell>
        </row>
        <row r="116">
          <cell r="C116">
            <v>32.79</v>
          </cell>
          <cell r="D116">
            <v>0.52</v>
          </cell>
        </row>
        <row r="117">
          <cell r="C117">
            <v>32.9</v>
          </cell>
          <cell r="D117">
            <v>0.48</v>
          </cell>
        </row>
        <row r="118">
          <cell r="C118">
            <v>32.979999999999997</v>
          </cell>
          <cell r="D118">
            <v>0.44</v>
          </cell>
        </row>
        <row r="119">
          <cell r="C119">
            <v>33.15</v>
          </cell>
          <cell r="D119">
            <v>0.36</v>
          </cell>
        </row>
        <row r="120">
          <cell r="C120">
            <v>33.44</v>
          </cell>
          <cell r="D120">
            <v>0.34</v>
          </cell>
        </row>
        <row r="121">
          <cell r="C121">
            <v>33.729999999999997</v>
          </cell>
          <cell r="D121">
            <v>0.34</v>
          </cell>
        </row>
        <row r="122">
          <cell r="C122">
            <v>34.03</v>
          </cell>
          <cell r="D122">
            <v>0.32</v>
          </cell>
        </row>
        <row r="123">
          <cell r="C123">
            <v>34.32</v>
          </cell>
          <cell r="D123">
            <v>0.31</v>
          </cell>
        </row>
        <row r="124">
          <cell r="C124">
            <v>34.549999999999997</v>
          </cell>
          <cell r="D124">
            <v>0.31</v>
          </cell>
        </row>
        <row r="125">
          <cell r="C125">
            <v>34.61</v>
          </cell>
          <cell r="D125">
            <v>0.3</v>
          </cell>
        </row>
        <row r="126">
          <cell r="C126">
            <v>34.840000000000003</v>
          </cell>
          <cell r="D126">
            <v>0.28999999999999998</v>
          </cell>
        </row>
        <row r="127">
          <cell r="C127">
            <v>34.909999999999997</v>
          </cell>
          <cell r="D127">
            <v>0.28000000000000003</v>
          </cell>
        </row>
        <row r="128">
          <cell r="C128">
            <v>35.14</v>
          </cell>
          <cell r="D128">
            <v>0.28000000000000003</v>
          </cell>
        </row>
        <row r="129">
          <cell r="C129">
            <v>35.200000000000003</v>
          </cell>
          <cell r="D129">
            <v>0.27</v>
          </cell>
        </row>
        <row r="130">
          <cell r="C130">
            <v>35.43</v>
          </cell>
          <cell r="D130">
            <v>0.27</v>
          </cell>
        </row>
        <row r="131">
          <cell r="C131">
            <v>35.5</v>
          </cell>
          <cell r="D131">
            <v>0.27</v>
          </cell>
        </row>
        <row r="132">
          <cell r="C132">
            <v>35.68</v>
          </cell>
          <cell r="D132">
            <v>0.26</v>
          </cell>
        </row>
        <row r="133">
          <cell r="C133">
            <v>35.770000000000003</v>
          </cell>
          <cell r="D133">
            <v>0.26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oa.upm.es/72990/1/72990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oa.upm.es/72990/1/72990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1A2D-1DB8-4668-A6CB-324F05C214DB}">
  <dimension ref="A1:S1810"/>
  <sheetViews>
    <sheetView tabSelected="1" topLeftCell="D1" zoomScale="86" zoomScaleNormal="86" workbookViewId="0">
      <selection activeCell="Y2" sqref="Y2"/>
    </sheetView>
  </sheetViews>
  <sheetFormatPr defaultColWidth="8.88671875" defaultRowHeight="14.4" x14ac:dyDescent="0.3"/>
  <cols>
    <col min="1" max="3" width="8.88671875" style="1"/>
    <col min="4" max="4" width="16.88671875" style="1" bestFit="1" customWidth="1"/>
    <col min="5" max="6" width="8.88671875" style="1"/>
    <col min="7" max="7" width="11.88671875" style="1" customWidth="1"/>
    <col min="8" max="8" width="8.88671875" style="1"/>
    <col min="9" max="9" width="11.109375" style="1" customWidth="1"/>
    <col min="10" max="10" width="10.44140625" style="1" customWidth="1"/>
    <col min="11" max="13" width="8.88671875" style="1"/>
    <col min="14" max="14" width="11.88671875" style="1" customWidth="1"/>
    <col min="15" max="15" width="9.88671875" style="1" customWidth="1"/>
    <col min="16" max="16384" width="8.88671875" style="1"/>
  </cols>
  <sheetData>
    <row r="1" spans="1:19" x14ac:dyDescent="0.3">
      <c r="A1" s="1" t="s">
        <v>0</v>
      </c>
      <c r="B1" s="13">
        <f>E1/H1</f>
        <v>38.571428571428569</v>
      </c>
      <c r="C1" s="1" t="s">
        <v>28</v>
      </c>
      <c r="D1" s="1" t="s">
        <v>4</v>
      </c>
      <c r="E1" s="1">
        <v>2700</v>
      </c>
      <c r="F1" s="1" t="s">
        <v>28</v>
      </c>
      <c r="G1" s="1" t="s">
        <v>3</v>
      </c>
      <c r="H1" s="10">
        <v>70</v>
      </c>
      <c r="I1" s="32" t="s">
        <v>18</v>
      </c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5.6" x14ac:dyDescent="0.3">
      <c r="A2" s="1" t="s">
        <v>16</v>
      </c>
      <c r="B2" s="9">
        <f>E2*H1</f>
        <v>4.1999999999999996E-2</v>
      </c>
      <c r="C2" s="1" t="s">
        <v>17</v>
      </c>
      <c r="D2" s="1" t="s">
        <v>24</v>
      </c>
      <c r="E2" s="9">
        <v>5.9999999999999995E-4</v>
      </c>
      <c r="F2" s="1" t="s">
        <v>17</v>
      </c>
      <c r="H2" s="3"/>
      <c r="I2" s="32" t="s">
        <v>19</v>
      </c>
      <c r="J2" s="32"/>
      <c r="K2" s="32"/>
      <c r="L2" s="33"/>
      <c r="M2" s="33"/>
      <c r="N2" s="32"/>
      <c r="O2" s="32"/>
      <c r="P2" s="32"/>
      <c r="Q2" s="32"/>
      <c r="R2" s="32"/>
      <c r="S2" s="32"/>
    </row>
    <row r="3" spans="1:19" x14ac:dyDescent="0.3">
      <c r="A3" s="1" t="s">
        <v>6</v>
      </c>
      <c r="B3" s="14">
        <v>25000</v>
      </c>
      <c r="C3" s="1" t="s">
        <v>25</v>
      </c>
      <c r="D3" s="1" t="s">
        <v>6</v>
      </c>
      <c r="E3" s="14">
        <v>25000</v>
      </c>
      <c r="F3" s="1" t="s">
        <v>25</v>
      </c>
      <c r="G3" s="4"/>
    </row>
    <row r="4" spans="1:19" ht="15.6" x14ac:dyDescent="0.3">
      <c r="A4" s="1" t="s">
        <v>15</v>
      </c>
      <c r="B4" s="1">
        <f>E4*H1</f>
        <v>175</v>
      </c>
      <c r="C4" s="1" t="s">
        <v>26</v>
      </c>
      <c r="D4" s="1" t="s">
        <v>13</v>
      </c>
      <c r="E4" s="1">
        <v>2.5</v>
      </c>
      <c r="F4" s="1" t="s">
        <v>26</v>
      </c>
    </row>
    <row r="5" spans="1:19" x14ac:dyDescent="0.3">
      <c r="A5" s="1" t="s">
        <v>14</v>
      </c>
      <c r="B5" s="13">
        <v>0.01</v>
      </c>
      <c r="C5" s="1" t="s">
        <v>27</v>
      </c>
      <c r="E5" s="2"/>
    </row>
    <row r="7" spans="1:19" ht="28.8" x14ac:dyDescent="0.3">
      <c r="A7" s="12" t="s">
        <v>2</v>
      </c>
      <c r="B7" s="12" t="s">
        <v>5</v>
      </c>
      <c r="C7" s="12" t="s">
        <v>7</v>
      </c>
      <c r="D7" s="12" t="s">
        <v>20</v>
      </c>
      <c r="E7" s="12" t="s">
        <v>23</v>
      </c>
      <c r="F7" s="12" t="s">
        <v>21</v>
      </c>
      <c r="G7" s="16" t="s">
        <v>22</v>
      </c>
      <c r="H7" s="12" t="s">
        <v>8</v>
      </c>
      <c r="I7" s="12" t="s">
        <v>9</v>
      </c>
      <c r="J7" s="12" t="s">
        <v>10</v>
      </c>
      <c r="K7" s="12" t="s">
        <v>1</v>
      </c>
      <c r="L7" s="12" t="s">
        <v>11</v>
      </c>
      <c r="M7" s="12" t="s">
        <v>12</v>
      </c>
      <c r="N7" s="15" t="s">
        <v>30</v>
      </c>
      <c r="O7" s="15" t="s">
        <v>29</v>
      </c>
    </row>
    <row r="8" spans="1:19" x14ac:dyDescent="0.3">
      <c r="A8" s="5">
        <v>0</v>
      </c>
      <c r="B8" s="5">
        <f>B4</f>
        <v>175</v>
      </c>
      <c r="C8" s="6">
        <f>$B$1*B8</f>
        <v>6750</v>
      </c>
      <c r="D8" s="6">
        <f>POWER(C8,2)</f>
        <v>45562500</v>
      </c>
      <c r="E8" s="7">
        <f>4*$B$2*$B$3*POWER($B$1,2)</f>
        <v>6248571.4285714282</v>
      </c>
      <c r="F8" s="7">
        <f>POWER($B$1,2)*2*$B$2</f>
        <v>124.97142857142855</v>
      </c>
      <c r="G8" s="7">
        <f>D8-E8</f>
        <v>39313928.571428575</v>
      </c>
      <c r="H8" s="6">
        <f>SQRT(G8)</f>
        <v>6270.0820227034174</v>
      </c>
      <c r="I8" s="7">
        <f>(-C8+H8)/F8</f>
        <v>-3.840221583305989</v>
      </c>
      <c r="J8" s="7">
        <f>(-C8-H8)/F8</f>
        <v>-104.18446977471872</v>
      </c>
      <c r="K8" s="8">
        <f>-$B$1*I8</f>
        <v>148.12283249894529</v>
      </c>
      <c r="L8" s="8">
        <f>-$B$2*K8</f>
        <v>-6.2211589649557011</v>
      </c>
      <c r="M8" s="8">
        <f>B8+L8</f>
        <v>168.77884103504431</v>
      </c>
      <c r="N8" s="8">
        <f>K8*M8/1000</f>
        <v>24.999999999999982</v>
      </c>
      <c r="O8" s="8">
        <f>B8*K8/1000</f>
        <v>25.921495687315424</v>
      </c>
    </row>
    <row r="9" spans="1:19" x14ac:dyDescent="0.3">
      <c r="A9" s="5">
        <f>A8+$B$5</f>
        <v>0.01</v>
      </c>
      <c r="B9" s="5">
        <f>I8*$B$5+B8</f>
        <v>174.96159778416694</v>
      </c>
      <c r="C9" s="6">
        <f t="shared" ref="C9:C71" si="0">$B$1*B9</f>
        <v>6748.5187716750106</v>
      </c>
      <c r="D9" s="6">
        <f>POWER(C9,2)</f>
        <v>45542505.611649998</v>
      </c>
      <c r="E9" s="7">
        <f>4*$B$2*$B$3*POWER($B$1,2)</f>
        <v>6248571.4285714282</v>
      </c>
      <c r="F9" s="7">
        <f>POWER($B$1,2)*2*$B$2</f>
        <v>124.97142857142855</v>
      </c>
      <c r="G9" s="7">
        <f>D9-E9</f>
        <v>39293934.183078572</v>
      </c>
      <c r="H9" s="6">
        <f>SQRT(G9)</f>
        <v>6268.4873919533866</v>
      </c>
      <c r="I9" s="7">
        <f>(-C9+H9)/F9</f>
        <v>-3.8411290101181628</v>
      </c>
      <c r="J9" s="7">
        <f>(-C9-H9)/F9</f>
        <v>-104.15985727640467</v>
      </c>
      <c r="K9" s="8">
        <f t="shared" ref="K9:K72" si="1">-$B$1*I9</f>
        <v>148.15783324741483</v>
      </c>
      <c r="L9" s="8">
        <f t="shared" ref="L9:L72" si="2">-$B$2*K9</f>
        <v>-6.2226289963914221</v>
      </c>
      <c r="M9" s="8">
        <f t="shared" ref="M9:M71" si="3">B9+L9</f>
        <v>168.73896878777552</v>
      </c>
      <c r="N9" s="8">
        <f t="shared" ref="N9:N72" si="4">K9*M9/1000</f>
        <v>24.999999999999982</v>
      </c>
      <c r="O9" s="8">
        <f t="shared" ref="O9:O72" si="5">B9*K9/1000</f>
        <v>25.921931229207868</v>
      </c>
    </row>
    <row r="10" spans="1:19" x14ac:dyDescent="0.3">
      <c r="A10" s="5">
        <f t="shared" ref="A10:A73" si="6">A9+$B$5</f>
        <v>0.02</v>
      </c>
      <c r="B10" s="5">
        <f>I9*$B$5+B9</f>
        <v>174.92318649406576</v>
      </c>
      <c r="C10" s="6">
        <f t="shared" si="0"/>
        <v>6747.0371933425358</v>
      </c>
      <c r="D10" s="6">
        <f t="shared" ref="D10:D73" si="7">POWER(C10,2)</f>
        <v>45522510.888347521</v>
      </c>
      <c r="E10" s="7">
        <f t="shared" ref="E10:E73" si="8">4*$B$2*$B$3*POWER($B$1,2)</f>
        <v>6248571.4285714282</v>
      </c>
      <c r="F10" s="7">
        <f t="shared" ref="F10:F73" si="9">POWER($B$1,2)*2*$B$2</f>
        <v>124.97142857142855</v>
      </c>
      <c r="G10" s="7">
        <f t="shared" ref="G10:G73" si="10">D10-E10</f>
        <v>39273939.459776096</v>
      </c>
      <c r="H10" s="6">
        <f t="shared" ref="H10:H73" si="11">SQRT(G10)</f>
        <v>6266.8923287205198</v>
      </c>
      <c r="I10" s="7">
        <f t="shared" ref="I10:I73" si="12">(-C10+H10)/F10</f>
        <v>-3.8420370968839883</v>
      </c>
      <c r="J10" s="7">
        <f t="shared" ref="J10:J73" si="13">(-C10-H10)/F10</f>
        <v>-104.13523851673686</v>
      </c>
      <c r="K10" s="8">
        <f t="shared" si="1"/>
        <v>148.19285945123954</v>
      </c>
      <c r="L10" s="8">
        <f t="shared" si="2"/>
        <v>-6.2241000969520606</v>
      </c>
      <c r="M10" s="8">
        <f t="shared" si="3"/>
        <v>168.69908639711369</v>
      </c>
      <c r="N10" s="8">
        <f t="shared" si="4"/>
        <v>24.999999999999986</v>
      </c>
      <c r="O10" s="8">
        <f t="shared" si="5"/>
        <v>25.922367190878049</v>
      </c>
    </row>
    <row r="11" spans="1:19" x14ac:dyDescent="0.3">
      <c r="A11" s="5">
        <f t="shared" si="6"/>
        <v>0.03</v>
      </c>
      <c r="B11" s="5">
        <f t="shared" ref="B11:B72" si="14">I10*$B$5+B10</f>
        <v>174.88476612309691</v>
      </c>
      <c r="C11" s="6">
        <f t="shared" si="0"/>
        <v>6745.5552647480235</v>
      </c>
      <c r="D11" s="6">
        <f t="shared" si="7"/>
        <v>45502515.829769775</v>
      </c>
      <c r="E11" s="7">
        <f t="shared" si="8"/>
        <v>6248571.4285714282</v>
      </c>
      <c r="F11" s="7">
        <f t="shared" si="9"/>
        <v>124.97142857142855</v>
      </c>
      <c r="G11" s="7">
        <f t="shared" si="10"/>
        <v>39253944.40119835</v>
      </c>
      <c r="H11" s="6">
        <f t="shared" si="11"/>
        <v>6265.2968326487417</v>
      </c>
      <c r="I11" s="7">
        <f t="shared" si="12"/>
        <v>-3.8429458444158366</v>
      </c>
      <c r="J11" s="7">
        <f t="shared" si="13"/>
        <v>-104.11061349082918</v>
      </c>
      <c r="K11" s="8">
        <f t="shared" si="1"/>
        <v>148.22791114175368</v>
      </c>
      <c r="L11" s="8">
        <f t="shared" si="2"/>
        <v>-6.2255722679536536</v>
      </c>
      <c r="M11" s="8">
        <f t="shared" si="3"/>
        <v>168.65919385514326</v>
      </c>
      <c r="N11" s="8">
        <f t="shared" si="4"/>
        <v>24.999999999999982</v>
      </c>
      <c r="O11" s="8">
        <f t="shared" si="5"/>
        <v>25.922803572940783</v>
      </c>
    </row>
    <row r="12" spans="1:19" x14ac:dyDescent="0.3">
      <c r="A12" s="5">
        <f t="shared" si="6"/>
        <v>0.04</v>
      </c>
      <c r="B12" s="5">
        <f t="shared" si="14"/>
        <v>174.84633666465274</v>
      </c>
      <c r="C12" s="6">
        <f t="shared" si="0"/>
        <v>6744.0729856366052</v>
      </c>
      <c r="D12" s="6">
        <f t="shared" si="7"/>
        <v>45482520.435593434</v>
      </c>
      <c r="E12" s="7">
        <f t="shared" si="8"/>
        <v>6248571.4285714282</v>
      </c>
      <c r="F12" s="7">
        <f t="shared" si="9"/>
        <v>124.97142857142855</v>
      </c>
      <c r="G12" s="7">
        <f t="shared" si="10"/>
        <v>39233949.007022008</v>
      </c>
      <c r="H12" s="6">
        <f t="shared" si="11"/>
        <v>6263.7009033814829</v>
      </c>
      <c r="I12" s="7">
        <f t="shared" si="12"/>
        <v>-3.843855253527499</v>
      </c>
      <c r="J12" s="7">
        <f t="shared" si="13"/>
        <v>-104.08598219378902</v>
      </c>
      <c r="K12" s="8">
        <f t="shared" si="1"/>
        <v>148.26298835034638</v>
      </c>
      <c r="L12" s="8">
        <f t="shared" si="2"/>
        <v>-6.2270455107145475</v>
      </c>
      <c r="M12" s="8">
        <f t="shared" si="3"/>
        <v>168.61929115393818</v>
      </c>
      <c r="N12" s="8">
        <f t="shared" si="4"/>
        <v>25</v>
      </c>
      <c r="O12" s="8">
        <f t="shared" si="5"/>
        <v>25.923240376012149</v>
      </c>
    </row>
    <row r="13" spans="1:19" x14ac:dyDescent="0.3">
      <c r="A13" s="5">
        <f t="shared" si="6"/>
        <v>0.05</v>
      </c>
      <c r="B13" s="5">
        <f t="shared" si="14"/>
        <v>174.80789811211747</v>
      </c>
      <c r="C13" s="6">
        <f t="shared" si="0"/>
        <v>6742.5903557531019</v>
      </c>
      <c r="D13" s="6">
        <f t="shared" si="7"/>
        <v>45462524.705494739</v>
      </c>
      <c r="E13" s="7">
        <f t="shared" si="8"/>
        <v>6248571.4285714282</v>
      </c>
      <c r="F13" s="7">
        <f t="shared" si="9"/>
        <v>124.97142857142855</v>
      </c>
      <c r="G13" s="7">
        <f t="shared" si="10"/>
        <v>39213953.276923314</v>
      </c>
      <c r="H13" s="6">
        <f t="shared" si="11"/>
        <v>6262.1045405616887</v>
      </c>
      <c r="I13" s="7">
        <f t="shared" si="12"/>
        <v>-3.8447653250341709</v>
      </c>
      <c r="J13" s="7">
        <f t="shared" si="13"/>
        <v>-104.06134462071738</v>
      </c>
      <c r="K13" s="8">
        <f t="shared" si="1"/>
        <v>148.29809110846088</v>
      </c>
      <c r="L13" s="8">
        <f t="shared" si="2"/>
        <v>-6.2285198265553561</v>
      </c>
      <c r="M13" s="8">
        <f t="shared" si="3"/>
        <v>168.57937828556211</v>
      </c>
      <c r="N13" s="8">
        <f t="shared" si="4"/>
        <v>24.999999999999982</v>
      </c>
      <c r="O13" s="8">
        <f t="shared" si="5"/>
        <v>25.923677600709343</v>
      </c>
    </row>
    <row r="14" spans="1:19" x14ac:dyDescent="0.3">
      <c r="A14" s="5">
        <f t="shared" si="6"/>
        <v>6.0000000000000005E-2</v>
      </c>
      <c r="B14" s="5">
        <f t="shared" si="14"/>
        <v>174.76945045886714</v>
      </c>
      <c r="C14" s="6">
        <f t="shared" si="0"/>
        <v>6741.1073748420176</v>
      </c>
      <c r="D14" s="6">
        <f t="shared" si="7"/>
        <v>45442528.639149435</v>
      </c>
      <c r="E14" s="7">
        <f t="shared" si="8"/>
        <v>6248571.4285714282</v>
      </c>
      <c r="F14" s="7">
        <f t="shared" si="9"/>
        <v>124.97142857142855</v>
      </c>
      <c r="G14" s="7">
        <f t="shared" si="10"/>
        <v>39193957.210578009</v>
      </c>
      <c r="H14" s="6">
        <f t="shared" si="11"/>
        <v>6260.5077438318058</v>
      </c>
      <c r="I14" s="7">
        <f t="shared" si="12"/>
        <v>-3.8456760597524959</v>
      </c>
      <c r="J14" s="7">
        <f t="shared" si="13"/>
        <v>-104.03670076670872</v>
      </c>
      <c r="K14" s="8">
        <f t="shared" si="1"/>
        <v>148.33321944759626</v>
      </c>
      <c r="L14" s="8">
        <f t="shared" si="2"/>
        <v>-6.2299952167990424</v>
      </c>
      <c r="M14" s="8">
        <f t="shared" si="3"/>
        <v>168.5394552420681</v>
      </c>
      <c r="N14" s="8">
        <f t="shared" si="4"/>
        <v>25.000000000000014</v>
      </c>
      <c r="O14" s="8">
        <f t="shared" si="5"/>
        <v>25.924115247650942</v>
      </c>
    </row>
    <row r="15" spans="1:19" x14ac:dyDescent="0.3">
      <c r="A15" s="5">
        <f t="shared" si="6"/>
        <v>7.0000000000000007E-2</v>
      </c>
      <c r="B15" s="5">
        <f t="shared" si="14"/>
        <v>174.73099369826963</v>
      </c>
      <c r="C15" s="6">
        <f t="shared" si="0"/>
        <v>6739.6240426475424</v>
      </c>
      <c r="D15" s="6">
        <f t="shared" si="7"/>
        <v>45422532.236232802</v>
      </c>
      <c r="E15" s="7">
        <f t="shared" si="8"/>
        <v>6248571.4285714282</v>
      </c>
      <c r="F15" s="7">
        <f t="shared" si="9"/>
        <v>124.97142857142855</v>
      </c>
      <c r="G15" s="7">
        <f t="shared" si="10"/>
        <v>39173960.807661377</v>
      </c>
      <c r="H15" s="6">
        <f t="shared" si="11"/>
        <v>6258.9105128337933</v>
      </c>
      <c r="I15" s="7">
        <f t="shared" si="12"/>
        <v>-3.8465874585005082</v>
      </c>
      <c r="J15" s="7">
        <f t="shared" si="13"/>
        <v>-104.01205062685113</v>
      </c>
      <c r="K15" s="8">
        <f t="shared" si="1"/>
        <v>148.36837339930531</v>
      </c>
      <c r="L15" s="8">
        <f t="shared" si="2"/>
        <v>-6.2314716827708221</v>
      </c>
      <c r="M15" s="8">
        <f t="shared" si="3"/>
        <v>168.4995220154988</v>
      </c>
      <c r="N15" s="8">
        <f t="shared" si="4"/>
        <v>24.999999999999993</v>
      </c>
      <c r="O15" s="8">
        <f t="shared" si="5"/>
        <v>25.924553317456532</v>
      </c>
    </row>
    <row r="16" spans="1:19" x14ac:dyDescent="0.3">
      <c r="A16" s="5">
        <f t="shared" si="6"/>
        <v>0.08</v>
      </c>
      <c r="B16" s="5">
        <f t="shared" si="14"/>
        <v>174.69252782368463</v>
      </c>
      <c r="C16" s="6">
        <f t="shared" si="0"/>
        <v>6738.1403589135498</v>
      </c>
      <c r="D16" s="6">
        <f t="shared" si="7"/>
        <v>45402535.496419623</v>
      </c>
      <c r="E16" s="7">
        <f t="shared" si="8"/>
        <v>6248571.4285714282</v>
      </c>
      <c r="F16" s="7">
        <f t="shared" si="9"/>
        <v>124.97142857142855</v>
      </c>
      <c r="G16" s="7">
        <f t="shared" si="10"/>
        <v>39153964.067848198</v>
      </c>
      <c r="H16" s="6">
        <f t="shared" si="11"/>
        <v>6257.3128472091112</v>
      </c>
      <c r="I16" s="7">
        <f t="shared" si="12"/>
        <v>-3.8474995220977033</v>
      </c>
      <c r="J16" s="7">
        <f t="shared" si="13"/>
        <v>-103.98739419622615</v>
      </c>
      <c r="K16" s="8">
        <f t="shared" si="1"/>
        <v>148.40355299519712</v>
      </c>
      <c r="L16" s="8">
        <f t="shared" si="2"/>
        <v>-6.2329492257982784</v>
      </c>
      <c r="M16" s="8">
        <f t="shared" si="3"/>
        <v>168.45957859788635</v>
      </c>
      <c r="N16" s="8">
        <f t="shared" si="4"/>
        <v>25</v>
      </c>
      <c r="O16" s="8">
        <f t="shared" si="5"/>
        <v>25.924991810747127</v>
      </c>
    </row>
    <row r="17" spans="1:15" x14ac:dyDescent="0.3">
      <c r="A17" s="5">
        <f t="shared" si="6"/>
        <v>0.09</v>
      </c>
      <c r="B17" s="5">
        <f t="shared" si="14"/>
        <v>174.65405282846365</v>
      </c>
      <c r="C17" s="6">
        <f t="shared" si="0"/>
        <v>6736.6563233835977</v>
      </c>
      <c r="D17" s="6">
        <f t="shared" si="7"/>
        <v>45382538.419384211</v>
      </c>
      <c r="E17" s="7">
        <f t="shared" si="8"/>
        <v>6248571.4285714282</v>
      </c>
      <c r="F17" s="7">
        <f t="shared" si="9"/>
        <v>124.97142857142855</v>
      </c>
      <c r="G17" s="7">
        <f t="shared" si="10"/>
        <v>39133966.990812786</v>
      </c>
      <c r="H17" s="6">
        <f t="shared" si="11"/>
        <v>6255.7147465987282</v>
      </c>
      <c r="I17" s="7">
        <f t="shared" si="12"/>
        <v>-3.8484122513649832</v>
      </c>
      <c r="J17" s="7">
        <f t="shared" si="13"/>
        <v>-103.96273146990889</v>
      </c>
      <c r="K17" s="8">
        <f t="shared" si="1"/>
        <v>148.43875826693505</v>
      </c>
      <c r="L17" s="8">
        <f t="shared" si="2"/>
        <v>-6.234427847211272</v>
      </c>
      <c r="M17" s="8">
        <f t="shared" si="3"/>
        <v>168.41962498125238</v>
      </c>
      <c r="N17" s="8">
        <f t="shared" si="4"/>
        <v>24.999999999999979</v>
      </c>
      <c r="O17" s="8">
        <f t="shared" si="5"/>
        <v>25.925430728144821</v>
      </c>
    </row>
    <row r="18" spans="1:15" x14ac:dyDescent="0.3">
      <c r="A18" s="5">
        <f t="shared" si="6"/>
        <v>9.9999999999999992E-2</v>
      </c>
      <c r="B18" s="5">
        <f t="shared" si="14"/>
        <v>174.61556870595001</v>
      </c>
      <c r="C18" s="6">
        <f t="shared" si="0"/>
        <v>6735.1719358009286</v>
      </c>
      <c r="D18" s="6">
        <f t="shared" si="7"/>
        <v>45362541.004800431</v>
      </c>
      <c r="E18" s="7">
        <f t="shared" si="8"/>
        <v>6248571.4285714282</v>
      </c>
      <c r="F18" s="7">
        <f t="shared" si="9"/>
        <v>124.97142857142855</v>
      </c>
      <c r="G18" s="7">
        <f t="shared" si="10"/>
        <v>39113969.576229006</v>
      </c>
      <c r="H18" s="6">
        <f t="shared" si="11"/>
        <v>6254.1162106431157</v>
      </c>
      <c r="I18" s="7">
        <f t="shared" si="12"/>
        <v>-3.8493256471247044</v>
      </c>
      <c r="J18" s="7">
        <f t="shared" si="13"/>
        <v>-103.9380624429679</v>
      </c>
      <c r="K18" s="8">
        <f t="shared" si="1"/>
        <v>148.4739892462386</v>
      </c>
      <c r="L18" s="8">
        <f t="shared" si="2"/>
        <v>-6.2359075483420208</v>
      </c>
      <c r="M18" s="8">
        <f t="shared" si="3"/>
        <v>168.37966115760798</v>
      </c>
      <c r="N18" s="8">
        <f t="shared" si="4"/>
        <v>24.999999999999989</v>
      </c>
      <c r="O18" s="8">
        <f t="shared" si="5"/>
        <v>25.92587007027306</v>
      </c>
    </row>
    <row r="19" spans="1:15" x14ac:dyDescent="0.3">
      <c r="A19" s="5">
        <f t="shared" si="6"/>
        <v>0.10999999999999999</v>
      </c>
      <c r="B19" s="5">
        <f t="shared" si="14"/>
        <v>174.57707544947877</v>
      </c>
      <c r="C19" s="6">
        <f t="shared" si="0"/>
        <v>6733.6871959084665</v>
      </c>
      <c r="D19" s="6">
        <f t="shared" si="7"/>
        <v>45342543.252341628</v>
      </c>
      <c r="E19" s="7">
        <f t="shared" si="8"/>
        <v>6248571.4285714282</v>
      </c>
      <c r="F19" s="7">
        <f t="shared" si="9"/>
        <v>124.97142857142855</v>
      </c>
      <c r="G19" s="7">
        <f t="shared" si="10"/>
        <v>39093971.823770203</v>
      </c>
      <c r="H19" s="6">
        <f t="shared" si="11"/>
        <v>6252.5172389822483</v>
      </c>
      <c r="I19" s="7">
        <f t="shared" si="12"/>
        <v>-3.8502397102006496</v>
      </c>
      <c r="J19" s="7">
        <f t="shared" si="13"/>
        <v>-103.91338711046528</v>
      </c>
      <c r="K19" s="8">
        <f t="shared" si="1"/>
        <v>148.50924596488218</v>
      </c>
      <c r="L19" s="8">
        <f t="shared" si="2"/>
        <v>-6.237388330525051</v>
      </c>
      <c r="M19" s="8">
        <f t="shared" si="3"/>
        <v>168.33968711895372</v>
      </c>
      <c r="N19" s="8">
        <f t="shared" si="4"/>
        <v>25.000000000000007</v>
      </c>
      <c r="O19" s="8">
        <f t="shared" si="5"/>
        <v>25.926309837756438</v>
      </c>
    </row>
    <row r="20" spans="1:15" x14ac:dyDescent="0.3">
      <c r="A20" s="5">
        <f t="shared" si="6"/>
        <v>0.11999999999999998</v>
      </c>
      <c r="B20" s="5">
        <f t="shared" si="14"/>
        <v>174.53857305237676</v>
      </c>
      <c r="C20" s="6">
        <f t="shared" si="0"/>
        <v>6732.202103448818</v>
      </c>
      <c r="D20" s="6">
        <f t="shared" si="7"/>
        <v>45322545.161680691</v>
      </c>
      <c r="E20" s="7">
        <f t="shared" si="8"/>
        <v>6248571.4285714282</v>
      </c>
      <c r="F20" s="7">
        <f t="shared" si="9"/>
        <v>124.97142857142855</v>
      </c>
      <c r="G20" s="7">
        <f t="shared" si="10"/>
        <v>39073973.733109266</v>
      </c>
      <c r="H20" s="6">
        <f t="shared" si="11"/>
        <v>6250.9178312556041</v>
      </c>
      <c r="I20" s="7">
        <f t="shared" si="12"/>
        <v>-3.8511544414180356</v>
      </c>
      <c r="J20" s="7">
        <f t="shared" si="13"/>
        <v>-103.88870546745653</v>
      </c>
      <c r="K20" s="8">
        <f t="shared" si="1"/>
        <v>148.54452845469567</v>
      </c>
      <c r="L20" s="8">
        <f t="shared" si="2"/>
        <v>-6.238870195097217</v>
      </c>
      <c r="M20" s="8">
        <f t="shared" si="3"/>
        <v>168.29970285727956</v>
      </c>
      <c r="N20" s="8">
        <f t="shared" si="4"/>
        <v>24.999999999999989</v>
      </c>
      <c r="O20" s="8">
        <f t="shared" si="5"/>
        <v>25.926750031220759</v>
      </c>
    </row>
    <row r="21" spans="1:15" x14ac:dyDescent="0.3">
      <c r="A21" s="5">
        <f t="shared" si="6"/>
        <v>0.12999999999999998</v>
      </c>
      <c r="B21" s="5">
        <f t="shared" si="14"/>
        <v>174.50006150796258</v>
      </c>
      <c r="C21" s="6">
        <f t="shared" si="0"/>
        <v>6730.7166581642705</v>
      </c>
      <c r="D21" s="6">
        <f t="shared" si="7"/>
        <v>45302546.732490003</v>
      </c>
      <c r="E21" s="7">
        <f t="shared" si="8"/>
        <v>6248571.4285714282</v>
      </c>
      <c r="F21" s="7">
        <f t="shared" si="9"/>
        <v>124.97142857142855</v>
      </c>
      <c r="G21" s="7">
        <f t="shared" si="10"/>
        <v>39053975.303918578</v>
      </c>
      <c r="H21" s="6">
        <f t="shared" si="11"/>
        <v>6249.3179871021584</v>
      </c>
      <c r="I21" s="7">
        <f t="shared" si="12"/>
        <v>-3.8520698416035493</v>
      </c>
      <c r="J21" s="7">
        <f t="shared" si="13"/>
        <v>-103.86401750899066</v>
      </c>
      <c r="K21" s="8">
        <f t="shared" si="1"/>
        <v>148.57983674756545</v>
      </c>
      <c r="L21" s="8">
        <f t="shared" si="2"/>
        <v>-6.2403531433977486</v>
      </c>
      <c r="M21" s="8">
        <f t="shared" si="3"/>
        <v>168.25970836456483</v>
      </c>
      <c r="N21" s="8">
        <f t="shared" si="4"/>
        <v>25.000000000000014</v>
      </c>
      <c r="O21" s="8">
        <f t="shared" si="5"/>
        <v>25.927190651293213</v>
      </c>
    </row>
    <row r="22" spans="1:15" x14ac:dyDescent="0.3">
      <c r="A22" s="5">
        <f t="shared" si="6"/>
        <v>0.13999999999999999</v>
      </c>
      <c r="B22" s="5">
        <f t="shared" si="14"/>
        <v>174.46154080954656</v>
      </c>
      <c r="C22" s="6">
        <f t="shared" si="0"/>
        <v>6729.2308597967958</v>
      </c>
      <c r="D22" s="6">
        <f t="shared" si="7"/>
        <v>45282547.964441523</v>
      </c>
      <c r="E22" s="7">
        <f t="shared" si="8"/>
        <v>6248571.4285714282</v>
      </c>
      <c r="F22" s="7">
        <f t="shared" si="9"/>
        <v>124.97142857142855</v>
      </c>
      <c r="G22" s="7">
        <f t="shared" si="10"/>
        <v>39033976.535870098</v>
      </c>
      <c r="H22" s="6">
        <f t="shared" si="11"/>
        <v>6247.7177061603943</v>
      </c>
      <c r="I22" s="7">
        <f t="shared" si="12"/>
        <v>-3.8529859115852894</v>
      </c>
      <c r="J22" s="7">
        <f t="shared" si="13"/>
        <v>-103.83932323011014</v>
      </c>
      <c r="K22" s="8">
        <f t="shared" si="1"/>
        <v>148.61517087543257</v>
      </c>
      <c r="L22" s="8">
        <f t="shared" si="2"/>
        <v>-6.2418371767681675</v>
      </c>
      <c r="M22" s="8">
        <f t="shared" si="3"/>
        <v>168.21970363277839</v>
      </c>
      <c r="N22" s="8">
        <f t="shared" si="4"/>
        <v>24.999999999999986</v>
      </c>
      <c r="O22" s="8">
        <f t="shared" si="5"/>
        <v>25.927631698602013</v>
      </c>
    </row>
    <row r="23" spans="1:15" x14ac:dyDescent="0.3">
      <c r="A23" s="5">
        <f t="shared" si="6"/>
        <v>0.15</v>
      </c>
      <c r="B23" s="5">
        <f t="shared" si="14"/>
        <v>174.42301095043072</v>
      </c>
      <c r="C23" s="6">
        <f t="shared" si="0"/>
        <v>6727.744708088042</v>
      </c>
      <c r="D23" s="6">
        <f t="shared" si="7"/>
        <v>45262548.85720665</v>
      </c>
      <c r="E23" s="7">
        <f t="shared" si="8"/>
        <v>6248571.4285714282</v>
      </c>
      <c r="F23" s="7">
        <f t="shared" si="9"/>
        <v>124.97142857142855</v>
      </c>
      <c r="G23" s="7">
        <f t="shared" si="10"/>
        <v>39013977.428635225</v>
      </c>
      <c r="H23" s="6">
        <f t="shared" si="11"/>
        <v>6246.1169880682846</v>
      </c>
      <c r="I23" s="7">
        <f t="shared" si="12"/>
        <v>-3.8539026521928466</v>
      </c>
      <c r="J23" s="7">
        <f t="shared" si="13"/>
        <v>-103.81462262585083</v>
      </c>
      <c r="K23" s="8">
        <f t="shared" si="1"/>
        <v>148.65053087029551</v>
      </c>
      <c r="L23" s="8">
        <f t="shared" si="2"/>
        <v>-6.2433222965524111</v>
      </c>
      <c r="M23" s="8">
        <f t="shared" si="3"/>
        <v>168.17968865387832</v>
      </c>
      <c r="N23" s="8">
        <f t="shared" si="4"/>
        <v>25.000000000000025</v>
      </c>
      <c r="O23" s="8">
        <f t="shared" si="5"/>
        <v>25.928073173776895</v>
      </c>
    </row>
    <row r="24" spans="1:15" x14ac:dyDescent="0.3">
      <c r="A24" s="5">
        <f t="shared" si="6"/>
        <v>0.16</v>
      </c>
      <c r="B24" s="5">
        <f t="shared" si="14"/>
        <v>174.38447192390879</v>
      </c>
      <c r="C24" s="6">
        <f t="shared" si="0"/>
        <v>6726.2582027793387</v>
      </c>
      <c r="D24" s="6">
        <f t="shared" si="7"/>
        <v>45242549.410456337</v>
      </c>
      <c r="E24" s="7">
        <f t="shared" si="8"/>
        <v>6248571.4285714282</v>
      </c>
      <c r="F24" s="7">
        <f t="shared" si="9"/>
        <v>124.97142857142855</v>
      </c>
      <c r="G24" s="7">
        <f t="shared" si="10"/>
        <v>38993977.981884912</v>
      </c>
      <c r="H24" s="6">
        <f t="shared" si="11"/>
        <v>6244.5158324633076</v>
      </c>
      <c r="I24" s="7">
        <f t="shared" si="12"/>
        <v>-3.8548200642572232</v>
      </c>
      <c r="J24" s="7">
        <f t="shared" si="13"/>
        <v>-103.78991569124204</v>
      </c>
      <c r="K24" s="8">
        <f t="shared" si="1"/>
        <v>148.68591676420718</v>
      </c>
      <c r="L24" s="8">
        <f t="shared" si="2"/>
        <v>-6.2448085040967012</v>
      </c>
      <c r="M24" s="8">
        <f t="shared" si="3"/>
        <v>168.13966341981208</v>
      </c>
      <c r="N24" s="8">
        <f t="shared" si="4"/>
        <v>24.999999999999989</v>
      </c>
      <c r="O24" s="8">
        <f t="shared" si="5"/>
        <v>25.928515077448527</v>
      </c>
    </row>
    <row r="25" spans="1:15" x14ac:dyDescent="0.3">
      <c r="A25" s="5">
        <f t="shared" si="6"/>
        <v>0.17</v>
      </c>
      <c r="B25" s="5">
        <f t="shared" si="14"/>
        <v>174.34592372326622</v>
      </c>
      <c r="C25" s="6">
        <f t="shared" si="0"/>
        <v>6724.7713436116965</v>
      </c>
      <c r="D25" s="6">
        <f t="shared" si="7"/>
        <v>45222549.62386106</v>
      </c>
      <c r="E25" s="7">
        <f t="shared" si="8"/>
        <v>6248571.4285714282</v>
      </c>
      <c r="F25" s="7">
        <f t="shared" si="9"/>
        <v>124.97142857142855</v>
      </c>
      <c r="G25" s="7">
        <f t="shared" si="10"/>
        <v>38973978.195289634</v>
      </c>
      <c r="H25" s="6">
        <f t="shared" si="11"/>
        <v>6242.9142389824347</v>
      </c>
      <c r="I25" s="7">
        <f t="shared" si="12"/>
        <v>-3.8557381486109206</v>
      </c>
      <c r="J25" s="7">
        <f t="shared" si="13"/>
        <v>-103.76520242130651</v>
      </c>
      <c r="K25" s="8">
        <f t="shared" si="1"/>
        <v>148.72132858927836</v>
      </c>
      <c r="L25" s="8">
        <f t="shared" si="2"/>
        <v>-6.2462958007496905</v>
      </c>
      <c r="M25" s="8">
        <f t="shared" si="3"/>
        <v>168.09962792251653</v>
      </c>
      <c r="N25" s="8">
        <f t="shared" si="4"/>
        <v>25.000000000000011</v>
      </c>
      <c r="O25" s="8">
        <f t="shared" si="5"/>
        <v>25.92895741024914</v>
      </c>
    </row>
    <row r="26" spans="1:15" x14ac:dyDescent="0.3">
      <c r="A26" s="5">
        <f t="shared" si="6"/>
        <v>0.18000000000000002</v>
      </c>
      <c r="B26" s="5">
        <f t="shared" si="14"/>
        <v>174.30736634178012</v>
      </c>
      <c r="C26" s="6">
        <f t="shared" si="0"/>
        <v>6723.2841303258047</v>
      </c>
      <c r="D26" s="6">
        <f t="shared" si="7"/>
        <v>45202549.497090809</v>
      </c>
      <c r="E26" s="7">
        <f t="shared" si="8"/>
        <v>6248571.4285714282</v>
      </c>
      <c r="F26" s="7">
        <f t="shared" si="9"/>
        <v>124.97142857142855</v>
      </c>
      <c r="G26" s="7">
        <f t="shared" si="10"/>
        <v>38953978.068519384</v>
      </c>
      <c r="H26" s="6">
        <f t="shared" si="11"/>
        <v>6241.3122072621381</v>
      </c>
      <c r="I26" s="7">
        <f t="shared" si="12"/>
        <v>-3.856656906087867</v>
      </c>
      <c r="J26" s="7">
        <f t="shared" si="13"/>
        <v>-103.74048281106039</v>
      </c>
      <c r="K26" s="8">
        <f t="shared" si="1"/>
        <v>148.75676637767486</v>
      </c>
      <c r="L26" s="8">
        <f t="shared" si="2"/>
        <v>-6.2477841878623437</v>
      </c>
      <c r="M26" s="8">
        <f t="shared" si="3"/>
        <v>168.05958215391777</v>
      </c>
      <c r="N26" s="8">
        <f t="shared" si="4"/>
        <v>25.000000000000004</v>
      </c>
      <c r="O26" s="8">
        <f t="shared" si="5"/>
        <v>25.929400172811974</v>
      </c>
    </row>
    <row r="27" spans="1:15" x14ac:dyDescent="0.3">
      <c r="A27" s="5">
        <f t="shared" si="6"/>
        <v>0.19000000000000003</v>
      </c>
      <c r="B27" s="5">
        <f t="shared" si="14"/>
        <v>174.26879977271923</v>
      </c>
      <c r="C27" s="6">
        <f t="shared" si="0"/>
        <v>6721.7965626620271</v>
      </c>
      <c r="D27" s="6">
        <f t="shared" si="7"/>
        <v>45182549.029815041</v>
      </c>
      <c r="E27" s="7">
        <f t="shared" si="8"/>
        <v>6248571.4285714282</v>
      </c>
      <c r="F27" s="7">
        <f t="shared" si="9"/>
        <v>124.97142857142855</v>
      </c>
      <c r="G27" s="7">
        <f t="shared" si="10"/>
        <v>38933977.601243615</v>
      </c>
      <c r="H27" s="6">
        <f t="shared" si="11"/>
        <v>6239.7097369383791</v>
      </c>
      <c r="I27" s="7">
        <f t="shared" si="12"/>
        <v>-3.8575763375234757</v>
      </c>
      <c r="J27" s="7">
        <f t="shared" si="13"/>
        <v>-103.71575685551309</v>
      </c>
      <c r="K27" s="8">
        <f t="shared" si="1"/>
        <v>148.79223016161978</v>
      </c>
      <c r="L27" s="8">
        <f t="shared" si="2"/>
        <v>-6.2492736667880306</v>
      </c>
      <c r="M27" s="8">
        <f t="shared" si="3"/>
        <v>168.01952610593119</v>
      </c>
      <c r="N27" s="8">
        <f t="shared" si="4"/>
        <v>24.999999999999996</v>
      </c>
      <c r="O27" s="8">
        <f t="shared" si="5"/>
        <v>25.929843365771674</v>
      </c>
    </row>
    <row r="28" spans="1:15" x14ac:dyDescent="0.3">
      <c r="A28" s="5">
        <f t="shared" si="6"/>
        <v>0.20000000000000004</v>
      </c>
      <c r="B28" s="5">
        <f t="shared" si="14"/>
        <v>174.230224009344</v>
      </c>
      <c r="C28" s="6">
        <f t="shared" si="0"/>
        <v>6720.3086403604111</v>
      </c>
      <c r="D28" s="6">
        <f t="shared" si="7"/>
        <v>45162548.221702799</v>
      </c>
      <c r="E28" s="7">
        <f t="shared" si="8"/>
        <v>6248571.4285714282</v>
      </c>
      <c r="F28" s="7">
        <f t="shared" si="9"/>
        <v>124.97142857142855</v>
      </c>
      <c r="G28" s="7">
        <f t="shared" si="10"/>
        <v>38913976.793131374</v>
      </c>
      <c r="H28" s="6">
        <f t="shared" si="11"/>
        <v>6238.1068276466194</v>
      </c>
      <c r="I28" s="7">
        <f t="shared" si="12"/>
        <v>-3.8584964437546212</v>
      </c>
      <c r="J28" s="7">
        <f t="shared" si="13"/>
        <v>-103.69102454966763</v>
      </c>
      <c r="K28" s="8">
        <f t="shared" si="1"/>
        <v>148.82771997339253</v>
      </c>
      <c r="L28" s="8">
        <f t="shared" si="2"/>
        <v>-6.2507642388824856</v>
      </c>
      <c r="M28" s="8">
        <f t="shared" si="3"/>
        <v>167.97945977046152</v>
      </c>
      <c r="N28" s="8">
        <f t="shared" si="4"/>
        <v>25.000000000000004</v>
      </c>
      <c r="O28" s="8">
        <f t="shared" si="5"/>
        <v>25.930286989764099</v>
      </c>
    </row>
    <row r="29" spans="1:15" x14ac:dyDescent="0.3">
      <c r="A29" s="5">
        <f t="shared" si="6"/>
        <v>0.21000000000000005</v>
      </c>
      <c r="B29" s="5">
        <f t="shared" si="14"/>
        <v>174.19163904490645</v>
      </c>
      <c r="C29" s="6">
        <f t="shared" si="0"/>
        <v>6718.8203631606775</v>
      </c>
      <c r="D29" s="6">
        <f t="shared" si="7"/>
        <v>45142547.072422579</v>
      </c>
      <c r="E29" s="7">
        <f t="shared" si="8"/>
        <v>6248571.4285714282</v>
      </c>
      <c r="F29" s="7">
        <f t="shared" si="9"/>
        <v>124.97142857142855</v>
      </c>
      <c r="G29" s="7">
        <f t="shared" si="10"/>
        <v>38893975.643851154</v>
      </c>
      <c r="H29" s="6">
        <f t="shared" si="11"/>
        <v>6236.5034790218115</v>
      </c>
      <c r="I29" s="7">
        <f t="shared" si="12"/>
        <v>-3.8594172256196422</v>
      </c>
      <c r="J29" s="7">
        <f t="shared" si="13"/>
        <v>-103.66628588852018</v>
      </c>
      <c r="K29" s="8">
        <f t="shared" si="1"/>
        <v>148.86323584532906</v>
      </c>
      <c r="L29" s="8">
        <f t="shared" si="2"/>
        <v>-6.2522559055038194</v>
      </c>
      <c r="M29" s="8">
        <f t="shared" si="3"/>
        <v>167.93938313940262</v>
      </c>
      <c r="N29" s="8">
        <f t="shared" si="4"/>
        <v>24.999999999999972</v>
      </c>
      <c r="O29" s="8">
        <f t="shared" si="5"/>
        <v>25.930731045426338</v>
      </c>
    </row>
    <row r="30" spans="1:15" x14ac:dyDescent="0.3">
      <c r="A30" s="5">
        <f t="shared" si="6"/>
        <v>0.22000000000000006</v>
      </c>
      <c r="B30" s="5">
        <f t="shared" si="14"/>
        <v>174.15304487265027</v>
      </c>
      <c r="C30" s="6">
        <f t="shared" si="0"/>
        <v>6717.3317308022242</v>
      </c>
      <c r="D30" s="6">
        <f t="shared" si="7"/>
        <v>45122545.581642404</v>
      </c>
      <c r="E30" s="7">
        <f t="shared" si="8"/>
        <v>6248571.4285714282</v>
      </c>
      <c r="F30" s="7">
        <f t="shared" si="9"/>
        <v>124.97142857142855</v>
      </c>
      <c r="G30" s="7">
        <f t="shared" si="10"/>
        <v>38873974.153070979</v>
      </c>
      <c r="H30" s="6">
        <f t="shared" si="11"/>
        <v>6234.8996906983975</v>
      </c>
      <c r="I30" s="7">
        <f t="shared" si="12"/>
        <v>-3.8603386839583762</v>
      </c>
      <c r="J30" s="7">
        <f t="shared" si="13"/>
        <v>-103.64154086706033</v>
      </c>
      <c r="K30" s="8">
        <f t="shared" si="1"/>
        <v>148.89877780982309</v>
      </c>
      <c r="L30" s="8">
        <f t="shared" si="2"/>
        <v>-6.2537486680125687</v>
      </c>
      <c r="M30" s="8">
        <f t="shared" si="3"/>
        <v>167.89929620463769</v>
      </c>
      <c r="N30" s="8">
        <f t="shared" si="4"/>
        <v>25.000000000000021</v>
      </c>
      <c r="O30" s="8">
        <f t="shared" si="5"/>
        <v>25.9311755333969</v>
      </c>
    </row>
    <row r="31" spans="1:15" x14ac:dyDescent="0.3">
      <c r="A31" s="5">
        <f t="shared" si="6"/>
        <v>0.23000000000000007</v>
      </c>
      <c r="B31" s="5">
        <f t="shared" si="14"/>
        <v>174.11444148581069</v>
      </c>
      <c r="C31" s="6">
        <f t="shared" si="0"/>
        <v>6715.8427430241263</v>
      </c>
      <c r="D31" s="6">
        <f t="shared" si="7"/>
        <v>45102543.749029823</v>
      </c>
      <c r="E31" s="7">
        <f t="shared" si="8"/>
        <v>6248571.4285714282</v>
      </c>
      <c r="F31" s="7">
        <f t="shared" si="9"/>
        <v>124.97142857142855</v>
      </c>
      <c r="G31" s="7">
        <f t="shared" si="10"/>
        <v>38853972.320458397</v>
      </c>
      <c r="H31" s="6">
        <f t="shared" si="11"/>
        <v>6233.2954623103178</v>
      </c>
      <c r="I31" s="7">
        <f t="shared" si="12"/>
        <v>-3.8612608196120943</v>
      </c>
      <c r="J31" s="7">
        <f t="shared" si="13"/>
        <v>-103.61678948027107</v>
      </c>
      <c r="K31" s="8">
        <f t="shared" si="1"/>
        <v>148.93434589932363</v>
      </c>
      <c r="L31" s="8">
        <f t="shared" si="2"/>
        <v>-6.2552425277715917</v>
      </c>
      <c r="M31" s="8">
        <f t="shared" si="3"/>
        <v>167.85919895803909</v>
      </c>
      <c r="N31" s="8">
        <f t="shared" si="4"/>
        <v>24.999999999999979</v>
      </c>
      <c r="O31" s="8">
        <f t="shared" si="5"/>
        <v>25.931620454315276</v>
      </c>
    </row>
    <row r="32" spans="1:15" x14ac:dyDescent="0.3">
      <c r="A32" s="5">
        <f t="shared" si="6"/>
        <v>0.24000000000000007</v>
      </c>
      <c r="B32" s="5">
        <f t="shared" si="14"/>
        <v>174.07582887761455</v>
      </c>
      <c r="C32" s="6">
        <f t="shared" si="0"/>
        <v>6714.3533995651323</v>
      </c>
      <c r="D32" s="6">
        <f t="shared" si="7"/>
        <v>45082541.574251853</v>
      </c>
      <c r="E32" s="7">
        <f t="shared" si="8"/>
        <v>6248571.4285714282</v>
      </c>
      <c r="F32" s="7">
        <f t="shared" si="9"/>
        <v>124.97142857142855</v>
      </c>
      <c r="G32" s="7">
        <f t="shared" si="10"/>
        <v>38833970.145680428</v>
      </c>
      <c r="H32" s="6">
        <f t="shared" si="11"/>
        <v>6231.690793490995</v>
      </c>
      <c r="I32" s="7">
        <f t="shared" si="12"/>
        <v>-3.8621836334235962</v>
      </c>
      <c r="J32" s="7">
        <f t="shared" si="13"/>
        <v>-103.59203172312861</v>
      </c>
      <c r="K32" s="8">
        <f t="shared" si="1"/>
        <v>148.9699401463387</v>
      </c>
      <c r="L32" s="8">
        <f t="shared" si="2"/>
        <v>-6.2567374861462248</v>
      </c>
      <c r="M32" s="8">
        <f t="shared" si="3"/>
        <v>167.81909139146833</v>
      </c>
      <c r="N32" s="8">
        <f t="shared" si="4"/>
        <v>24.999999999999982</v>
      </c>
      <c r="O32" s="8">
        <f t="shared" si="5"/>
        <v>25.932065808822539</v>
      </c>
    </row>
    <row r="33" spans="1:15" x14ac:dyDescent="0.3">
      <c r="A33" s="5">
        <f t="shared" si="6"/>
        <v>0.25000000000000006</v>
      </c>
      <c r="B33" s="5">
        <f t="shared" si="14"/>
        <v>174.03720704128031</v>
      </c>
      <c r="C33" s="6">
        <f t="shared" si="0"/>
        <v>6712.8637001636689</v>
      </c>
      <c r="D33" s="6">
        <f t="shared" si="7"/>
        <v>45062539.056975067</v>
      </c>
      <c r="E33" s="7">
        <f t="shared" si="8"/>
        <v>6248571.4285714282</v>
      </c>
      <c r="F33" s="7">
        <f t="shared" si="9"/>
        <v>124.97142857142855</v>
      </c>
      <c r="G33" s="7">
        <f t="shared" si="10"/>
        <v>38813967.628403641</v>
      </c>
      <c r="H33" s="6">
        <f t="shared" si="11"/>
        <v>6230.085683873348</v>
      </c>
      <c r="I33" s="7">
        <f t="shared" si="12"/>
        <v>-3.8631071262371366</v>
      </c>
      <c r="J33" s="7">
        <f t="shared" si="13"/>
        <v>-103.56726759060257</v>
      </c>
      <c r="K33" s="8">
        <f t="shared" si="1"/>
        <v>149.00556058343241</v>
      </c>
      <c r="L33" s="8">
        <f t="shared" si="2"/>
        <v>-6.2582335445041606</v>
      </c>
      <c r="M33" s="8">
        <f t="shared" si="3"/>
        <v>167.77897349677616</v>
      </c>
      <c r="N33" s="8">
        <f t="shared" si="4"/>
        <v>24.999999999999982</v>
      </c>
      <c r="O33" s="8">
        <f t="shared" si="5"/>
        <v>25.932511597560865</v>
      </c>
    </row>
    <row r="34" spans="1:15" x14ac:dyDescent="0.3">
      <c r="A34" s="5">
        <f t="shared" si="6"/>
        <v>0.26000000000000006</v>
      </c>
      <c r="B34" s="5">
        <f t="shared" si="14"/>
        <v>173.99857597001795</v>
      </c>
      <c r="C34" s="6">
        <f t="shared" si="0"/>
        <v>6711.3736445578352</v>
      </c>
      <c r="D34" s="6">
        <f t="shared" si="7"/>
        <v>45042536.196865521</v>
      </c>
      <c r="E34" s="7">
        <f t="shared" si="8"/>
        <v>6248571.4285714282</v>
      </c>
      <c r="F34" s="7">
        <f t="shared" si="9"/>
        <v>124.97142857142855</v>
      </c>
      <c r="G34" s="7">
        <f t="shared" si="10"/>
        <v>38793964.768294096</v>
      </c>
      <c r="H34" s="6">
        <f t="shared" si="11"/>
        <v>6228.4801330897808</v>
      </c>
      <c r="I34" s="7">
        <f t="shared" si="12"/>
        <v>-3.8640312988984697</v>
      </c>
      <c r="J34" s="7">
        <f t="shared" si="13"/>
        <v>-103.54249707765584</v>
      </c>
      <c r="K34" s="8">
        <f t="shared" si="1"/>
        <v>149.04120724322669</v>
      </c>
      <c r="L34" s="8">
        <f t="shared" si="2"/>
        <v>-6.2597307042155208</v>
      </c>
      <c r="M34" s="8">
        <f t="shared" si="3"/>
        <v>167.73884526580244</v>
      </c>
      <c r="N34" s="8">
        <f t="shared" si="4"/>
        <v>24.999999999999996</v>
      </c>
      <c r="O34" s="8">
        <f t="shared" si="5"/>
        <v>25.932957821173773</v>
      </c>
    </row>
    <row r="35" spans="1:15" x14ac:dyDescent="0.3">
      <c r="A35" s="5">
        <f t="shared" si="6"/>
        <v>0.27000000000000007</v>
      </c>
      <c r="B35" s="5">
        <f t="shared" si="14"/>
        <v>173.95993565702898</v>
      </c>
      <c r="C35" s="6">
        <f t="shared" si="0"/>
        <v>6709.8832324854029</v>
      </c>
      <c r="D35" s="6">
        <f t="shared" si="7"/>
        <v>45022532.99358876</v>
      </c>
      <c r="E35" s="7">
        <f t="shared" si="8"/>
        <v>6248571.4285714282</v>
      </c>
      <c r="F35" s="7">
        <f t="shared" si="9"/>
        <v>124.97142857142855</v>
      </c>
      <c r="G35" s="7">
        <f t="shared" si="10"/>
        <v>38773961.565017335</v>
      </c>
      <c r="H35" s="6">
        <f t="shared" si="11"/>
        <v>6226.8741407721845</v>
      </c>
      <c r="I35" s="7">
        <f t="shared" si="12"/>
        <v>-3.8649561522548344</v>
      </c>
      <c r="J35" s="7">
        <f t="shared" si="13"/>
        <v>-103.51772017924455</v>
      </c>
      <c r="K35" s="8">
        <f t="shared" si="1"/>
        <v>149.07688015840074</v>
      </c>
      <c r="L35" s="8">
        <f t="shared" si="2"/>
        <v>-6.2612289666528307</v>
      </c>
      <c r="M35" s="8">
        <f t="shared" si="3"/>
        <v>167.69870669037616</v>
      </c>
      <c r="N35" s="8">
        <f t="shared" si="4"/>
        <v>25.000000000000004</v>
      </c>
      <c r="O35" s="8">
        <f t="shared" si="5"/>
        <v>25.933404480306013</v>
      </c>
    </row>
    <row r="36" spans="1:15" x14ac:dyDescent="0.3">
      <c r="A36" s="5">
        <f t="shared" si="6"/>
        <v>0.28000000000000008</v>
      </c>
      <c r="B36" s="5">
        <f t="shared" si="14"/>
        <v>173.92128609550642</v>
      </c>
      <c r="C36" s="6">
        <f t="shared" si="0"/>
        <v>6708.3924636838183</v>
      </c>
      <c r="D36" s="6">
        <f t="shared" si="7"/>
        <v>45002529.446809851</v>
      </c>
      <c r="E36" s="7">
        <f t="shared" si="8"/>
        <v>6248571.4285714282</v>
      </c>
      <c r="F36" s="7">
        <f t="shared" si="9"/>
        <v>124.97142857142855</v>
      </c>
      <c r="G36" s="7">
        <f t="shared" si="10"/>
        <v>38753958.018238425</v>
      </c>
      <c r="H36" s="6">
        <f t="shared" si="11"/>
        <v>6225.2677065519383</v>
      </c>
      <c r="I36" s="7">
        <f t="shared" si="12"/>
        <v>-3.8658816871549617</v>
      </c>
      <c r="J36" s="7">
        <f t="shared" si="13"/>
        <v>-103.49293689031815</v>
      </c>
      <c r="K36" s="8">
        <f t="shared" si="1"/>
        <v>149.11257936169136</v>
      </c>
      <c r="L36" s="8">
        <f t="shared" si="2"/>
        <v>-6.2627283331910366</v>
      </c>
      <c r="M36" s="8">
        <f t="shared" si="3"/>
        <v>167.65855776231538</v>
      </c>
      <c r="N36" s="8">
        <f t="shared" si="4"/>
        <v>24.999999999999968</v>
      </c>
      <c r="O36" s="8">
        <f t="shared" si="5"/>
        <v>25.933851575603629</v>
      </c>
    </row>
    <row r="37" spans="1:15" x14ac:dyDescent="0.3">
      <c r="A37" s="5">
        <f t="shared" si="6"/>
        <v>0.29000000000000009</v>
      </c>
      <c r="B37" s="5">
        <f t="shared" si="14"/>
        <v>173.88262727863486</v>
      </c>
      <c r="C37" s="6">
        <f t="shared" si="0"/>
        <v>6706.9013378902009</v>
      </c>
      <c r="D37" s="6">
        <f t="shared" si="7"/>
        <v>44982525.556193367</v>
      </c>
      <c r="E37" s="7">
        <f t="shared" si="8"/>
        <v>6248571.4285714282</v>
      </c>
      <c r="F37" s="7">
        <f t="shared" si="9"/>
        <v>124.97142857142855</v>
      </c>
      <c r="G37" s="7">
        <f t="shared" si="10"/>
        <v>38733954.127621941</v>
      </c>
      <c r="H37" s="6">
        <f t="shared" si="11"/>
        <v>6223.6608300599046</v>
      </c>
      <c r="I37" s="7">
        <f t="shared" si="12"/>
        <v>-3.8668079044491028</v>
      </c>
      <c r="J37" s="7">
        <f t="shared" si="13"/>
        <v>-103.46814720581933</v>
      </c>
      <c r="K37" s="8">
        <f t="shared" si="1"/>
        <v>149.14830488589396</v>
      </c>
      <c r="L37" s="8">
        <f t="shared" si="2"/>
        <v>-6.2642288052075461</v>
      </c>
      <c r="M37" s="8">
        <f t="shared" si="3"/>
        <v>167.61839847342731</v>
      </c>
      <c r="N37" s="8">
        <f t="shared" si="4"/>
        <v>25</v>
      </c>
      <c r="O37" s="8">
        <f t="shared" si="5"/>
        <v>25.934299107714093</v>
      </c>
    </row>
    <row r="38" spans="1:15" x14ac:dyDescent="0.3">
      <c r="A38" s="5">
        <f t="shared" si="6"/>
        <v>0.3000000000000001</v>
      </c>
      <c r="B38" s="5">
        <f t="shared" si="14"/>
        <v>173.84395919959036</v>
      </c>
      <c r="C38" s="6">
        <f t="shared" si="0"/>
        <v>6705.4098548413422</v>
      </c>
      <c r="D38" s="6">
        <f t="shared" si="7"/>
        <v>44962521.321403392</v>
      </c>
      <c r="E38" s="7">
        <f t="shared" si="8"/>
        <v>6248571.4285714282</v>
      </c>
      <c r="F38" s="7">
        <f t="shared" si="9"/>
        <v>124.97142857142855</v>
      </c>
      <c r="G38" s="7">
        <f t="shared" si="10"/>
        <v>38713949.892831966</v>
      </c>
      <c r="H38" s="6">
        <f t="shared" si="11"/>
        <v>6222.0535109264338</v>
      </c>
      <c r="I38" s="7">
        <f t="shared" si="12"/>
        <v>-3.8677348049889795</v>
      </c>
      <c r="J38" s="7">
        <f t="shared" si="13"/>
        <v>-103.4433511206841</v>
      </c>
      <c r="K38" s="8">
        <f t="shared" si="1"/>
        <v>149.18405676386064</v>
      </c>
      <c r="L38" s="8">
        <f t="shared" si="2"/>
        <v>-6.2657303840821461</v>
      </c>
      <c r="M38" s="8">
        <f t="shared" si="3"/>
        <v>167.57822881550823</v>
      </c>
      <c r="N38" s="8">
        <f t="shared" si="4"/>
        <v>25.000000000000007</v>
      </c>
      <c r="O38" s="8">
        <f t="shared" si="5"/>
        <v>25.934747077285959</v>
      </c>
    </row>
    <row r="39" spans="1:15" x14ac:dyDescent="0.3">
      <c r="A39" s="5">
        <f t="shared" si="6"/>
        <v>0.31000000000000011</v>
      </c>
      <c r="B39" s="5">
        <f t="shared" si="14"/>
        <v>173.80528185154046</v>
      </c>
      <c r="C39" s="6">
        <f t="shared" si="0"/>
        <v>6703.9180142737032</v>
      </c>
      <c r="D39" s="6">
        <f t="shared" si="7"/>
        <v>44942516.742103472</v>
      </c>
      <c r="E39" s="7">
        <f t="shared" si="8"/>
        <v>6248571.4285714282</v>
      </c>
      <c r="F39" s="7">
        <f t="shared" si="9"/>
        <v>124.97142857142855</v>
      </c>
      <c r="G39" s="7">
        <f t="shared" si="10"/>
        <v>38693945.313532047</v>
      </c>
      <c r="H39" s="6">
        <f t="shared" si="11"/>
        <v>6220.4457487813561</v>
      </c>
      <c r="I39" s="7">
        <f t="shared" si="12"/>
        <v>-3.8686623896278354</v>
      </c>
      <c r="J39" s="7">
        <f t="shared" si="13"/>
        <v>-103.4185486298416</v>
      </c>
      <c r="K39" s="8">
        <f t="shared" si="1"/>
        <v>149.21983502850222</v>
      </c>
      <c r="L39" s="8">
        <f t="shared" si="2"/>
        <v>-6.2672330711970927</v>
      </c>
      <c r="M39" s="8">
        <f t="shared" si="3"/>
        <v>167.53804878034336</v>
      </c>
      <c r="N39" s="8">
        <f t="shared" si="4"/>
        <v>24.999999999999993</v>
      </c>
      <c r="O39" s="8">
        <f t="shared" si="5"/>
        <v>25.935195484969196</v>
      </c>
    </row>
    <row r="40" spans="1:15" x14ac:dyDescent="0.3">
      <c r="A40" s="5">
        <f t="shared" si="6"/>
        <v>0.32000000000000012</v>
      </c>
      <c r="B40" s="5">
        <f t="shared" si="14"/>
        <v>173.76659522764419</v>
      </c>
      <c r="C40" s="6">
        <f t="shared" si="0"/>
        <v>6702.4258159234187</v>
      </c>
      <c r="D40" s="6">
        <f t="shared" si="7"/>
        <v>44922511.817956701</v>
      </c>
      <c r="E40" s="7">
        <f t="shared" si="8"/>
        <v>6248571.4285714282</v>
      </c>
      <c r="F40" s="7">
        <f t="shared" si="9"/>
        <v>124.97142857142855</v>
      </c>
      <c r="G40" s="7">
        <f t="shared" si="10"/>
        <v>38673940.389385276</v>
      </c>
      <c r="H40" s="6">
        <f t="shared" si="11"/>
        <v>6218.837543253986</v>
      </c>
      <c r="I40" s="7">
        <f t="shared" si="12"/>
        <v>-3.8695906592204263</v>
      </c>
      <c r="J40" s="7">
        <f t="shared" si="13"/>
        <v>-103.39373972821429</v>
      </c>
      <c r="K40" s="8">
        <f t="shared" si="1"/>
        <v>149.25563971278785</v>
      </c>
      <c r="L40" s="8">
        <f t="shared" si="2"/>
        <v>-6.268736867937089</v>
      </c>
      <c r="M40" s="8">
        <f t="shared" si="3"/>
        <v>167.4978583597071</v>
      </c>
      <c r="N40" s="8">
        <f t="shared" si="4"/>
        <v>25.000000000000014</v>
      </c>
      <c r="O40" s="8">
        <f t="shared" si="5"/>
        <v>25.935644331415105</v>
      </c>
    </row>
    <row r="41" spans="1:15" x14ac:dyDescent="0.3">
      <c r="A41" s="5">
        <f t="shared" si="6"/>
        <v>0.33000000000000013</v>
      </c>
      <c r="B41" s="5">
        <f t="shared" si="14"/>
        <v>173.72789932105198</v>
      </c>
      <c r="C41" s="6">
        <f t="shared" si="0"/>
        <v>6700.9332595262904</v>
      </c>
      <c r="D41" s="6">
        <f t="shared" si="7"/>
        <v>44902506.548625633</v>
      </c>
      <c r="E41" s="7">
        <f t="shared" si="8"/>
        <v>6248571.4285714282</v>
      </c>
      <c r="F41" s="7">
        <f t="shared" si="9"/>
        <v>124.97142857142855</v>
      </c>
      <c r="G41" s="7">
        <f t="shared" si="10"/>
        <v>38653935.120054208</v>
      </c>
      <c r="H41" s="6">
        <f t="shared" si="11"/>
        <v>6217.2288939731188</v>
      </c>
      <c r="I41" s="7">
        <f t="shared" si="12"/>
        <v>-3.8705196146230012</v>
      </c>
      <c r="J41" s="7">
        <f t="shared" si="13"/>
        <v>-103.36892441071774</v>
      </c>
      <c r="K41" s="8">
        <f t="shared" si="1"/>
        <v>149.29147084974431</v>
      </c>
      <c r="L41" s="8">
        <f t="shared" si="2"/>
        <v>-6.2702417756892608</v>
      </c>
      <c r="M41" s="8">
        <f t="shared" si="3"/>
        <v>167.45765754536271</v>
      </c>
      <c r="N41" s="8">
        <f t="shared" si="4"/>
        <v>24.999999999999982</v>
      </c>
      <c r="O41" s="8">
        <f t="shared" si="5"/>
        <v>25.936093617276146</v>
      </c>
    </row>
    <row r="42" spans="1:15" x14ac:dyDescent="0.3">
      <c r="A42" s="5">
        <f t="shared" si="6"/>
        <v>0.34000000000000014</v>
      </c>
      <c r="B42" s="5">
        <f t="shared" si="14"/>
        <v>173.68919412490575</v>
      </c>
      <c r="C42" s="6">
        <f t="shared" si="0"/>
        <v>6699.4403448177927</v>
      </c>
      <c r="D42" s="6">
        <f t="shared" si="7"/>
        <v>44882500.933772348</v>
      </c>
      <c r="E42" s="7">
        <f t="shared" si="8"/>
        <v>6248571.4285714282</v>
      </c>
      <c r="F42" s="7">
        <f t="shared" si="9"/>
        <v>124.97142857142855</v>
      </c>
      <c r="G42" s="7">
        <f t="shared" si="10"/>
        <v>38633929.505200922</v>
      </c>
      <c r="H42" s="6">
        <f t="shared" si="11"/>
        <v>6215.6198005670294</v>
      </c>
      <c r="I42" s="7">
        <f t="shared" si="12"/>
        <v>-3.8714492566933516</v>
      </c>
      <c r="J42" s="7">
        <f t="shared" si="13"/>
        <v>-103.34410267226082</v>
      </c>
      <c r="K42" s="8">
        <f t="shared" si="1"/>
        <v>149.32732847245785</v>
      </c>
      <c r="L42" s="8">
        <f t="shared" si="2"/>
        <v>-6.2717477958432291</v>
      </c>
      <c r="M42" s="8">
        <f t="shared" si="3"/>
        <v>167.41744632906253</v>
      </c>
      <c r="N42" s="8">
        <f t="shared" si="4"/>
        <v>25.000000000000004</v>
      </c>
      <c r="O42" s="8">
        <f t="shared" si="5"/>
        <v>25.936543343206296</v>
      </c>
    </row>
    <row r="43" spans="1:15" x14ac:dyDescent="0.3">
      <c r="A43" s="5">
        <f t="shared" si="6"/>
        <v>0.35000000000000014</v>
      </c>
      <c r="B43" s="5">
        <f t="shared" si="14"/>
        <v>173.65047963233883</v>
      </c>
      <c r="C43" s="6">
        <f t="shared" si="0"/>
        <v>6697.947071533069</v>
      </c>
      <c r="D43" s="6">
        <f t="shared" si="7"/>
        <v>44862494.973058417</v>
      </c>
      <c r="E43" s="7">
        <f t="shared" si="8"/>
        <v>6248571.4285714282</v>
      </c>
      <c r="F43" s="7">
        <f t="shared" si="9"/>
        <v>124.97142857142855</v>
      </c>
      <c r="G43" s="7">
        <f t="shared" si="10"/>
        <v>38613923.544486992</v>
      </c>
      <c r="H43" s="6">
        <f t="shared" si="11"/>
        <v>6214.0102626634753</v>
      </c>
      <c r="I43" s="7">
        <f t="shared" si="12"/>
        <v>-3.87237958629076</v>
      </c>
      <c r="J43" s="7">
        <f t="shared" si="13"/>
        <v>-103.31927450774558</v>
      </c>
      <c r="K43" s="8">
        <f t="shared" si="1"/>
        <v>149.36321261407215</v>
      </c>
      <c r="L43" s="8">
        <f t="shared" si="2"/>
        <v>-6.2732549297910296</v>
      </c>
      <c r="M43" s="8">
        <f t="shared" si="3"/>
        <v>167.37722470254781</v>
      </c>
      <c r="N43" s="8">
        <f t="shared" si="4"/>
        <v>24.999999999999979</v>
      </c>
      <c r="O43" s="8">
        <f t="shared" si="5"/>
        <v>25.936993509860628</v>
      </c>
    </row>
    <row r="44" spans="1:15" x14ac:dyDescent="0.3">
      <c r="A44" s="5">
        <f t="shared" si="6"/>
        <v>0.36000000000000015</v>
      </c>
      <c r="B44" s="5">
        <f t="shared" si="14"/>
        <v>173.61175583647591</v>
      </c>
      <c r="C44" s="6">
        <f t="shared" si="0"/>
        <v>6696.4534394069278</v>
      </c>
      <c r="D44" s="6">
        <f t="shared" si="7"/>
        <v>44842488.66614487</v>
      </c>
      <c r="E44" s="7">
        <f t="shared" si="8"/>
        <v>6248571.4285714282</v>
      </c>
      <c r="F44" s="7">
        <f t="shared" si="9"/>
        <v>124.97142857142855</v>
      </c>
      <c r="G44" s="7">
        <f t="shared" si="10"/>
        <v>38593917.237573445</v>
      </c>
      <c r="H44" s="6">
        <f t="shared" si="11"/>
        <v>6212.4002798896854</v>
      </c>
      <c r="I44" s="7">
        <f t="shared" si="12"/>
        <v>-3.8733106042760603</v>
      </c>
      <c r="J44" s="7">
        <f t="shared" si="13"/>
        <v>-103.29443991206712</v>
      </c>
      <c r="K44" s="8">
        <f t="shared" si="1"/>
        <v>149.39912330779089</v>
      </c>
      <c r="L44" s="8">
        <f t="shared" si="2"/>
        <v>-6.2747631789272162</v>
      </c>
      <c r="M44" s="8">
        <f t="shared" si="3"/>
        <v>167.33699265754871</v>
      </c>
      <c r="N44" s="8">
        <f t="shared" si="4"/>
        <v>25.000000000000018</v>
      </c>
      <c r="O44" s="8">
        <f t="shared" si="5"/>
        <v>25.937444117895751</v>
      </c>
    </row>
    <row r="45" spans="1:15" x14ac:dyDescent="0.3">
      <c r="A45" s="5">
        <f t="shared" si="6"/>
        <v>0.37000000000000016</v>
      </c>
      <c r="B45" s="5">
        <f t="shared" si="14"/>
        <v>173.57302273043314</v>
      </c>
      <c r="C45" s="6">
        <f t="shared" si="0"/>
        <v>6694.9594481738495</v>
      </c>
      <c r="D45" s="6">
        <f t="shared" si="7"/>
        <v>44822482.012692295</v>
      </c>
      <c r="E45" s="7">
        <f t="shared" si="8"/>
        <v>6248571.4285714282</v>
      </c>
      <c r="F45" s="7">
        <f t="shared" si="9"/>
        <v>124.97142857142855</v>
      </c>
      <c r="G45" s="7">
        <f t="shared" si="10"/>
        <v>38573910.58412087</v>
      </c>
      <c r="H45" s="6">
        <f t="shared" si="11"/>
        <v>6210.7898518723741</v>
      </c>
      <c r="I45" s="7">
        <f t="shared" si="12"/>
        <v>-3.8742423115115781</v>
      </c>
      <c r="J45" s="7">
        <f t="shared" si="13"/>
        <v>-103.26959888011383</v>
      </c>
      <c r="K45" s="8">
        <f t="shared" si="1"/>
        <v>149.43506058687515</v>
      </c>
      <c r="L45" s="8">
        <f t="shared" si="2"/>
        <v>-6.2762725446487559</v>
      </c>
      <c r="M45" s="8">
        <f t="shared" si="3"/>
        <v>167.29675018578439</v>
      </c>
      <c r="N45" s="8">
        <f t="shared" si="4"/>
        <v>25.000000000000007</v>
      </c>
      <c r="O45" s="8">
        <f t="shared" si="5"/>
        <v>25.937895167969334</v>
      </c>
    </row>
    <row r="46" spans="1:15" x14ac:dyDescent="0.3">
      <c r="A46" s="5">
        <f t="shared" si="6"/>
        <v>0.38000000000000017</v>
      </c>
      <c r="B46" s="5">
        <f t="shared" si="14"/>
        <v>173.53428030731803</v>
      </c>
      <c r="C46" s="6">
        <f t="shared" si="0"/>
        <v>6693.4650975679806</v>
      </c>
      <c r="D46" s="6">
        <f t="shared" si="7"/>
        <v>44802475.012360737</v>
      </c>
      <c r="E46" s="7">
        <f t="shared" si="8"/>
        <v>6248571.4285714282</v>
      </c>
      <c r="F46" s="7">
        <f t="shared" si="9"/>
        <v>124.97142857142855</v>
      </c>
      <c r="G46" s="7">
        <f t="shared" si="10"/>
        <v>38553903.583789311</v>
      </c>
      <c r="H46" s="6">
        <f t="shared" si="11"/>
        <v>6209.1789782377273</v>
      </c>
      <c r="I46" s="7">
        <f t="shared" si="12"/>
        <v>-3.8751747088611954</v>
      </c>
      <c r="J46" s="7">
        <f t="shared" si="13"/>
        <v>-103.24475140676722</v>
      </c>
      <c r="K46" s="8">
        <f t="shared" si="1"/>
        <v>149.47102448464611</v>
      </c>
      <c r="L46" s="8">
        <f t="shared" si="2"/>
        <v>-6.2777830283551355</v>
      </c>
      <c r="M46" s="8">
        <f t="shared" si="3"/>
        <v>167.25649727896288</v>
      </c>
      <c r="N46" s="8">
        <f t="shared" si="4"/>
        <v>25.000000000000007</v>
      </c>
      <c r="O46" s="8">
        <f t="shared" si="5"/>
        <v>25.938346660740574</v>
      </c>
    </row>
    <row r="47" spans="1:15" x14ac:dyDescent="0.3">
      <c r="A47" s="5">
        <f t="shared" si="6"/>
        <v>0.39000000000000018</v>
      </c>
      <c r="B47" s="5">
        <f t="shared" si="14"/>
        <v>173.49552856022942</v>
      </c>
      <c r="C47" s="6">
        <f t="shared" si="0"/>
        <v>6691.9703873231347</v>
      </c>
      <c r="D47" s="6">
        <f t="shared" si="7"/>
        <v>44782467.664809749</v>
      </c>
      <c r="E47" s="7">
        <f t="shared" si="8"/>
        <v>6248571.4285714282</v>
      </c>
      <c r="F47" s="7">
        <f t="shared" si="9"/>
        <v>124.97142857142855</v>
      </c>
      <c r="G47" s="7">
        <f t="shared" si="10"/>
        <v>38533896.236238323</v>
      </c>
      <c r="H47" s="6">
        <f t="shared" si="11"/>
        <v>6207.5676586114087</v>
      </c>
      <c r="I47" s="7">
        <f t="shared" si="12"/>
        <v>-3.8761077971903095</v>
      </c>
      <c r="J47" s="7">
        <f t="shared" si="13"/>
        <v>-103.21989748690194</v>
      </c>
      <c r="K47" s="8">
        <f t="shared" si="1"/>
        <v>149.50701503448335</v>
      </c>
      <c r="L47" s="8">
        <f t="shared" si="2"/>
        <v>-6.2792946314483</v>
      </c>
      <c r="M47" s="8">
        <f t="shared" si="3"/>
        <v>167.21623392878112</v>
      </c>
      <c r="N47" s="8">
        <f t="shared" si="4"/>
        <v>24.999999999999964</v>
      </c>
      <c r="O47" s="8">
        <f t="shared" si="5"/>
        <v>25.938798596869852</v>
      </c>
    </row>
    <row r="48" spans="1:15" x14ac:dyDescent="0.3">
      <c r="A48" s="5">
        <f t="shared" si="6"/>
        <v>0.40000000000000019</v>
      </c>
      <c r="B48" s="5">
        <f t="shared" si="14"/>
        <v>173.4567674822575</v>
      </c>
      <c r="C48" s="6">
        <f t="shared" si="0"/>
        <v>6690.4753171727889</v>
      </c>
      <c r="D48" s="6">
        <f t="shared" si="7"/>
        <v>44762459.969698332</v>
      </c>
      <c r="E48" s="7">
        <f t="shared" si="8"/>
        <v>6248571.4285714282</v>
      </c>
      <c r="F48" s="7">
        <f t="shared" si="9"/>
        <v>124.97142857142855</v>
      </c>
      <c r="G48" s="7">
        <f t="shared" si="10"/>
        <v>38513888.541126907</v>
      </c>
      <c r="H48" s="6">
        <f t="shared" si="11"/>
        <v>6205.95589261855</v>
      </c>
      <c r="I48" s="7">
        <f t="shared" si="12"/>
        <v>-3.8770415773658811</v>
      </c>
      <c r="J48" s="7">
        <f t="shared" si="13"/>
        <v>-103.19503711538567</v>
      </c>
      <c r="K48" s="8">
        <f t="shared" si="1"/>
        <v>149.54303226982682</v>
      </c>
      <c r="L48" s="8">
        <f t="shared" si="2"/>
        <v>-6.2808073553327262</v>
      </c>
      <c r="M48" s="8">
        <f t="shared" si="3"/>
        <v>167.17596012692479</v>
      </c>
      <c r="N48" s="8">
        <f t="shared" si="4"/>
        <v>24.999999999999996</v>
      </c>
      <c r="O48" s="8">
        <f t="shared" si="5"/>
        <v>25.939250977019082</v>
      </c>
    </row>
    <row r="49" spans="1:15" x14ac:dyDescent="0.3">
      <c r="A49" s="5">
        <f t="shared" si="6"/>
        <v>0.4100000000000002</v>
      </c>
      <c r="B49" s="5">
        <f t="shared" si="14"/>
        <v>173.41799706648385</v>
      </c>
      <c r="C49" s="6">
        <f t="shared" si="0"/>
        <v>6688.9798868500911</v>
      </c>
      <c r="D49" s="6">
        <f t="shared" si="7"/>
        <v>44742451.926685058</v>
      </c>
      <c r="E49" s="7">
        <f t="shared" si="8"/>
        <v>6248571.4285714282</v>
      </c>
      <c r="F49" s="7">
        <f t="shared" si="9"/>
        <v>124.97142857142855</v>
      </c>
      <c r="G49" s="7">
        <f t="shared" si="10"/>
        <v>38493880.498113632</v>
      </c>
      <c r="H49" s="6">
        <f t="shared" si="11"/>
        <v>6204.3436798837665</v>
      </c>
      <c r="I49" s="7">
        <f t="shared" si="12"/>
        <v>-3.8779760502563705</v>
      </c>
      <c r="J49" s="7">
        <f t="shared" si="13"/>
        <v>-103.17017028707936</v>
      </c>
      <c r="K49" s="8">
        <f t="shared" si="1"/>
        <v>149.57907622417429</v>
      </c>
      <c r="L49" s="8">
        <f t="shared" si="2"/>
        <v>-6.2823212014153196</v>
      </c>
      <c r="M49" s="8">
        <f t="shared" si="3"/>
        <v>167.13567586506852</v>
      </c>
      <c r="N49" s="8">
        <f t="shared" si="4"/>
        <v>24.999999999999972</v>
      </c>
      <c r="O49" s="8">
        <f t="shared" si="5"/>
        <v>25.93970380185122</v>
      </c>
    </row>
    <row r="50" spans="1:15" x14ac:dyDescent="0.3">
      <c r="A50" s="5">
        <f t="shared" si="6"/>
        <v>0.42000000000000021</v>
      </c>
      <c r="B50" s="5">
        <f t="shared" si="14"/>
        <v>173.37921730598129</v>
      </c>
      <c r="C50" s="6">
        <f t="shared" si="0"/>
        <v>6687.4840960878491</v>
      </c>
      <c r="D50" s="6">
        <f t="shared" si="7"/>
        <v>44722443.535427913</v>
      </c>
      <c r="E50" s="7">
        <f t="shared" si="8"/>
        <v>6248571.4285714282</v>
      </c>
      <c r="F50" s="7">
        <f t="shared" si="9"/>
        <v>124.97142857142855</v>
      </c>
      <c r="G50" s="7">
        <f t="shared" si="10"/>
        <v>38473872.106856488</v>
      </c>
      <c r="H50" s="6">
        <f t="shared" si="11"/>
        <v>6202.7310200311349</v>
      </c>
      <c r="I50" s="7">
        <f t="shared" si="12"/>
        <v>-3.8789112167318249</v>
      </c>
      <c r="J50" s="7">
        <f t="shared" si="13"/>
        <v>-103.14529699683688</v>
      </c>
      <c r="K50" s="8">
        <f t="shared" si="1"/>
        <v>149.61514693108467</v>
      </c>
      <c r="L50" s="8">
        <f t="shared" si="2"/>
        <v>-6.2838361711055555</v>
      </c>
      <c r="M50" s="8">
        <f t="shared" si="3"/>
        <v>167.09538113487574</v>
      </c>
      <c r="N50" s="8">
        <f t="shared" si="4"/>
        <v>25.000000000000025</v>
      </c>
      <c r="O50" s="8">
        <f t="shared" si="5"/>
        <v>25.94015707203085</v>
      </c>
    </row>
    <row r="51" spans="1:15" x14ac:dyDescent="0.3">
      <c r="A51" s="5">
        <f t="shared" si="6"/>
        <v>0.43000000000000022</v>
      </c>
      <c r="B51" s="5">
        <f t="shared" si="14"/>
        <v>173.34042819381398</v>
      </c>
      <c r="C51" s="6">
        <f t="shared" si="0"/>
        <v>6685.9879446185387</v>
      </c>
      <c r="D51" s="6">
        <f t="shared" si="7"/>
        <v>44702434.795584433</v>
      </c>
      <c r="E51" s="7">
        <f t="shared" si="8"/>
        <v>6248571.4285714282</v>
      </c>
      <c r="F51" s="7">
        <f t="shared" si="9"/>
        <v>124.97142857142855</v>
      </c>
      <c r="G51" s="7">
        <f t="shared" si="10"/>
        <v>38453863.367013007</v>
      </c>
      <c r="H51" s="6">
        <f t="shared" si="11"/>
        <v>6201.1179126842126</v>
      </c>
      <c r="I51" s="7">
        <f t="shared" si="12"/>
        <v>-3.8798470776637899</v>
      </c>
      <c r="J51" s="7">
        <f t="shared" si="13"/>
        <v>-103.12041723950534</v>
      </c>
      <c r="K51" s="8">
        <f t="shared" si="1"/>
        <v>149.65124442417473</v>
      </c>
      <c r="L51" s="8">
        <f t="shared" si="2"/>
        <v>-6.2853522658153382</v>
      </c>
      <c r="M51" s="8">
        <f t="shared" si="3"/>
        <v>167.05507592799864</v>
      </c>
      <c r="N51" s="8">
        <f t="shared" si="4"/>
        <v>24.999999999999993</v>
      </c>
      <c r="O51" s="8">
        <f t="shared" si="5"/>
        <v>25.940610788223566</v>
      </c>
    </row>
    <row r="52" spans="1:15" x14ac:dyDescent="0.3">
      <c r="A52" s="5">
        <f t="shared" si="6"/>
        <v>0.44000000000000022</v>
      </c>
      <c r="B52" s="5">
        <f t="shared" si="14"/>
        <v>173.30162972303734</v>
      </c>
      <c r="C52" s="6">
        <f t="shared" si="0"/>
        <v>6684.4914321742972</v>
      </c>
      <c r="D52" s="6">
        <f t="shared" si="7"/>
        <v>44682425.706811585</v>
      </c>
      <c r="E52" s="7">
        <f t="shared" si="8"/>
        <v>6248571.4285714282</v>
      </c>
      <c r="F52" s="7">
        <f t="shared" si="9"/>
        <v>124.97142857142855</v>
      </c>
      <c r="G52" s="7">
        <f t="shared" si="10"/>
        <v>38433854.278240159</v>
      </c>
      <c r="H52" s="6">
        <f t="shared" si="11"/>
        <v>6199.5043574660194</v>
      </c>
      <c r="I52" s="7">
        <f t="shared" si="12"/>
        <v>-3.8807836339254056</v>
      </c>
      <c r="J52" s="7">
        <f t="shared" si="13"/>
        <v>-103.09553100992483</v>
      </c>
      <c r="K52" s="8">
        <f t="shared" si="1"/>
        <v>149.68736873712277</v>
      </c>
      <c r="L52" s="8">
        <f t="shared" si="2"/>
        <v>-6.2868694869591559</v>
      </c>
      <c r="M52" s="8">
        <f t="shared" si="3"/>
        <v>167.01476023607819</v>
      </c>
      <c r="N52" s="8">
        <f t="shared" si="4"/>
        <v>24.999999999999986</v>
      </c>
      <c r="O52" s="8">
        <f t="shared" si="5"/>
        <v>25.941064951096603</v>
      </c>
    </row>
    <row r="53" spans="1:15" x14ac:dyDescent="0.3">
      <c r="A53" s="5">
        <f t="shared" si="6"/>
        <v>0.45000000000000023</v>
      </c>
      <c r="B53" s="5">
        <f t="shared" si="14"/>
        <v>173.26282188669808</v>
      </c>
      <c r="C53" s="6">
        <f t="shared" si="0"/>
        <v>6682.9945584869256</v>
      </c>
      <c r="D53" s="6">
        <f t="shared" si="7"/>
        <v>44662416.268765859</v>
      </c>
      <c r="E53" s="7">
        <f t="shared" si="8"/>
        <v>6248571.4285714282</v>
      </c>
      <c r="F53" s="7">
        <f t="shared" si="9"/>
        <v>124.97142857142855</v>
      </c>
      <c r="G53" s="7">
        <f t="shared" si="10"/>
        <v>38413844.840194434</v>
      </c>
      <c r="H53" s="6">
        <f t="shared" si="11"/>
        <v>6197.890353999047</v>
      </c>
      <c r="I53" s="7">
        <f t="shared" si="12"/>
        <v>-3.8817208863913479</v>
      </c>
      <c r="J53" s="7">
        <f t="shared" si="13"/>
        <v>-103.07063830292847</v>
      </c>
      <c r="K53" s="8">
        <f t="shared" si="1"/>
        <v>149.72351990366627</v>
      </c>
      <c r="L53" s="8">
        <f t="shared" si="2"/>
        <v>-6.2883878359539827</v>
      </c>
      <c r="M53" s="8">
        <f t="shared" si="3"/>
        <v>166.97443405074409</v>
      </c>
      <c r="N53" s="8">
        <f t="shared" si="4"/>
        <v>24.999999999999996</v>
      </c>
      <c r="O53" s="8">
        <f t="shared" si="5"/>
        <v>25.941519561318422</v>
      </c>
    </row>
    <row r="54" spans="1:15" x14ac:dyDescent="0.3">
      <c r="A54" s="5">
        <f t="shared" si="6"/>
        <v>0.46000000000000024</v>
      </c>
      <c r="B54" s="5">
        <f t="shared" si="14"/>
        <v>173.22400467783416</v>
      </c>
      <c r="C54" s="6">
        <f t="shared" si="0"/>
        <v>6681.4973232878883</v>
      </c>
      <c r="D54" s="6">
        <f t="shared" si="7"/>
        <v>44642406.481103219</v>
      </c>
      <c r="E54" s="7">
        <f t="shared" si="8"/>
        <v>6248571.4285714282</v>
      </c>
      <c r="F54" s="7">
        <f t="shared" si="9"/>
        <v>124.97142857142855</v>
      </c>
      <c r="G54" s="7">
        <f t="shared" si="10"/>
        <v>38393835.052531794</v>
      </c>
      <c r="H54" s="6">
        <f t="shared" si="11"/>
        <v>6196.2759019052564</v>
      </c>
      <c r="I54" s="7">
        <f t="shared" si="12"/>
        <v>-3.8826588359378418</v>
      </c>
      <c r="J54" s="7">
        <f t="shared" si="13"/>
        <v>-103.04573911334252</v>
      </c>
      <c r="K54" s="8">
        <f t="shared" si="1"/>
        <v>149.75969795760247</v>
      </c>
      <c r="L54" s="8">
        <f t="shared" si="2"/>
        <v>-6.2899073142193034</v>
      </c>
      <c r="M54" s="8">
        <f t="shared" si="3"/>
        <v>166.93409736361485</v>
      </c>
      <c r="N54" s="8">
        <f t="shared" si="4"/>
        <v>24.999999999999964</v>
      </c>
      <c r="O54" s="8">
        <f t="shared" si="5"/>
        <v>25.94197461955876</v>
      </c>
    </row>
    <row r="55" spans="1:15" x14ac:dyDescent="0.3">
      <c r="A55" s="5">
        <f t="shared" si="6"/>
        <v>0.47000000000000025</v>
      </c>
      <c r="B55" s="5">
        <f t="shared" si="14"/>
        <v>173.18517808947479</v>
      </c>
      <c r="C55" s="6">
        <f t="shared" si="0"/>
        <v>6679.9997263083133</v>
      </c>
      <c r="D55" s="6">
        <f t="shared" si="7"/>
        <v>44622396.343479142</v>
      </c>
      <c r="E55" s="7">
        <f t="shared" si="8"/>
        <v>6248571.4285714282</v>
      </c>
      <c r="F55" s="7">
        <f t="shared" si="9"/>
        <v>124.97142857142855</v>
      </c>
      <c r="G55" s="7">
        <f t="shared" si="10"/>
        <v>38373824.914907716</v>
      </c>
      <c r="H55" s="6">
        <f t="shared" si="11"/>
        <v>6194.6610008060743</v>
      </c>
      <c r="I55" s="7">
        <f t="shared" si="12"/>
        <v>-3.8835974834426992</v>
      </c>
      <c r="J55" s="7">
        <f t="shared" si="13"/>
        <v>-103.02083343598621</v>
      </c>
      <c r="K55" s="8">
        <f t="shared" si="1"/>
        <v>149.79590293278983</v>
      </c>
      <c r="L55" s="8">
        <f t="shared" si="2"/>
        <v>-6.2914279231771726</v>
      </c>
      <c r="M55" s="8">
        <f t="shared" si="3"/>
        <v>166.89375016629762</v>
      </c>
      <c r="N55" s="8">
        <f t="shared" si="4"/>
        <v>24.999999999999996</v>
      </c>
      <c r="O55" s="8">
        <f t="shared" si="5"/>
        <v>25.942430126488887</v>
      </c>
    </row>
    <row r="56" spans="1:15" x14ac:dyDescent="0.3">
      <c r="A56" s="5">
        <f t="shared" si="6"/>
        <v>0.48000000000000026</v>
      </c>
      <c r="B56" s="5">
        <f t="shared" si="14"/>
        <v>173.14634211464036</v>
      </c>
      <c r="C56" s="6">
        <f t="shared" si="0"/>
        <v>6678.5017672789854</v>
      </c>
      <c r="D56" s="6">
        <f t="shared" si="7"/>
        <v>44602385.855548531</v>
      </c>
      <c r="E56" s="7">
        <f t="shared" si="8"/>
        <v>6248571.4285714282</v>
      </c>
      <c r="F56" s="7">
        <f t="shared" si="9"/>
        <v>124.97142857142855</v>
      </c>
      <c r="G56" s="7">
        <f t="shared" si="10"/>
        <v>38353814.426977105</v>
      </c>
      <c r="H56" s="6">
        <f t="shared" si="11"/>
        <v>6193.0456503223922</v>
      </c>
      <c r="I56" s="7">
        <f t="shared" si="12"/>
        <v>-3.8845368297852687</v>
      </c>
      <c r="J56" s="7">
        <f t="shared" si="13"/>
        <v>-102.99592126567177</v>
      </c>
      <c r="K56" s="8">
        <f t="shared" si="1"/>
        <v>149.83213486314608</v>
      </c>
      <c r="L56" s="8">
        <f t="shared" si="2"/>
        <v>-6.2929496642521343</v>
      </c>
      <c r="M56" s="8">
        <f t="shared" si="3"/>
        <v>166.85339245038824</v>
      </c>
      <c r="N56" s="8">
        <f t="shared" si="4"/>
        <v>25.000000000000011</v>
      </c>
      <c r="O56" s="8">
        <f t="shared" si="5"/>
        <v>25.942886082781225</v>
      </c>
    </row>
    <row r="57" spans="1:15" x14ac:dyDescent="0.3">
      <c r="A57" s="5">
        <f t="shared" si="6"/>
        <v>0.49000000000000027</v>
      </c>
      <c r="B57" s="5">
        <f t="shared" si="14"/>
        <v>173.10749674634252</v>
      </c>
      <c r="C57" s="6">
        <f t="shared" si="0"/>
        <v>6677.0034459303542</v>
      </c>
      <c r="D57" s="6">
        <f t="shared" si="7"/>
        <v>44582375.016965821</v>
      </c>
      <c r="E57" s="7">
        <f t="shared" si="8"/>
        <v>6248571.4285714282</v>
      </c>
      <c r="F57" s="7">
        <f t="shared" si="9"/>
        <v>124.97142857142855</v>
      </c>
      <c r="G57" s="7">
        <f t="shared" si="10"/>
        <v>38333803.588394396</v>
      </c>
      <c r="H57" s="6">
        <f t="shared" si="11"/>
        <v>6191.429850074569</v>
      </c>
      <c r="I57" s="7">
        <f t="shared" si="12"/>
        <v>-3.8854768758464764</v>
      </c>
      <c r="J57" s="7">
        <f t="shared" si="13"/>
        <v>-102.97100259720447</v>
      </c>
      <c r="K57" s="8">
        <f t="shared" si="1"/>
        <v>149.8683937826498</v>
      </c>
      <c r="L57" s="8">
        <f t="shared" si="2"/>
        <v>-6.2944725388712914</v>
      </c>
      <c r="M57" s="8">
        <f t="shared" si="3"/>
        <v>166.81302420747122</v>
      </c>
      <c r="N57" s="8">
        <f t="shared" si="4"/>
        <v>24.999999999999989</v>
      </c>
      <c r="O57" s="8">
        <f t="shared" si="5"/>
        <v>25.943342489109629</v>
      </c>
    </row>
    <row r="58" spans="1:15" x14ac:dyDescent="0.3">
      <c r="A58" s="5">
        <f t="shared" si="6"/>
        <v>0.50000000000000022</v>
      </c>
      <c r="B58" s="5">
        <f t="shared" si="14"/>
        <v>173.06864197758406</v>
      </c>
      <c r="C58" s="6">
        <f t="shared" si="0"/>
        <v>6675.5047619925281</v>
      </c>
      <c r="D58" s="6">
        <f t="shared" si="7"/>
        <v>44562363.827384919</v>
      </c>
      <c r="E58" s="7">
        <f t="shared" si="8"/>
        <v>6248571.4285714282</v>
      </c>
      <c r="F58" s="7">
        <f t="shared" si="9"/>
        <v>124.97142857142855</v>
      </c>
      <c r="G58" s="7">
        <f t="shared" si="10"/>
        <v>38313792.398813494</v>
      </c>
      <c r="H58" s="6">
        <f t="shared" si="11"/>
        <v>6189.8135996824249</v>
      </c>
      <c r="I58" s="7">
        <f t="shared" si="12"/>
        <v>-3.8864176225088283</v>
      </c>
      <c r="J58" s="7">
        <f t="shared" si="13"/>
        <v>-102.94607742538258</v>
      </c>
      <c r="K58" s="8">
        <f t="shared" si="1"/>
        <v>149.90467972534051</v>
      </c>
      <c r="L58" s="8">
        <f t="shared" si="2"/>
        <v>-6.2959965484643012</v>
      </c>
      <c r="M58" s="8">
        <f t="shared" si="3"/>
        <v>166.77264542911976</v>
      </c>
      <c r="N58" s="8">
        <f t="shared" si="4"/>
        <v>24.999999999999972</v>
      </c>
      <c r="O58" s="8">
        <f t="shared" si="5"/>
        <v>25.943799346149362</v>
      </c>
    </row>
    <row r="59" spans="1:15" x14ac:dyDescent="0.3">
      <c r="A59" s="5">
        <f t="shared" si="6"/>
        <v>0.51000000000000023</v>
      </c>
      <c r="B59" s="5">
        <f t="shared" si="14"/>
        <v>173.02977780135899</v>
      </c>
      <c r="C59" s="6">
        <f t="shared" si="0"/>
        <v>6674.0057151952751</v>
      </c>
      <c r="D59" s="6">
        <f t="shared" si="7"/>
        <v>44542352.286459193</v>
      </c>
      <c r="E59" s="7">
        <f t="shared" si="8"/>
        <v>6248571.4285714282</v>
      </c>
      <c r="F59" s="7">
        <f t="shared" si="9"/>
        <v>124.97142857142855</v>
      </c>
      <c r="G59" s="7">
        <f t="shared" si="10"/>
        <v>38293780.857887767</v>
      </c>
      <c r="H59" s="6">
        <f t="shared" si="11"/>
        <v>6188.1968987652426</v>
      </c>
      <c r="I59" s="7">
        <f t="shared" si="12"/>
        <v>-3.887359070656411</v>
      </c>
      <c r="J59" s="7">
        <f t="shared" si="13"/>
        <v>-102.92114574499732</v>
      </c>
      <c r="K59" s="8">
        <f t="shared" si="1"/>
        <v>149.94099272531869</v>
      </c>
      <c r="L59" s="8">
        <f t="shared" si="2"/>
        <v>-6.2975216944633843</v>
      </c>
      <c r="M59" s="8">
        <f t="shared" si="3"/>
        <v>166.73225610689559</v>
      </c>
      <c r="N59" s="8">
        <f t="shared" si="4"/>
        <v>25.000000000000004</v>
      </c>
      <c r="O59" s="8">
        <f t="shared" si="5"/>
        <v>25.944256654577078</v>
      </c>
    </row>
    <row r="60" spans="1:15" x14ac:dyDescent="0.3">
      <c r="A60" s="5">
        <f t="shared" si="6"/>
        <v>0.52000000000000024</v>
      </c>
      <c r="B60" s="5">
        <f t="shared" si="14"/>
        <v>172.99090421065242</v>
      </c>
      <c r="C60" s="6">
        <f t="shared" si="0"/>
        <v>6672.5063052680216</v>
      </c>
      <c r="D60" s="6">
        <f t="shared" si="7"/>
        <v>44522340.393841505</v>
      </c>
      <c r="E60" s="7">
        <f t="shared" si="8"/>
        <v>6248571.4285714282</v>
      </c>
      <c r="F60" s="7">
        <f t="shared" si="9"/>
        <v>124.97142857142855</v>
      </c>
      <c r="G60" s="7">
        <f t="shared" si="10"/>
        <v>38273768.96527008</v>
      </c>
      <c r="H60" s="6">
        <f t="shared" si="11"/>
        <v>6186.5797469417685</v>
      </c>
      <c r="I60" s="7">
        <f t="shared" si="12"/>
        <v>-3.8883012211748658</v>
      </c>
      <c r="J60" s="7">
        <f t="shared" si="13"/>
        <v>-102.89620755083281</v>
      </c>
      <c r="K60" s="8">
        <f t="shared" si="1"/>
        <v>149.97733281674482</v>
      </c>
      <c r="L60" s="8">
        <f t="shared" si="2"/>
        <v>-6.2990479783032818</v>
      </c>
      <c r="M60" s="8">
        <f t="shared" si="3"/>
        <v>166.69185623234912</v>
      </c>
      <c r="N60" s="8">
        <f t="shared" si="4"/>
        <v>25.000000000000004</v>
      </c>
      <c r="O60" s="8">
        <f t="shared" si="5"/>
        <v>25.944714415070642</v>
      </c>
    </row>
    <row r="61" spans="1:15" x14ac:dyDescent="0.3">
      <c r="A61" s="5">
        <f t="shared" si="6"/>
        <v>0.53000000000000025</v>
      </c>
      <c r="B61" s="5">
        <f t="shared" si="14"/>
        <v>172.95202119844066</v>
      </c>
      <c r="C61" s="6">
        <f t="shared" si="0"/>
        <v>6671.0065319398536</v>
      </c>
      <c r="D61" s="6">
        <f t="shared" si="7"/>
        <v>44502328.14918419</v>
      </c>
      <c r="E61" s="7">
        <f t="shared" si="8"/>
        <v>6248571.4285714282</v>
      </c>
      <c r="F61" s="7">
        <f t="shared" si="9"/>
        <v>124.97142857142855</v>
      </c>
      <c r="G61" s="7">
        <f t="shared" si="10"/>
        <v>38253756.720612764</v>
      </c>
      <c r="H61" s="6">
        <f t="shared" si="11"/>
        <v>6184.9621438302083</v>
      </c>
      <c r="I61" s="7">
        <f t="shared" si="12"/>
        <v>-3.8892440749514376</v>
      </c>
      <c r="J61" s="7">
        <f t="shared" si="13"/>
        <v>-102.87126283766626</v>
      </c>
      <c r="K61" s="8">
        <f t="shared" si="1"/>
        <v>150.01370003384116</v>
      </c>
      <c r="L61" s="8">
        <f t="shared" si="2"/>
        <v>-6.3005754014213284</v>
      </c>
      <c r="M61" s="8">
        <f t="shared" si="3"/>
        <v>166.65144579701933</v>
      </c>
      <c r="N61" s="8">
        <f t="shared" si="4"/>
        <v>24.999999999999996</v>
      </c>
      <c r="O61" s="8">
        <f t="shared" si="5"/>
        <v>25.945172628309415</v>
      </c>
    </row>
    <row r="62" spans="1:15" x14ac:dyDescent="0.3">
      <c r="A62" s="5">
        <f t="shared" si="6"/>
        <v>0.54000000000000026</v>
      </c>
      <c r="B62" s="5">
        <f t="shared" si="14"/>
        <v>172.91312875769114</v>
      </c>
      <c r="C62" s="6">
        <f t="shared" si="0"/>
        <v>6669.5063949395153</v>
      </c>
      <c r="D62" s="6">
        <f t="shared" si="7"/>
        <v>44482315.552139089</v>
      </c>
      <c r="E62" s="7">
        <f t="shared" si="8"/>
        <v>6248571.4285714282</v>
      </c>
      <c r="F62" s="7">
        <f t="shared" si="9"/>
        <v>124.97142857142855</v>
      </c>
      <c r="G62" s="7">
        <f t="shared" si="10"/>
        <v>38233744.123567663</v>
      </c>
      <c r="H62" s="6">
        <f t="shared" si="11"/>
        <v>6183.3440890482279</v>
      </c>
      <c r="I62" s="7">
        <f t="shared" si="12"/>
        <v>-3.8901876328749569</v>
      </c>
      <c r="J62" s="7">
        <f t="shared" si="13"/>
        <v>-102.84631160026774</v>
      </c>
      <c r="K62" s="8">
        <f t="shared" si="1"/>
        <v>150.05009441089118</v>
      </c>
      <c r="L62" s="8">
        <f t="shared" si="2"/>
        <v>-6.3021039652574284</v>
      </c>
      <c r="M62" s="8">
        <f t="shared" si="3"/>
        <v>166.61102479243371</v>
      </c>
      <c r="N62" s="8">
        <f t="shared" si="4"/>
        <v>25.000000000000007</v>
      </c>
      <c r="O62" s="8">
        <f t="shared" si="5"/>
        <v>25.945631294974138</v>
      </c>
    </row>
    <row r="63" spans="1:15" x14ac:dyDescent="0.3">
      <c r="A63" s="5">
        <f t="shared" si="6"/>
        <v>0.55000000000000027</v>
      </c>
      <c r="B63" s="5">
        <f t="shared" si="14"/>
        <v>172.8742268813624</v>
      </c>
      <c r="C63" s="6">
        <f t="shared" si="0"/>
        <v>6668.005893995407</v>
      </c>
      <c r="D63" s="6">
        <f t="shared" si="7"/>
        <v>44462302.602357484</v>
      </c>
      <c r="E63" s="7">
        <f t="shared" si="8"/>
        <v>6248571.4285714282</v>
      </c>
      <c r="F63" s="7">
        <f t="shared" si="9"/>
        <v>124.97142857142855</v>
      </c>
      <c r="G63" s="7">
        <f t="shared" si="10"/>
        <v>38213731.173786059</v>
      </c>
      <c r="H63" s="6">
        <f t="shared" si="11"/>
        <v>6181.7255822129518</v>
      </c>
      <c r="I63" s="7">
        <f t="shared" si="12"/>
        <v>-3.8911318958358327</v>
      </c>
      <c r="J63" s="7">
        <f t="shared" si="13"/>
        <v>-102.82135383340024</v>
      </c>
      <c r="K63" s="8">
        <f t="shared" si="1"/>
        <v>150.08651598223926</v>
      </c>
      <c r="L63" s="8">
        <f t="shared" si="2"/>
        <v>-6.3036336712540484</v>
      </c>
      <c r="M63" s="8">
        <f t="shared" si="3"/>
        <v>166.57059321010834</v>
      </c>
      <c r="N63" s="8">
        <f t="shared" si="4"/>
        <v>25</v>
      </c>
      <c r="O63" s="8">
        <f t="shared" si="5"/>
        <v>25.946090415746855</v>
      </c>
    </row>
    <row r="64" spans="1:15" x14ac:dyDescent="0.3">
      <c r="A64" s="5">
        <f t="shared" si="6"/>
        <v>0.56000000000000028</v>
      </c>
      <c r="B64" s="5">
        <f t="shared" si="14"/>
        <v>172.83531556240405</v>
      </c>
      <c r="C64" s="6">
        <f t="shared" si="0"/>
        <v>6666.5050288355842</v>
      </c>
      <c r="D64" s="6">
        <f t="shared" si="7"/>
        <v>44442289.299490131</v>
      </c>
      <c r="E64" s="7">
        <f t="shared" si="8"/>
        <v>6248571.4285714282</v>
      </c>
      <c r="F64" s="7">
        <f t="shared" si="9"/>
        <v>124.97142857142855</v>
      </c>
      <c r="G64" s="7">
        <f t="shared" si="10"/>
        <v>38193717.870918706</v>
      </c>
      <c r="H64" s="6">
        <f t="shared" si="11"/>
        <v>6180.1066229409589</v>
      </c>
      <c r="I64" s="7">
        <f t="shared" si="12"/>
        <v>-3.8920768647260835</v>
      </c>
      <c r="J64" s="7">
        <f t="shared" si="13"/>
        <v>-102.79638953181964</v>
      </c>
      <c r="K64" s="8">
        <f t="shared" si="1"/>
        <v>150.12296478229177</v>
      </c>
      <c r="L64" s="8">
        <f t="shared" si="2"/>
        <v>-6.3051645208562537</v>
      </c>
      <c r="M64" s="8">
        <f t="shared" si="3"/>
        <v>166.53015104154778</v>
      </c>
      <c r="N64" s="8">
        <f t="shared" si="4"/>
        <v>25.000000000000007</v>
      </c>
      <c r="O64" s="8">
        <f t="shared" si="5"/>
        <v>25.94654999131107</v>
      </c>
    </row>
    <row r="65" spans="1:15" x14ac:dyDescent="0.3">
      <c r="A65" s="5">
        <f t="shared" si="6"/>
        <v>0.57000000000000028</v>
      </c>
      <c r="B65" s="5">
        <f t="shared" si="14"/>
        <v>172.79639479375678</v>
      </c>
      <c r="C65" s="6">
        <f t="shared" si="0"/>
        <v>6665.0037991877607</v>
      </c>
      <c r="D65" s="6">
        <f t="shared" si="7"/>
        <v>44422275.643187284</v>
      </c>
      <c r="E65" s="7">
        <f t="shared" si="8"/>
        <v>6248571.4285714282</v>
      </c>
      <c r="F65" s="7">
        <f t="shared" si="9"/>
        <v>124.97142857142855</v>
      </c>
      <c r="G65" s="7">
        <f t="shared" si="10"/>
        <v>38173704.214615859</v>
      </c>
      <c r="H65" s="6">
        <f t="shared" si="11"/>
        <v>6178.4872108482878</v>
      </c>
      <c r="I65" s="7">
        <f t="shared" si="12"/>
        <v>-3.8930225404393135</v>
      </c>
      <c r="J65" s="7">
        <f t="shared" si="13"/>
        <v>-102.77141869027476</v>
      </c>
      <c r="K65" s="8">
        <f t="shared" si="1"/>
        <v>150.15944084551637</v>
      </c>
      <c r="L65" s="8">
        <f t="shared" si="2"/>
        <v>-6.3066965155116872</v>
      </c>
      <c r="M65" s="8">
        <f t="shared" si="3"/>
        <v>166.4896982782451</v>
      </c>
      <c r="N65" s="8">
        <f t="shared" si="4"/>
        <v>25.000000000000014</v>
      </c>
      <c r="O65" s="8">
        <f t="shared" si="5"/>
        <v>25.947010022351613</v>
      </c>
    </row>
    <row r="66" spans="1:15" x14ac:dyDescent="0.3">
      <c r="A66" s="5">
        <f t="shared" si="6"/>
        <v>0.58000000000000029</v>
      </c>
      <c r="B66" s="5">
        <f t="shared" si="14"/>
        <v>172.75746456835239</v>
      </c>
      <c r="C66" s="6">
        <f t="shared" si="0"/>
        <v>6663.5022047793063</v>
      </c>
      <c r="D66" s="6">
        <f t="shared" si="7"/>
        <v>44402261.633098677</v>
      </c>
      <c r="E66" s="7">
        <f t="shared" si="8"/>
        <v>6248571.4285714282</v>
      </c>
      <c r="F66" s="7">
        <f t="shared" si="9"/>
        <v>124.97142857142855</v>
      </c>
      <c r="G66" s="7">
        <f t="shared" si="10"/>
        <v>38153690.204527251</v>
      </c>
      <c r="H66" s="6">
        <f t="shared" si="11"/>
        <v>6176.8673455504331</v>
      </c>
      <c r="I66" s="7">
        <f t="shared" si="12"/>
        <v>-3.8939689238707285</v>
      </c>
      <c r="J66" s="7">
        <f t="shared" si="13"/>
        <v>-102.7464413035073</v>
      </c>
      <c r="K66" s="8">
        <f t="shared" si="1"/>
        <v>150.19594420644236</v>
      </c>
      <c r="L66" s="8">
        <f t="shared" si="2"/>
        <v>-6.3082296566705782</v>
      </c>
      <c r="M66" s="8">
        <f t="shared" si="3"/>
        <v>166.4492349116818</v>
      </c>
      <c r="N66" s="8">
        <f t="shared" si="4"/>
        <v>24.999999999999979</v>
      </c>
      <c r="O66" s="8">
        <f t="shared" si="5"/>
        <v>25.947470509554698</v>
      </c>
    </row>
    <row r="67" spans="1:15" x14ac:dyDescent="0.3">
      <c r="A67" s="5">
        <f t="shared" si="6"/>
        <v>0.5900000000000003</v>
      </c>
      <c r="B67" s="5">
        <f t="shared" si="14"/>
        <v>172.71852487911369</v>
      </c>
      <c r="C67" s="6">
        <f t="shared" si="0"/>
        <v>6662.0002453372417</v>
      </c>
      <c r="D67" s="6">
        <f t="shared" si="7"/>
        <v>44382247.268873468</v>
      </c>
      <c r="E67" s="7">
        <f t="shared" si="8"/>
        <v>6248571.4285714282</v>
      </c>
      <c r="F67" s="7">
        <f t="shared" si="9"/>
        <v>124.97142857142855</v>
      </c>
      <c r="G67" s="7">
        <f t="shared" si="10"/>
        <v>38133675.840302043</v>
      </c>
      <c r="H67" s="6">
        <f t="shared" si="11"/>
        <v>6175.2470266623377</v>
      </c>
      <c r="I67" s="7">
        <f t="shared" si="12"/>
        <v>-3.8949160159171567</v>
      </c>
      <c r="J67" s="7">
        <f t="shared" si="13"/>
        <v>-102.7214573662518</v>
      </c>
      <c r="K67" s="8">
        <f t="shared" si="1"/>
        <v>150.23247489966175</v>
      </c>
      <c r="L67" s="8">
        <f t="shared" si="2"/>
        <v>-6.309763945785793</v>
      </c>
      <c r="M67" s="8">
        <f t="shared" si="3"/>
        <v>166.4087609333279</v>
      </c>
      <c r="N67" s="8">
        <f t="shared" si="4"/>
        <v>24.999999999999996</v>
      </c>
      <c r="O67" s="8">
        <f t="shared" si="5"/>
        <v>25.947931453608049</v>
      </c>
    </row>
    <row r="68" spans="1:15" x14ac:dyDescent="0.3">
      <c r="A68" s="5">
        <f t="shared" si="6"/>
        <v>0.60000000000000031</v>
      </c>
      <c r="B68" s="5">
        <f t="shared" si="14"/>
        <v>172.67957571895451</v>
      </c>
      <c r="C68" s="6">
        <f t="shared" si="0"/>
        <v>6660.4979205882446</v>
      </c>
      <c r="D68" s="6">
        <f t="shared" si="7"/>
        <v>44362232.550160334</v>
      </c>
      <c r="E68" s="7">
        <f t="shared" si="8"/>
        <v>6248571.4285714282</v>
      </c>
      <c r="F68" s="7">
        <f t="shared" si="9"/>
        <v>124.97142857142855</v>
      </c>
      <c r="G68" s="7">
        <f t="shared" si="10"/>
        <v>38113661.121588908</v>
      </c>
      <c r="H68" s="6">
        <f t="shared" si="11"/>
        <v>6173.626253798403</v>
      </c>
      <c r="I68" s="7">
        <f t="shared" si="12"/>
        <v>-3.8958638174770139</v>
      </c>
      <c r="J68" s="7">
        <f t="shared" si="13"/>
        <v>-102.69646687323566</v>
      </c>
      <c r="K68" s="8">
        <f t="shared" si="1"/>
        <v>150.26903295982768</v>
      </c>
      <c r="L68" s="8">
        <f t="shared" si="2"/>
        <v>-6.3112993843127621</v>
      </c>
      <c r="M68" s="8">
        <f t="shared" si="3"/>
        <v>166.36827633464173</v>
      </c>
      <c r="N68" s="8">
        <f t="shared" si="4"/>
        <v>25</v>
      </c>
      <c r="O68" s="8">
        <f t="shared" si="5"/>
        <v>25.948392855200638</v>
      </c>
    </row>
    <row r="69" spans="1:15" x14ac:dyDescent="0.3">
      <c r="A69" s="5">
        <f t="shared" si="6"/>
        <v>0.61000000000000032</v>
      </c>
      <c r="B69" s="5">
        <f t="shared" si="14"/>
        <v>172.64061708077975</v>
      </c>
      <c r="C69" s="6">
        <f t="shared" si="0"/>
        <v>6658.9952302586471</v>
      </c>
      <c r="D69" s="6">
        <f t="shared" si="7"/>
        <v>44342217.476607412</v>
      </c>
      <c r="E69" s="7">
        <f t="shared" si="8"/>
        <v>6248571.4285714282</v>
      </c>
      <c r="F69" s="7">
        <f t="shared" si="9"/>
        <v>124.97142857142855</v>
      </c>
      <c r="G69" s="7">
        <f t="shared" si="10"/>
        <v>38093646.048035987</v>
      </c>
      <c r="H69" s="6">
        <f t="shared" si="11"/>
        <v>6172.0050265724822</v>
      </c>
      <c r="I69" s="7">
        <f t="shared" si="12"/>
        <v>-3.8968123294503374</v>
      </c>
      <c r="J69" s="7">
        <f t="shared" si="13"/>
        <v>-102.67146981917915</v>
      </c>
      <c r="K69" s="8">
        <f t="shared" si="1"/>
        <v>150.30561842165585</v>
      </c>
      <c r="L69" s="8">
        <f t="shared" si="2"/>
        <v>-6.3128359737095447</v>
      </c>
      <c r="M69" s="8">
        <f t="shared" si="3"/>
        <v>166.32778110707019</v>
      </c>
      <c r="N69" s="8">
        <f t="shared" si="4"/>
        <v>24.999999999999993</v>
      </c>
      <c r="O69" s="8">
        <f t="shared" si="5"/>
        <v>25.948854715022879</v>
      </c>
    </row>
    <row r="70" spans="1:15" x14ac:dyDescent="0.3">
      <c r="A70" s="5">
        <f t="shared" si="6"/>
        <v>0.62000000000000033</v>
      </c>
      <c r="B70" s="5">
        <f t="shared" si="14"/>
        <v>172.60164895748525</v>
      </c>
      <c r="C70" s="6">
        <f t="shared" si="0"/>
        <v>6657.4921740744312</v>
      </c>
      <c r="D70" s="6">
        <f t="shared" si="7"/>
        <v>44322202.047862299</v>
      </c>
      <c r="E70" s="7">
        <f t="shared" si="8"/>
        <v>6248571.4285714282</v>
      </c>
      <c r="F70" s="7">
        <f t="shared" si="9"/>
        <v>124.97142857142855</v>
      </c>
      <c r="G70" s="7">
        <f t="shared" si="10"/>
        <v>38073630.619290873</v>
      </c>
      <c r="H70" s="6">
        <f t="shared" si="11"/>
        <v>6170.3833445978762</v>
      </c>
      <c r="I70" s="7">
        <f t="shared" si="12"/>
        <v>-3.897761552738781</v>
      </c>
      <c r="J70" s="7">
        <f t="shared" si="13"/>
        <v>-102.64646619879534</v>
      </c>
      <c r="K70" s="8">
        <f t="shared" si="1"/>
        <v>150.34223131992439</v>
      </c>
      <c r="L70" s="8">
        <f t="shared" si="2"/>
        <v>-6.3143737154368242</v>
      </c>
      <c r="M70" s="8">
        <f t="shared" si="3"/>
        <v>166.28727524204842</v>
      </c>
      <c r="N70" s="8">
        <f t="shared" si="4"/>
        <v>24.999999999999982</v>
      </c>
      <c r="O70" s="8">
        <f t="shared" si="5"/>
        <v>25.949317033766633</v>
      </c>
    </row>
    <row r="71" spans="1:15" x14ac:dyDescent="0.3">
      <c r="A71" s="5">
        <f t="shared" si="6"/>
        <v>0.63000000000000034</v>
      </c>
      <c r="B71" s="5">
        <f t="shared" si="14"/>
        <v>172.56267134195787</v>
      </c>
      <c r="C71" s="6">
        <f t="shared" si="0"/>
        <v>6655.9887517612315</v>
      </c>
      <c r="D71" s="6">
        <f t="shared" si="7"/>
        <v>44302186.263572037</v>
      </c>
      <c r="E71" s="7">
        <f t="shared" si="8"/>
        <v>6248571.4285714282</v>
      </c>
      <c r="F71" s="7">
        <f t="shared" si="9"/>
        <v>124.97142857142855</v>
      </c>
      <c r="G71" s="7">
        <f t="shared" si="10"/>
        <v>38053614.835000612</v>
      </c>
      <c r="H71" s="6">
        <f t="shared" si="11"/>
        <v>6168.7612074873359</v>
      </c>
      <c r="I71" s="7">
        <f t="shared" si="12"/>
        <v>-3.8987114882456213</v>
      </c>
      <c r="J71" s="7">
        <f t="shared" si="13"/>
        <v>-102.62145600679011</v>
      </c>
      <c r="K71" s="8">
        <f t="shared" si="1"/>
        <v>150.37887168947395</v>
      </c>
      <c r="L71" s="8">
        <f t="shared" si="2"/>
        <v>-6.3159126109579056</v>
      </c>
      <c r="M71" s="8">
        <f t="shared" si="3"/>
        <v>166.24675873099997</v>
      </c>
      <c r="N71" s="8">
        <f t="shared" si="4"/>
        <v>24.999999999999979</v>
      </c>
      <c r="O71" s="8">
        <f t="shared" si="5"/>
        <v>25.949779812125147</v>
      </c>
    </row>
    <row r="72" spans="1:15" x14ac:dyDescent="0.3">
      <c r="A72" s="5">
        <f t="shared" si="6"/>
        <v>0.64000000000000035</v>
      </c>
      <c r="B72" s="5">
        <f t="shared" si="14"/>
        <v>172.52368422707542</v>
      </c>
      <c r="C72" s="6">
        <f t="shared" ref="C72:C135" si="15">$B$1*B72</f>
        <v>6654.4849630443377</v>
      </c>
      <c r="D72" s="6">
        <f t="shared" si="7"/>
        <v>44282170.123383202</v>
      </c>
      <c r="E72" s="7">
        <f t="shared" si="8"/>
        <v>6248571.4285714282</v>
      </c>
      <c r="F72" s="7">
        <f t="shared" si="9"/>
        <v>124.97142857142855</v>
      </c>
      <c r="G72" s="7">
        <f t="shared" si="10"/>
        <v>38033598.694811776</v>
      </c>
      <c r="H72" s="6">
        <f t="shared" si="11"/>
        <v>6167.1386148530646</v>
      </c>
      <c r="I72" s="7">
        <f t="shared" si="12"/>
        <v>-3.8996621368757576</v>
      </c>
      <c r="J72" s="7">
        <f t="shared" si="13"/>
        <v>-102.59643923786219</v>
      </c>
      <c r="K72" s="8">
        <f t="shared" si="1"/>
        <v>150.41553956520778</v>
      </c>
      <c r="L72" s="8">
        <f t="shared" si="2"/>
        <v>-6.3174526617387263</v>
      </c>
      <c r="M72" s="8">
        <f t="shared" ref="M72:M135" si="16">B72+L72</f>
        <v>166.20623156533671</v>
      </c>
      <c r="N72" s="8">
        <f t="shared" si="4"/>
        <v>24.999999999999989</v>
      </c>
      <c r="O72" s="8">
        <f t="shared" si="5"/>
        <v>25.950243050793077</v>
      </c>
    </row>
    <row r="73" spans="1:15" x14ac:dyDescent="0.3">
      <c r="A73" s="5">
        <f t="shared" si="6"/>
        <v>0.65000000000000036</v>
      </c>
      <c r="B73" s="5">
        <f t="shared" ref="B73:B136" si="17">I72*$B$5+B72</f>
        <v>172.48468760570665</v>
      </c>
      <c r="C73" s="6">
        <f t="shared" si="15"/>
        <v>6652.9808076486852</v>
      </c>
      <c r="D73" s="6">
        <f t="shared" si="7"/>
        <v>44262153.626941748</v>
      </c>
      <c r="E73" s="7">
        <f t="shared" si="8"/>
        <v>6248571.4285714282</v>
      </c>
      <c r="F73" s="7">
        <f t="shared" si="9"/>
        <v>124.97142857142855</v>
      </c>
      <c r="G73" s="7">
        <f t="shared" si="10"/>
        <v>38013582.198370323</v>
      </c>
      <c r="H73" s="6">
        <f t="shared" si="11"/>
        <v>6165.515566306708</v>
      </c>
      <c r="I73" s="7">
        <f t="shared" si="12"/>
        <v>-3.9006134995357118</v>
      </c>
      <c r="J73" s="7">
        <f t="shared" si="13"/>
        <v>-102.57141588670298</v>
      </c>
      <c r="K73" s="8">
        <f t="shared" ref="K73:K136" si="18">-$B$1*I73</f>
        <v>150.45223498209174</v>
      </c>
      <c r="L73" s="8">
        <f t="shared" ref="L73:L136" si="19">-$B$2*K73</f>
        <v>-6.3189938692478522</v>
      </c>
      <c r="M73" s="8">
        <f t="shared" si="16"/>
        <v>166.16569373645879</v>
      </c>
      <c r="N73" s="8">
        <f t="shared" ref="N73:N136" si="20">K73*M73/1000</f>
        <v>24.999999999999989</v>
      </c>
      <c r="O73" s="8">
        <f t="shared" ref="O73:O136" si="21">B73*K73/1000</f>
        <v>25.950706750466463</v>
      </c>
    </row>
    <row r="74" spans="1:15" x14ac:dyDescent="0.3">
      <c r="A74" s="5">
        <f t="shared" ref="A74:A137" si="22">A73+$B$5</f>
        <v>0.66000000000000036</v>
      </c>
      <c r="B74" s="5">
        <f t="shared" si="17"/>
        <v>172.44568147071129</v>
      </c>
      <c r="C74" s="6">
        <f t="shared" si="15"/>
        <v>6651.4762852988642</v>
      </c>
      <c r="D74" s="6">
        <f t="shared" ref="D74:D137" si="23">POWER(C74,2)</f>
        <v>44242136.773893178</v>
      </c>
      <c r="E74" s="7">
        <f t="shared" ref="E74:E137" si="24">4*$B$2*$B$3*POWER($B$1,2)</f>
        <v>6248571.4285714282</v>
      </c>
      <c r="F74" s="7">
        <f t="shared" ref="F74:F137" si="25">POWER($B$1,2)*2*$B$2</f>
        <v>124.97142857142855</v>
      </c>
      <c r="G74" s="7">
        <f t="shared" ref="G74:G137" si="26">D74-E74</f>
        <v>37993565.345321752</v>
      </c>
      <c r="H74" s="6">
        <f t="shared" ref="H74:H137" si="27">SQRT(G74)</f>
        <v>6163.8920614593626</v>
      </c>
      <c r="I74" s="7">
        <f t="shared" ref="I74:I137" si="28">(-C74+H74)/F74</f>
        <v>-3.9015655771336446</v>
      </c>
      <c r="J74" s="7">
        <f t="shared" ref="J74:J137" si="29">(-C74-H74)/F74</f>
        <v>-102.54638594799681</v>
      </c>
      <c r="K74" s="8">
        <f t="shared" si="18"/>
        <v>150.48895797515485</v>
      </c>
      <c r="L74" s="8">
        <f t="shared" si="19"/>
        <v>-6.3205362349565029</v>
      </c>
      <c r="M74" s="8">
        <f t="shared" si="16"/>
        <v>166.12514523575479</v>
      </c>
      <c r="N74" s="8">
        <f t="shared" si="20"/>
        <v>24.999999999999996</v>
      </c>
      <c r="O74" s="8">
        <f t="shared" si="21"/>
        <v>25.951170911842812</v>
      </c>
    </row>
    <row r="75" spans="1:15" x14ac:dyDescent="0.3">
      <c r="A75" s="5">
        <f t="shared" si="22"/>
        <v>0.67000000000000037</v>
      </c>
      <c r="B75" s="5">
        <f t="shared" si="17"/>
        <v>172.40666581493997</v>
      </c>
      <c r="C75" s="6">
        <f t="shared" si="15"/>
        <v>6649.9713957191125</v>
      </c>
      <c r="D75" s="6">
        <f t="shared" si="23"/>
        <v>44222119.563882403</v>
      </c>
      <c r="E75" s="7">
        <f t="shared" si="24"/>
        <v>6248571.4285714282</v>
      </c>
      <c r="F75" s="7">
        <f t="shared" si="25"/>
        <v>124.97142857142855</v>
      </c>
      <c r="G75" s="7">
        <f t="shared" si="26"/>
        <v>37973548.135310978</v>
      </c>
      <c r="H75" s="6">
        <f t="shared" si="27"/>
        <v>6162.2680999215681</v>
      </c>
      <c r="I75" s="7">
        <f t="shared" si="28"/>
        <v>-3.9025183705793451</v>
      </c>
      <c r="J75" s="7">
        <f t="shared" si="29"/>
        <v>-102.52134941642065</v>
      </c>
      <c r="K75" s="8">
        <f t="shared" si="18"/>
        <v>150.52570857948902</v>
      </c>
      <c r="L75" s="8">
        <f t="shared" si="19"/>
        <v>-6.3220797603385384</v>
      </c>
      <c r="M75" s="8">
        <f t="shared" si="16"/>
        <v>166.08458605460143</v>
      </c>
      <c r="N75" s="8">
        <f t="shared" si="20"/>
        <v>25</v>
      </c>
      <c r="O75" s="8">
        <f t="shared" si="21"/>
        <v>25.951635535621005</v>
      </c>
    </row>
    <row r="76" spans="1:15" x14ac:dyDescent="0.3">
      <c r="A76" s="5">
        <f t="shared" si="22"/>
        <v>0.68000000000000038</v>
      </c>
      <c r="B76" s="5">
        <f t="shared" si="17"/>
        <v>172.36764063123417</v>
      </c>
      <c r="C76" s="6">
        <f t="shared" si="15"/>
        <v>6648.4661386333173</v>
      </c>
      <c r="D76" s="6">
        <f t="shared" si="23"/>
        <v>44202101.996553816</v>
      </c>
      <c r="E76" s="7">
        <f t="shared" si="24"/>
        <v>6248571.4285714282</v>
      </c>
      <c r="F76" s="7">
        <f t="shared" si="25"/>
        <v>124.97142857142855</v>
      </c>
      <c r="G76" s="7">
        <f t="shared" si="26"/>
        <v>37953530.567982391</v>
      </c>
      <c r="H76" s="6">
        <f t="shared" si="27"/>
        <v>6160.6436813033097</v>
      </c>
      <c r="I76" s="7">
        <f t="shared" si="28"/>
        <v>-3.9034718807842412</v>
      </c>
      <c r="J76" s="7">
        <f t="shared" si="29"/>
        <v>-102.49630628664427</v>
      </c>
      <c r="K76" s="8">
        <f t="shared" si="18"/>
        <v>150.5624868302493</v>
      </c>
      <c r="L76" s="8">
        <f t="shared" si="19"/>
        <v>-6.3236244468704701</v>
      </c>
      <c r="M76" s="8">
        <f t="shared" si="16"/>
        <v>166.0440161843637</v>
      </c>
      <c r="N76" s="8">
        <f t="shared" si="20"/>
        <v>24.999999999999961</v>
      </c>
      <c r="O76" s="8">
        <f t="shared" si="21"/>
        <v>25.952100622501337</v>
      </c>
    </row>
    <row r="77" spans="1:15" x14ac:dyDescent="0.3">
      <c r="A77" s="5">
        <f t="shared" si="22"/>
        <v>0.69000000000000039</v>
      </c>
      <c r="B77" s="5">
        <f t="shared" si="17"/>
        <v>172.32860591242633</v>
      </c>
      <c r="C77" s="6">
        <f t="shared" si="15"/>
        <v>6646.9605137650151</v>
      </c>
      <c r="D77" s="6">
        <f t="shared" si="23"/>
        <v>44182084.071551271</v>
      </c>
      <c r="E77" s="7">
        <f t="shared" si="24"/>
        <v>6248571.4285714282</v>
      </c>
      <c r="F77" s="7">
        <f t="shared" si="25"/>
        <v>124.97142857142855</v>
      </c>
      <c r="G77" s="7">
        <f t="shared" si="26"/>
        <v>37933512.642979845</v>
      </c>
      <c r="H77" s="6">
        <f t="shared" si="27"/>
        <v>6159.0188052140129</v>
      </c>
      <c r="I77" s="7">
        <f t="shared" si="28"/>
        <v>-3.9044261086614265</v>
      </c>
      <c r="J77" s="7">
        <f t="shared" si="29"/>
        <v>-102.47125655333015</v>
      </c>
      <c r="K77" s="8">
        <f t="shared" si="18"/>
        <v>150.59929276265501</v>
      </c>
      <c r="L77" s="8">
        <f t="shared" si="19"/>
        <v>-6.3251702960315095</v>
      </c>
      <c r="M77" s="8">
        <f t="shared" si="16"/>
        <v>166.00343561639482</v>
      </c>
      <c r="N77" s="8">
        <f t="shared" si="20"/>
        <v>24.999999999999996</v>
      </c>
      <c r="O77" s="8">
        <f t="shared" si="21"/>
        <v>25.952566173185694</v>
      </c>
    </row>
    <row r="78" spans="1:15" x14ac:dyDescent="0.3">
      <c r="A78" s="5">
        <f t="shared" si="22"/>
        <v>0.7000000000000004</v>
      </c>
      <c r="B78" s="5">
        <f t="shared" si="17"/>
        <v>172.28956165133971</v>
      </c>
      <c r="C78" s="6">
        <f t="shared" si="15"/>
        <v>6645.4545208373884</v>
      </c>
      <c r="D78" s="6">
        <f t="shared" si="23"/>
        <v>44162065.788518086</v>
      </c>
      <c r="E78" s="7">
        <f t="shared" si="24"/>
        <v>6248571.4285714282</v>
      </c>
      <c r="F78" s="7">
        <f t="shared" si="25"/>
        <v>124.97142857142855</v>
      </c>
      <c r="G78" s="7">
        <f t="shared" si="26"/>
        <v>37913494.359946661</v>
      </c>
      <c r="H78" s="6">
        <f t="shared" si="27"/>
        <v>6157.3934712625487</v>
      </c>
      <c r="I78" s="7">
        <f t="shared" si="28"/>
        <v>-3.9053810551256039</v>
      </c>
      <c r="J78" s="7">
        <f t="shared" si="29"/>
        <v>-102.4462002111335</v>
      </c>
      <c r="K78" s="8">
        <f t="shared" si="18"/>
        <v>150.63612641198756</v>
      </c>
      <c r="L78" s="8">
        <f t="shared" si="19"/>
        <v>-6.3267173093034765</v>
      </c>
      <c r="M78" s="8">
        <f t="shared" si="16"/>
        <v>165.96284434203622</v>
      </c>
      <c r="N78" s="8">
        <f t="shared" si="20"/>
        <v>24.999999999999982</v>
      </c>
      <c r="O78" s="8">
        <f t="shared" si="21"/>
        <v>25.953032188377133</v>
      </c>
    </row>
    <row r="79" spans="1:15" x14ac:dyDescent="0.3">
      <c r="A79" s="5">
        <f t="shared" si="22"/>
        <v>0.71000000000000041</v>
      </c>
      <c r="B79" s="5">
        <f t="shared" si="17"/>
        <v>172.25050784078846</v>
      </c>
      <c r="C79" s="6">
        <f t="shared" si="15"/>
        <v>6643.9481595732686</v>
      </c>
      <c r="D79" s="6">
        <f t="shared" si="23"/>
        <v>44142047.147097021</v>
      </c>
      <c r="E79" s="7">
        <f t="shared" si="24"/>
        <v>6248571.4285714282</v>
      </c>
      <c r="F79" s="7">
        <f t="shared" si="25"/>
        <v>124.97142857142855</v>
      </c>
      <c r="G79" s="7">
        <f t="shared" si="26"/>
        <v>37893475.718525596</v>
      </c>
      <c r="H79" s="6">
        <f t="shared" si="27"/>
        <v>6155.7676790572268</v>
      </c>
      <c r="I79" s="7">
        <f t="shared" si="28"/>
        <v>-3.9063367210931568</v>
      </c>
      <c r="J79" s="7">
        <f t="shared" si="29"/>
        <v>-102.42113725470219</v>
      </c>
      <c r="K79" s="8">
        <f t="shared" si="18"/>
        <v>150.67298781359318</v>
      </c>
      <c r="L79" s="8">
        <f t="shared" si="19"/>
        <v>-6.3282654881709126</v>
      </c>
      <c r="M79" s="8">
        <f t="shared" si="16"/>
        <v>165.92224235261756</v>
      </c>
      <c r="N79" s="8">
        <f t="shared" si="20"/>
        <v>25</v>
      </c>
      <c r="O79" s="8">
        <f t="shared" si="21"/>
        <v>25.953498668780359</v>
      </c>
    </row>
    <row r="80" spans="1:15" x14ac:dyDescent="0.3">
      <c r="A80" s="5">
        <f t="shared" si="22"/>
        <v>0.72000000000000042</v>
      </c>
      <c r="B80" s="5">
        <f t="shared" si="17"/>
        <v>172.21144447357753</v>
      </c>
      <c r="C80" s="6">
        <f t="shared" si="15"/>
        <v>6642.4414296951327</v>
      </c>
      <c r="D80" s="6">
        <f t="shared" si="23"/>
        <v>44122028.146930315</v>
      </c>
      <c r="E80" s="7">
        <f t="shared" si="24"/>
        <v>6248571.4285714282</v>
      </c>
      <c r="F80" s="7">
        <f t="shared" si="25"/>
        <v>124.97142857142855</v>
      </c>
      <c r="G80" s="7">
        <f t="shared" si="26"/>
        <v>37873456.718358889</v>
      </c>
      <c r="H80" s="6">
        <f t="shared" si="27"/>
        <v>6154.1414282057976</v>
      </c>
      <c r="I80" s="7">
        <f t="shared" si="28"/>
        <v>-3.9072931074821056</v>
      </c>
      <c r="J80" s="7">
        <f t="shared" si="29"/>
        <v>-102.39606767867687</v>
      </c>
      <c r="K80" s="8">
        <f t="shared" si="18"/>
        <v>150.7098770028812</v>
      </c>
      <c r="L80" s="8">
        <f t="shared" si="19"/>
        <v>-6.3298148341210094</v>
      </c>
      <c r="M80" s="8">
        <f t="shared" si="16"/>
        <v>165.88162963945652</v>
      </c>
      <c r="N80" s="8">
        <f t="shared" si="20"/>
        <v>24.999999999999986</v>
      </c>
      <c r="O80" s="8">
        <f t="shared" si="21"/>
        <v>25.953965615101374</v>
      </c>
    </row>
    <row r="81" spans="1:15" x14ac:dyDescent="0.3">
      <c r="A81" s="5">
        <f t="shared" si="22"/>
        <v>0.73000000000000043</v>
      </c>
      <c r="B81" s="5">
        <f t="shared" si="17"/>
        <v>172.1723715425027</v>
      </c>
      <c r="C81" s="6">
        <f t="shared" si="15"/>
        <v>6640.9343309251035</v>
      </c>
      <c r="D81" s="6">
        <f t="shared" si="23"/>
        <v>44102008.787659653</v>
      </c>
      <c r="E81" s="7">
        <f t="shared" si="24"/>
        <v>6248571.4285714282</v>
      </c>
      <c r="F81" s="7">
        <f t="shared" si="25"/>
        <v>124.97142857142855</v>
      </c>
      <c r="G81" s="7">
        <f t="shared" si="26"/>
        <v>37853437.359088227</v>
      </c>
      <c r="H81" s="6">
        <f t="shared" si="27"/>
        <v>6152.5147183154486</v>
      </c>
      <c r="I81" s="7">
        <f t="shared" si="28"/>
        <v>-3.9082502152121457</v>
      </c>
      <c r="J81" s="7">
        <f t="shared" si="29"/>
        <v>-102.37099147769078</v>
      </c>
      <c r="K81" s="8">
        <f t="shared" si="18"/>
        <v>150.74679401532561</v>
      </c>
      <c r="L81" s="8">
        <f t="shared" si="19"/>
        <v>-6.3313653486436747</v>
      </c>
      <c r="M81" s="8">
        <f t="shared" si="16"/>
        <v>165.84100619385902</v>
      </c>
      <c r="N81" s="8">
        <f t="shared" si="20"/>
        <v>25.000000000000004</v>
      </c>
      <c r="O81" s="8">
        <f t="shared" si="21"/>
        <v>25.954433028047763</v>
      </c>
    </row>
    <row r="82" spans="1:15" x14ac:dyDescent="0.3">
      <c r="A82" s="5">
        <f t="shared" si="22"/>
        <v>0.74000000000000044</v>
      </c>
      <c r="B82" s="5">
        <f t="shared" si="17"/>
        <v>172.13328904035058</v>
      </c>
      <c r="C82" s="6">
        <f t="shared" si="15"/>
        <v>6639.4268629849503</v>
      </c>
      <c r="D82" s="6">
        <f t="shared" si="23"/>
        <v>44081989.068926178</v>
      </c>
      <c r="E82" s="7">
        <f t="shared" si="24"/>
        <v>6248571.4285714282</v>
      </c>
      <c r="F82" s="7">
        <f t="shared" si="25"/>
        <v>124.97142857142855</v>
      </c>
      <c r="G82" s="7">
        <f t="shared" si="26"/>
        <v>37833417.640354753</v>
      </c>
      <c r="H82" s="6">
        <f t="shared" si="27"/>
        <v>6150.8875489928078</v>
      </c>
      <c r="I82" s="7">
        <f t="shared" si="28"/>
        <v>-3.9092080452046165</v>
      </c>
      <c r="J82" s="7">
        <f t="shared" si="29"/>
        <v>-102.34590864636982</v>
      </c>
      <c r="K82" s="8">
        <f t="shared" si="18"/>
        <v>150.78373888646377</v>
      </c>
      <c r="L82" s="8">
        <f t="shared" si="19"/>
        <v>-6.3329170332314773</v>
      </c>
      <c r="M82" s="8">
        <f t="shared" si="16"/>
        <v>165.80037200711911</v>
      </c>
      <c r="N82" s="8">
        <f t="shared" si="20"/>
        <v>25.000000000000004</v>
      </c>
      <c r="O82" s="8">
        <f t="shared" si="21"/>
        <v>25.954900908328415</v>
      </c>
    </row>
    <row r="83" spans="1:15" x14ac:dyDescent="0.3">
      <c r="A83" s="5">
        <f t="shared" si="22"/>
        <v>0.75000000000000044</v>
      </c>
      <c r="B83" s="5">
        <f t="shared" si="17"/>
        <v>172.09419695989854</v>
      </c>
      <c r="C83" s="6">
        <f t="shared" si="15"/>
        <v>6637.9190255960866</v>
      </c>
      <c r="D83" s="6">
        <f t="shared" si="23"/>
        <v>44061968.990370497</v>
      </c>
      <c r="E83" s="7">
        <f t="shared" si="24"/>
        <v>6248571.4285714282</v>
      </c>
      <c r="F83" s="7">
        <f t="shared" si="25"/>
        <v>124.97142857142855</v>
      </c>
      <c r="G83" s="7">
        <f t="shared" si="26"/>
        <v>37813397.561799072</v>
      </c>
      <c r="H83" s="6">
        <f t="shared" si="27"/>
        <v>6149.2599198439375</v>
      </c>
      <c r="I83" s="7">
        <f t="shared" si="28"/>
        <v>-3.9101665983825384</v>
      </c>
      <c r="J83" s="7">
        <f t="shared" si="29"/>
        <v>-102.32081917933263</v>
      </c>
      <c r="K83" s="8">
        <f t="shared" si="18"/>
        <v>150.82071165189791</v>
      </c>
      <c r="L83" s="8">
        <f t="shared" si="19"/>
        <v>-6.3344698893797116</v>
      </c>
      <c r="M83" s="8">
        <f t="shared" si="16"/>
        <v>165.75972707051884</v>
      </c>
      <c r="N83" s="8">
        <f t="shared" si="20"/>
        <v>25.000000000000018</v>
      </c>
      <c r="O83" s="8">
        <f t="shared" si="21"/>
        <v>25.955369256653782</v>
      </c>
    </row>
    <row r="84" spans="1:15" x14ac:dyDescent="0.3">
      <c r="A84" s="5">
        <f t="shared" si="22"/>
        <v>0.76000000000000045</v>
      </c>
      <c r="B84" s="5">
        <f t="shared" si="17"/>
        <v>172.05509529391472</v>
      </c>
      <c r="C84" s="6">
        <f t="shared" si="15"/>
        <v>6636.4108184795678</v>
      </c>
      <c r="D84" s="6">
        <f t="shared" si="23"/>
        <v>44041948.551632643</v>
      </c>
      <c r="E84" s="7">
        <f t="shared" si="24"/>
        <v>6248571.4285714282</v>
      </c>
      <c r="F84" s="7">
        <f t="shared" si="25"/>
        <v>124.97142857142855</v>
      </c>
      <c r="G84" s="7">
        <f t="shared" si="26"/>
        <v>37793377.123061217</v>
      </c>
      <c r="H84" s="6">
        <f t="shared" si="27"/>
        <v>6147.6318304743345</v>
      </c>
      <c r="I84" s="7">
        <f t="shared" si="28"/>
        <v>-3.9111258756705913</v>
      </c>
      <c r="J84" s="7">
        <f t="shared" si="29"/>
        <v>-102.29572307119037</v>
      </c>
      <c r="K84" s="8">
        <f t="shared" si="18"/>
        <v>150.85771234729424</v>
      </c>
      <c r="L84" s="8">
        <f t="shared" si="19"/>
        <v>-6.3360239185863572</v>
      </c>
      <c r="M84" s="8">
        <f t="shared" si="16"/>
        <v>165.71907137532835</v>
      </c>
      <c r="N84" s="8">
        <f t="shared" si="20"/>
        <v>25.000000000000007</v>
      </c>
      <c r="O84" s="8">
        <f t="shared" si="21"/>
        <v>25.955838073735684</v>
      </c>
    </row>
    <row r="85" spans="1:15" x14ac:dyDescent="0.3">
      <c r="A85" s="5">
        <f t="shared" si="22"/>
        <v>0.77000000000000046</v>
      </c>
      <c r="B85" s="5">
        <f t="shared" si="17"/>
        <v>172.015984035158</v>
      </c>
      <c r="C85" s="6">
        <f t="shared" si="15"/>
        <v>6634.9022413560942</v>
      </c>
      <c r="D85" s="6">
        <f t="shared" si="23"/>
        <v>44021927.752352126</v>
      </c>
      <c r="E85" s="7">
        <f t="shared" si="24"/>
        <v>6248571.4285714282</v>
      </c>
      <c r="F85" s="7">
        <f t="shared" si="25"/>
        <v>124.97142857142855</v>
      </c>
      <c r="G85" s="7">
        <f t="shared" si="26"/>
        <v>37773356.323780701</v>
      </c>
      <c r="H85" s="6">
        <f t="shared" si="27"/>
        <v>6146.0032804889306</v>
      </c>
      <c r="I85" s="7">
        <f t="shared" si="28"/>
        <v>-3.9120858779951373</v>
      </c>
      <c r="J85" s="7">
        <f t="shared" si="29"/>
        <v>-102.27062031654685</v>
      </c>
      <c r="K85" s="8">
        <f t="shared" si="18"/>
        <v>150.89474100838385</v>
      </c>
      <c r="L85" s="8">
        <f t="shared" si="19"/>
        <v>-6.3375791223521212</v>
      </c>
      <c r="M85" s="8">
        <f t="shared" si="16"/>
        <v>165.67840491280589</v>
      </c>
      <c r="N85" s="8">
        <f t="shared" si="20"/>
        <v>24.999999999999993</v>
      </c>
      <c r="O85" s="8">
        <f t="shared" si="21"/>
        <v>25.956307360287457</v>
      </c>
    </row>
    <row r="86" spans="1:15" x14ac:dyDescent="0.3">
      <c r="A86" s="5">
        <f t="shared" si="22"/>
        <v>0.78000000000000047</v>
      </c>
      <c r="B86" s="5">
        <f t="shared" si="17"/>
        <v>171.97686317637806</v>
      </c>
      <c r="C86" s="6">
        <f t="shared" si="15"/>
        <v>6633.393293946011</v>
      </c>
      <c r="D86" s="6">
        <f t="shared" si="23"/>
        <v>44001906.592167906</v>
      </c>
      <c r="E86" s="7">
        <f t="shared" si="24"/>
        <v>6248571.4285714282</v>
      </c>
      <c r="F86" s="7">
        <f t="shared" si="25"/>
        <v>124.97142857142855</v>
      </c>
      <c r="G86" s="7">
        <f t="shared" si="26"/>
        <v>37753335.163596481</v>
      </c>
      <c r="H86" s="6">
        <f t="shared" si="27"/>
        <v>6144.374269492092</v>
      </c>
      <c r="I86" s="7">
        <f t="shared" si="28"/>
        <v>-3.9130466062842175</v>
      </c>
      <c r="J86" s="7">
        <f t="shared" si="29"/>
        <v>-102.24551090999856</v>
      </c>
      <c r="K86" s="8">
        <f t="shared" si="18"/>
        <v>150.93179767096268</v>
      </c>
      <c r="L86" s="8">
        <f t="shared" si="19"/>
        <v>-6.3391355021804321</v>
      </c>
      <c r="M86" s="8">
        <f t="shared" si="16"/>
        <v>165.63772767419763</v>
      </c>
      <c r="N86" s="8">
        <f t="shared" si="20"/>
        <v>25.000000000000014</v>
      </c>
      <c r="O86" s="8">
        <f t="shared" si="21"/>
        <v>25.956777117023925</v>
      </c>
    </row>
    <row r="87" spans="1:15" x14ac:dyDescent="0.3">
      <c r="A87" s="5">
        <f t="shared" si="22"/>
        <v>0.79000000000000048</v>
      </c>
      <c r="B87" s="5">
        <f t="shared" si="17"/>
        <v>171.93773271031523</v>
      </c>
      <c r="C87" s="6">
        <f t="shared" si="15"/>
        <v>6631.883975969301</v>
      </c>
      <c r="D87" s="6">
        <f t="shared" si="23"/>
        <v>43981885.070718385</v>
      </c>
      <c r="E87" s="7">
        <f t="shared" si="24"/>
        <v>6248571.4285714282</v>
      </c>
      <c r="F87" s="7">
        <f t="shared" si="25"/>
        <v>124.97142857142855</v>
      </c>
      <c r="G87" s="7">
        <f t="shared" si="26"/>
        <v>37733313.64214696</v>
      </c>
      <c r="H87" s="6">
        <f t="shared" si="27"/>
        <v>6142.7447970876146</v>
      </c>
      <c r="I87" s="7">
        <f t="shared" si="28"/>
        <v>-3.9140080614675412</v>
      </c>
      <c r="J87" s="7">
        <f t="shared" si="29"/>
        <v>-102.22039484613447</v>
      </c>
      <c r="K87" s="8">
        <f t="shared" si="18"/>
        <v>150.96888237089087</v>
      </c>
      <c r="L87" s="8">
        <f t="shared" si="19"/>
        <v>-6.3406930595774158</v>
      </c>
      <c r="M87" s="8">
        <f t="shared" si="16"/>
        <v>165.59703965073783</v>
      </c>
      <c r="N87" s="8">
        <f t="shared" si="20"/>
        <v>24.999999999999989</v>
      </c>
      <c r="O87" s="8">
        <f t="shared" si="21"/>
        <v>25.957247344661258</v>
      </c>
    </row>
    <row r="88" spans="1:15" x14ac:dyDescent="0.3">
      <c r="A88" s="5">
        <f t="shared" si="22"/>
        <v>0.80000000000000049</v>
      </c>
      <c r="B88" s="5">
        <f t="shared" si="17"/>
        <v>171.89859262970054</v>
      </c>
      <c r="C88" s="6">
        <f t="shared" si="15"/>
        <v>6630.3742871455925</v>
      </c>
      <c r="D88" s="6">
        <f t="shared" si="23"/>
        <v>43961863.187641427</v>
      </c>
      <c r="E88" s="7">
        <f t="shared" si="24"/>
        <v>6248571.4285714282</v>
      </c>
      <c r="F88" s="7">
        <f t="shared" si="25"/>
        <v>124.97142857142855</v>
      </c>
      <c r="G88" s="7">
        <f t="shared" si="26"/>
        <v>37713291.759070002</v>
      </c>
      <c r="H88" s="6">
        <f t="shared" si="27"/>
        <v>6141.1148628787269</v>
      </c>
      <c r="I88" s="7">
        <f t="shared" si="28"/>
        <v>-3.9149702444765202</v>
      </c>
      <c r="J88" s="7">
        <f t="shared" si="29"/>
        <v>-102.19527211953618</v>
      </c>
      <c r="K88" s="8">
        <f t="shared" si="18"/>
        <v>151.00599514409436</v>
      </c>
      <c r="L88" s="8">
        <f t="shared" si="19"/>
        <v>-6.3422517960519622</v>
      </c>
      <c r="M88" s="8">
        <f t="shared" si="16"/>
        <v>165.55634083364859</v>
      </c>
      <c r="N88" s="8">
        <f t="shared" si="20"/>
        <v>24.999999999999972</v>
      </c>
      <c r="O88" s="8">
        <f t="shared" si="21"/>
        <v>25.957718043917215</v>
      </c>
    </row>
    <row r="89" spans="1:15" x14ac:dyDescent="0.3">
      <c r="A89" s="5">
        <f t="shared" si="22"/>
        <v>0.8100000000000005</v>
      </c>
      <c r="B89" s="5">
        <f t="shared" si="17"/>
        <v>171.85944292725577</v>
      </c>
      <c r="C89" s="6">
        <f t="shared" si="15"/>
        <v>6628.8642271941508</v>
      </c>
      <c r="D89" s="6">
        <f t="shared" si="23"/>
        <v>43941840.942574307</v>
      </c>
      <c r="E89" s="7">
        <f t="shared" si="24"/>
        <v>6248571.4285714282</v>
      </c>
      <c r="F89" s="7">
        <f t="shared" si="25"/>
        <v>124.97142857142855</v>
      </c>
      <c r="G89" s="7">
        <f t="shared" si="26"/>
        <v>37693269.514002882</v>
      </c>
      <c r="H89" s="6">
        <f t="shared" si="27"/>
        <v>6139.4844664680832</v>
      </c>
      <c r="I89" s="7">
        <f t="shared" si="28"/>
        <v>-3.9159331562442548</v>
      </c>
      <c r="J89" s="7">
        <f t="shared" si="29"/>
        <v>-102.17014272477785</v>
      </c>
      <c r="K89" s="8">
        <f t="shared" si="18"/>
        <v>151.0431360265641</v>
      </c>
      <c r="L89" s="8">
        <f t="shared" si="19"/>
        <v>-6.3438117131156915</v>
      </c>
      <c r="M89" s="8">
        <f t="shared" si="16"/>
        <v>165.51563121414009</v>
      </c>
      <c r="N89" s="8">
        <f t="shared" si="20"/>
        <v>24.999999999999979</v>
      </c>
      <c r="O89" s="8">
        <f t="shared" si="21"/>
        <v>25.958189215511023</v>
      </c>
    </row>
    <row r="90" spans="1:15" x14ac:dyDescent="0.3">
      <c r="A90" s="5">
        <f t="shared" si="22"/>
        <v>0.82000000000000051</v>
      </c>
      <c r="B90" s="5">
        <f t="shared" si="17"/>
        <v>171.82028359569333</v>
      </c>
      <c r="C90" s="6">
        <f t="shared" si="15"/>
        <v>6627.3537958338848</v>
      </c>
      <c r="D90" s="6">
        <f t="shared" si="23"/>
        <v>43921818.335153803</v>
      </c>
      <c r="E90" s="7">
        <f t="shared" si="24"/>
        <v>6248571.4285714282</v>
      </c>
      <c r="F90" s="7">
        <f t="shared" si="25"/>
        <v>124.97142857142855</v>
      </c>
      <c r="G90" s="7">
        <f t="shared" si="26"/>
        <v>37673246.906582378</v>
      </c>
      <c r="H90" s="6">
        <f t="shared" si="27"/>
        <v>6137.8536074577714</v>
      </c>
      <c r="I90" s="7">
        <f t="shared" si="28"/>
        <v>-3.916896797705526</v>
      </c>
      <c r="J90" s="7">
        <f t="shared" si="29"/>
        <v>-102.14500665642618</v>
      </c>
      <c r="K90" s="8">
        <f t="shared" si="18"/>
        <v>151.08030505435599</v>
      </c>
      <c r="L90" s="8">
        <f t="shared" si="19"/>
        <v>-6.3453728122829505</v>
      </c>
      <c r="M90" s="8">
        <f t="shared" si="16"/>
        <v>165.47491078341037</v>
      </c>
      <c r="N90" s="8">
        <f t="shared" si="20"/>
        <v>24.999999999999979</v>
      </c>
      <c r="O90" s="8">
        <f t="shared" si="21"/>
        <v>25.958660860163306</v>
      </c>
    </row>
    <row r="91" spans="1:15" x14ac:dyDescent="0.3">
      <c r="A91" s="5">
        <f t="shared" si="22"/>
        <v>0.83000000000000052</v>
      </c>
      <c r="B91" s="5">
        <f t="shared" si="17"/>
        <v>171.78111462771628</v>
      </c>
      <c r="C91" s="6">
        <f t="shared" si="15"/>
        <v>6625.8429927833422</v>
      </c>
      <c r="D91" s="6">
        <f t="shared" si="23"/>
        <v>43901795.365016118</v>
      </c>
      <c r="E91" s="7">
        <f t="shared" si="24"/>
        <v>6248571.4285714282</v>
      </c>
      <c r="F91" s="7">
        <f t="shared" si="25"/>
        <v>124.97142857142855</v>
      </c>
      <c r="G91" s="7">
        <f t="shared" si="26"/>
        <v>37653223.936444692</v>
      </c>
      <c r="H91" s="6">
        <f t="shared" si="27"/>
        <v>6136.2222854493048</v>
      </c>
      <c r="I91" s="7">
        <f t="shared" si="28"/>
        <v>-3.9178611697968253</v>
      </c>
      <c r="J91" s="7">
        <f t="shared" si="29"/>
        <v>-102.1198639090404</v>
      </c>
      <c r="K91" s="8">
        <f t="shared" si="18"/>
        <v>151.11750226359183</v>
      </c>
      <c r="L91" s="8">
        <f t="shared" si="19"/>
        <v>-6.3469350950708563</v>
      </c>
      <c r="M91" s="8">
        <f t="shared" si="16"/>
        <v>165.43417953264543</v>
      </c>
      <c r="N91" s="8">
        <f t="shared" si="20"/>
        <v>25.000000000000004</v>
      </c>
      <c r="O91" s="8">
        <f t="shared" si="21"/>
        <v>25.959132978596241</v>
      </c>
    </row>
    <row r="92" spans="1:15" x14ac:dyDescent="0.3">
      <c r="A92" s="5">
        <f t="shared" si="22"/>
        <v>0.84000000000000052</v>
      </c>
      <c r="B92" s="5">
        <f t="shared" si="17"/>
        <v>171.74193601601831</v>
      </c>
      <c r="C92" s="6">
        <f t="shared" si="15"/>
        <v>6624.3318177607061</v>
      </c>
      <c r="D92" s="6">
        <f t="shared" si="23"/>
        <v>43881772.031796858</v>
      </c>
      <c r="E92" s="7">
        <f t="shared" si="24"/>
        <v>6248571.4285714282</v>
      </c>
      <c r="F92" s="7">
        <f t="shared" si="25"/>
        <v>124.97142857142855</v>
      </c>
      <c r="G92" s="7">
        <f t="shared" si="26"/>
        <v>37633200.603225432</v>
      </c>
      <c r="H92" s="6">
        <f t="shared" si="27"/>
        <v>6134.5905000436196</v>
      </c>
      <c r="I92" s="7">
        <f t="shared" si="28"/>
        <v>-3.9188262734563404</v>
      </c>
      <c r="J92" s="7">
        <f t="shared" si="29"/>
        <v>-102.09471447717226</v>
      </c>
      <c r="K92" s="8">
        <f t="shared" si="18"/>
        <v>151.15472769045883</v>
      </c>
      <c r="L92" s="8">
        <f t="shared" si="19"/>
        <v>-6.3484985629992705</v>
      </c>
      <c r="M92" s="8">
        <f t="shared" si="16"/>
        <v>165.39343745301903</v>
      </c>
      <c r="N92" s="8">
        <f t="shared" si="20"/>
        <v>25.000000000000025</v>
      </c>
      <c r="O92" s="8">
        <f t="shared" si="21"/>
        <v>25.959605571533451</v>
      </c>
    </row>
    <row r="93" spans="1:15" x14ac:dyDescent="0.3">
      <c r="A93" s="5">
        <f t="shared" si="22"/>
        <v>0.85000000000000053</v>
      </c>
      <c r="B93" s="5">
        <f t="shared" si="17"/>
        <v>171.70274775328375</v>
      </c>
      <c r="C93" s="6">
        <f t="shared" si="15"/>
        <v>6622.8202704838013</v>
      </c>
      <c r="D93" s="6">
        <f t="shared" si="23"/>
        <v>43861748.335131131</v>
      </c>
      <c r="E93" s="7">
        <f t="shared" si="24"/>
        <v>6248571.4285714282</v>
      </c>
      <c r="F93" s="7">
        <f t="shared" si="25"/>
        <v>124.97142857142855</v>
      </c>
      <c r="G93" s="7">
        <f t="shared" si="26"/>
        <v>37613176.906559706</v>
      </c>
      <c r="H93" s="6">
        <f t="shared" si="27"/>
        <v>6132.9582508410822</v>
      </c>
      <c r="I93" s="7">
        <f t="shared" si="28"/>
        <v>-3.9197921096239536</v>
      </c>
      <c r="J93" s="7">
        <f t="shared" si="29"/>
        <v>-102.06955835536603</v>
      </c>
      <c r="K93" s="8">
        <f t="shared" si="18"/>
        <v>151.19198137120964</v>
      </c>
      <c r="L93" s="8">
        <f t="shared" si="19"/>
        <v>-6.3500632175908036</v>
      </c>
      <c r="M93" s="8">
        <f t="shared" si="16"/>
        <v>165.35268453569293</v>
      </c>
      <c r="N93" s="8">
        <f t="shared" si="20"/>
        <v>24.999999999999989</v>
      </c>
      <c r="O93" s="8">
        <f t="shared" si="21"/>
        <v>25.960078639699983</v>
      </c>
    </row>
    <row r="94" spans="1:15" x14ac:dyDescent="0.3">
      <c r="A94" s="5">
        <f t="shared" si="22"/>
        <v>0.86000000000000054</v>
      </c>
      <c r="B94" s="5">
        <f t="shared" si="17"/>
        <v>171.6635498321875</v>
      </c>
      <c r="C94" s="6">
        <f t="shared" si="15"/>
        <v>6621.3083506700887</v>
      </c>
      <c r="D94" s="6">
        <f t="shared" si="23"/>
        <v>43841724.27465345</v>
      </c>
      <c r="E94" s="7">
        <f t="shared" si="24"/>
        <v>6248571.4285714282</v>
      </c>
      <c r="F94" s="7">
        <f t="shared" si="25"/>
        <v>124.97142857142855</v>
      </c>
      <c r="G94" s="7">
        <f t="shared" si="26"/>
        <v>37593152.846082024</v>
      </c>
      <c r="H94" s="6">
        <f t="shared" si="27"/>
        <v>6131.3255374414775</v>
      </c>
      <c r="I94" s="7">
        <f t="shared" si="28"/>
        <v>-3.9207586792412878</v>
      </c>
      <c r="J94" s="7">
        <f t="shared" si="29"/>
        <v>-102.04439553815841</v>
      </c>
      <c r="K94" s="8">
        <f t="shared" si="18"/>
        <v>151.22926334216396</v>
      </c>
      <c r="L94" s="8">
        <f t="shared" si="19"/>
        <v>-6.351629060370886</v>
      </c>
      <c r="M94" s="8">
        <f t="shared" si="16"/>
        <v>165.3119207718166</v>
      </c>
      <c r="N94" s="8">
        <f t="shared" si="20"/>
        <v>24.999999999999996</v>
      </c>
      <c r="O94" s="8">
        <f t="shared" si="21"/>
        <v>25.960552183822568</v>
      </c>
    </row>
    <row r="95" spans="1:15" x14ac:dyDescent="0.3">
      <c r="A95" s="5">
        <f t="shared" si="22"/>
        <v>0.87000000000000055</v>
      </c>
      <c r="B95" s="5">
        <f t="shared" si="17"/>
        <v>171.6243422453951</v>
      </c>
      <c r="C95" s="6">
        <f t="shared" si="15"/>
        <v>6619.796058036668</v>
      </c>
      <c r="D95" s="6">
        <f t="shared" si="23"/>
        <v>43821699.849997811</v>
      </c>
      <c r="E95" s="7">
        <f t="shared" si="24"/>
        <v>6248571.4285714282</v>
      </c>
      <c r="F95" s="7">
        <f t="shared" si="25"/>
        <v>124.97142857142855</v>
      </c>
      <c r="G95" s="7">
        <f t="shared" si="26"/>
        <v>37573128.421426386</v>
      </c>
      <c r="H95" s="6">
        <f t="shared" si="27"/>
        <v>6129.6923594440195</v>
      </c>
      <c r="I95" s="7">
        <f t="shared" si="28"/>
        <v>-3.9217259832516462</v>
      </c>
      <c r="J95" s="7">
        <f t="shared" si="29"/>
        <v>-102.01922602007868</v>
      </c>
      <c r="K95" s="8">
        <f t="shared" si="18"/>
        <v>151.26657363970634</v>
      </c>
      <c r="L95" s="8">
        <f t="shared" si="19"/>
        <v>-6.3531960928676652</v>
      </c>
      <c r="M95" s="8">
        <f t="shared" si="16"/>
        <v>165.27114615252742</v>
      </c>
      <c r="N95" s="8">
        <f t="shared" si="20"/>
        <v>24.999999999999957</v>
      </c>
      <c r="O95" s="8">
        <f t="shared" si="21"/>
        <v>25.961026204629221</v>
      </c>
    </row>
    <row r="96" spans="1:15" x14ac:dyDescent="0.3">
      <c r="A96" s="5">
        <f t="shared" si="22"/>
        <v>0.88000000000000056</v>
      </c>
      <c r="B96" s="5">
        <f t="shared" si="17"/>
        <v>171.58512498556257</v>
      </c>
      <c r="C96" s="6">
        <f t="shared" si="15"/>
        <v>6618.28339230027</v>
      </c>
      <c r="D96" s="6">
        <f t="shared" si="23"/>
        <v>43801675.060797572</v>
      </c>
      <c r="E96" s="7">
        <f t="shared" si="24"/>
        <v>6248571.4285714282</v>
      </c>
      <c r="F96" s="7">
        <f t="shared" si="25"/>
        <v>124.97142857142855</v>
      </c>
      <c r="G96" s="7">
        <f t="shared" si="26"/>
        <v>37553103.632226147</v>
      </c>
      <c r="H96" s="6">
        <f t="shared" si="27"/>
        <v>6128.0587164473336</v>
      </c>
      <c r="I96" s="7">
        <f t="shared" si="28"/>
        <v>-3.9226940226000857</v>
      </c>
      <c r="J96" s="7">
        <f t="shared" si="29"/>
        <v>-101.99404979564842</v>
      </c>
      <c r="K96" s="8">
        <f t="shared" si="18"/>
        <v>151.303912300289</v>
      </c>
      <c r="L96" s="8">
        <f t="shared" si="19"/>
        <v>-6.3547643166121377</v>
      </c>
      <c r="M96" s="8">
        <f t="shared" si="16"/>
        <v>165.23036066895042</v>
      </c>
      <c r="N96" s="8">
        <f t="shared" si="20"/>
        <v>24.999999999999996</v>
      </c>
      <c r="O96" s="8">
        <f t="shared" si="21"/>
        <v>25.961500702849687</v>
      </c>
    </row>
    <row r="97" spans="1:15" x14ac:dyDescent="0.3">
      <c r="A97" s="5">
        <f t="shared" si="22"/>
        <v>0.89000000000000057</v>
      </c>
      <c r="B97" s="5">
        <f t="shared" si="17"/>
        <v>171.54589804533657</v>
      </c>
      <c r="C97" s="6">
        <f t="shared" si="15"/>
        <v>6616.7703531772677</v>
      </c>
      <c r="D97" s="6">
        <f t="shared" si="23"/>
        <v>43781649.906685621</v>
      </c>
      <c r="E97" s="7">
        <f t="shared" si="24"/>
        <v>6248571.4285714282</v>
      </c>
      <c r="F97" s="7">
        <f t="shared" si="25"/>
        <v>124.97142857142855</v>
      </c>
      <c r="G97" s="7">
        <f t="shared" si="26"/>
        <v>37533078.478114195</v>
      </c>
      <c r="H97" s="6">
        <f t="shared" si="27"/>
        <v>6126.4246080494777</v>
      </c>
      <c r="I97" s="7">
        <f t="shared" si="28"/>
        <v>-3.9236627982333454</v>
      </c>
      <c r="J97" s="7">
        <f t="shared" si="29"/>
        <v>-101.96886685938185</v>
      </c>
      <c r="K97" s="8">
        <f t="shared" si="18"/>
        <v>151.34127936042904</v>
      </c>
      <c r="L97" s="8">
        <f t="shared" si="19"/>
        <v>-6.356333733138019</v>
      </c>
      <c r="M97" s="8">
        <f t="shared" si="16"/>
        <v>165.18956431219854</v>
      </c>
      <c r="N97" s="8">
        <f t="shared" si="20"/>
        <v>25</v>
      </c>
      <c r="O97" s="8">
        <f t="shared" si="21"/>
        <v>25.961975679214959</v>
      </c>
    </row>
    <row r="98" spans="1:15" x14ac:dyDescent="0.3">
      <c r="A98" s="5">
        <f t="shared" si="22"/>
        <v>0.90000000000000058</v>
      </c>
      <c r="B98" s="5">
        <f t="shared" si="17"/>
        <v>171.50666141735425</v>
      </c>
      <c r="C98" s="6">
        <f t="shared" si="15"/>
        <v>6615.2569403836633</v>
      </c>
      <c r="D98" s="6">
        <f t="shared" si="23"/>
        <v>43761624.387294225</v>
      </c>
      <c r="E98" s="7">
        <f t="shared" si="24"/>
        <v>6248571.4285714282</v>
      </c>
      <c r="F98" s="7">
        <f t="shared" si="25"/>
        <v>124.97142857142855</v>
      </c>
      <c r="G98" s="7">
        <f t="shared" si="26"/>
        <v>37513052.9587228</v>
      </c>
      <c r="H98" s="6">
        <f t="shared" si="27"/>
        <v>6124.7900338479194</v>
      </c>
      <c r="I98" s="7">
        <f t="shared" si="28"/>
        <v>-3.9246323110999173</v>
      </c>
      <c r="J98" s="7">
        <f t="shared" si="29"/>
        <v>-101.94367720578543</v>
      </c>
      <c r="K98" s="8">
        <f t="shared" si="18"/>
        <v>151.37867485671109</v>
      </c>
      <c r="L98" s="8">
        <f t="shared" si="19"/>
        <v>-6.3579043439818648</v>
      </c>
      <c r="M98" s="8">
        <f t="shared" si="16"/>
        <v>165.14875707337239</v>
      </c>
      <c r="N98" s="8">
        <f t="shared" si="20"/>
        <v>25.000000000000004</v>
      </c>
      <c r="O98" s="8">
        <f t="shared" si="21"/>
        <v>25.962451134457705</v>
      </c>
    </row>
    <row r="99" spans="1:15" x14ac:dyDescent="0.3">
      <c r="A99" s="5">
        <f t="shared" si="22"/>
        <v>0.91000000000000059</v>
      </c>
      <c r="B99" s="5">
        <f t="shared" si="17"/>
        <v>171.46741509424325</v>
      </c>
      <c r="C99" s="6">
        <f t="shared" si="15"/>
        <v>6613.7431536350969</v>
      </c>
      <c r="D99" s="6">
        <f t="shared" si="23"/>
        <v>43741598.502255119</v>
      </c>
      <c r="E99" s="7">
        <f t="shared" si="24"/>
        <v>6248571.4285714282</v>
      </c>
      <c r="F99" s="7">
        <f t="shared" si="25"/>
        <v>124.97142857142855</v>
      </c>
      <c r="G99" s="7">
        <f t="shared" si="26"/>
        <v>37493027.073683694</v>
      </c>
      <c r="H99" s="6">
        <f t="shared" si="27"/>
        <v>6123.1549934395498</v>
      </c>
      <c r="I99" s="7">
        <f t="shared" si="28"/>
        <v>-3.9256025621500115</v>
      </c>
      <c r="J99" s="7">
        <f t="shared" si="29"/>
        <v>-101.9184808293582</v>
      </c>
      <c r="K99" s="8">
        <f t="shared" si="18"/>
        <v>151.41609882578615</v>
      </c>
      <c r="L99" s="8">
        <f t="shared" si="19"/>
        <v>-6.359476150683018</v>
      </c>
      <c r="M99" s="8">
        <f t="shared" si="16"/>
        <v>165.10793894356024</v>
      </c>
      <c r="N99" s="8">
        <f t="shared" si="20"/>
        <v>24.999999999999982</v>
      </c>
      <c r="O99" s="8">
        <f t="shared" si="21"/>
        <v>25.96292706931203</v>
      </c>
    </row>
    <row r="100" spans="1:15" x14ac:dyDescent="0.3">
      <c r="A100" s="5">
        <f t="shared" si="22"/>
        <v>0.9200000000000006</v>
      </c>
      <c r="B100" s="5">
        <f t="shared" si="17"/>
        <v>171.42815906862174</v>
      </c>
      <c r="C100" s="6">
        <f t="shared" si="15"/>
        <v>6612.2289926468384</v>
      </c>
      <c r="D100" s="6">
        <f t="shared" si="23"/>
        <v>43721572.251199424</v>
      </c>
      <c r="E100" s="7">
        <f t="shared" si="24"/>
        <v>6248571.4285714282</v>
      </c>
      <c r="F100" s="7">
        <f t="shared" si="25"/>
        <v>124.97142857142855</v>
      </c>
      <c r="G100" s="7">
        <f t="shared" si="26"/>
        <v>37473000.822627999</v>
      </c>
      <c r="H100" s="6">
        <f t="shared" si="27"/>
        <v>6121.5194864206715</v>
      </c>
      <c r="I100" s="7">
        <f t="shared" si="28"/>
        <v>-3.9265735523355842</v>
      </c>
      <c r="J100" s="7">
        <f t="shared" si="29"/>
        <v>-101.89327772459143</v>
      </c>
      <c r="K100" s="8">
        <f t="shared" si="18"/>
        <v>151.45355130437252</v>
      </c>
      <c r="L100" s="8">
        <f t="shared" si="19"/>
        <v>-6.361049154783645</v>
      </c>
      <c r="M100" s="8">
        <f t="shared" si="16"/>
        <v>165.0671099138381</v>
      </c>
      <c r="N100" s="8">
        <f t="shared" si="20"/>
        <v>24.999999999999979</v>
      </c>
      <c r="O100" s="8">
        <f t="shared" si="21"/>
        <v>25.963403484513638</v>
      </c>
    </row>
    <row r="101" spans="1:15" x14ac:dyDescent="0.3">
      <c r="A101" s="5">
        <f t="shared" si="22"/>
        <v>0.9300000000000006</v>
      </c>
      <c r="B101" s="5">
        <f t="shared" si="17"/>
        <v>171.38889333309839</v>
      </c>
      <c r="C101" s="6">
        <f t="shared" si="15"/>
        <v>6610.7144571337949</v>
      </c>
      <c r="D101" s="6">
        <f t="shared" si="23"/>
        <v>43701545.633757763</v>
      </c>
      <c r="E101" s="7">
        <f t="shared" si="24"/>
        <v>6248571.4285714282</v>
      </c>
      <c r="F101" s="7">
        <f t="shared" si="25"/>
        <v>124.97142857142855</v>
      </c>
      <c r="G101" s="7">
        <f t="shared" si="26"/>
        <v>37452974.205186337</v>
      </c>
      <c r="H101" s="6">
        <f t="shared" si="27"/>
        <v>6119.8835123870076</v>
      </c>
      <c r="I101" s="7">
        <f t="shared" si="28"/>
        <v>-3.9275452826103243</v>
      </c>
      <c r="J101" s="7">
        <f t="shared" si="29"/>
        <v>-101.86806788596894</v>
      </c>
      <c r="K101" s="8">
        <f t="shared" si="18"/>
        <v>151.49103232925535</v>
      </c>
      <c r="L101" s="8">
        <f t="shared" si="19"/>
        <v>-6.3626233578287241</v>
      </c>
      <c r="M101" s="8">
        <f t="shared" si="16"/>
        <v>165.02626997526966</v>
      </c>
      <c r="N101" s="8">
        <f t="shared" si="20"/>
        <v>24.999999999999996</v>
      </c>
      <c r="O101" s="8">
        <f t="shared" si="21"/>
        <v>25.963880380799708</v>
      </c>
    </row>
    <row r="102" spans="1:15" x14ac:dyDescent="0.3">
      <c r="A102" s="5">
        <f t="shared" si="22"/>
        <v>0.94000000000000061</v>
      </c>
      <c r="B102" s="5">
        <f t="shared" si="17"/>
        <v>171.34961788027229</v>
      </c>
      <c r="C102" s="6">
        <f t="shared" si="15"/>
        <v>6609.1995468105024</v>
      </c>
      <c r="D102" s="6">
        <f t="shared" si="23"/>
        <v>43681518.649560153</v>
      </c>
      <c r="E102" s="7">
        <f t="shared" si="24"/>
        <v>6248571.4285714282</v>
      </c>
      <c r="F102" s="7">
        <f t="shared" si="25"/>
        <v>124.97142857142855</v>
      </c>
      <c r="G102" s="7">
        <f t="shared" si="26"/>
        <v>37432947.220988728</v>
      </c>
      <c r="H102" s="6">
        <f t="shared" si="27"/>
        <v>6118.247070933694</v>
      </c>
      <c r="I102" s="7">
        <f t="shared" si="28"/>
        <v>-3.9285177539296519</v>
      </c>
      <c r="J102" s="7">
        <f t="shared" si="29"/>
        <v>-101.84285130796685</v>
      </c>
      <c r="K102" s="8">
        <f t="shared" si="18"/>
        <v>151.52854193728658</v>
      </c>
      <c r="L102" s="8">
        <f t="shared" si="19"/>
        <v>-6.3641987613660351</v>
      </c>
      <c r="M102" s="8">
        <f t="shared" si="16"/>
        <v>164.98541911890626</v>
      </c>
      <c r="N102" s="8">
        <f t="shared" si="20"/>
        <v>24.999999999999989</v>
      </c>
      <c r="O102" s="8">
        <f t="shared" si="21"/>
        <v>25.964357758908871</v>
      </c>
    </row>
    <row r="103" spans="1:15" x14ac:dyDescent="0.3">
      <c r="A103" s="5">
        <f t="shared" si="22"/>
        <v>0.95000000000000062</v>
      </c>
      <c r="B103" s="5">
        <f t="shared" si="17"/>
        <v>171.31033270273301</v>
      </c>
      <c r="C103" s="6">
        <f t="shared" si="15"/>
        <v>6607.6842613911303</v>
      </c>
      <c r="D103" s="6">
        <f t="shared" si="23"/>
        <v>43661491.29823605</v>
      </c>
      <c r="E103" s="7">
        <f t="shared" si="24"/>
        <v>6248571.4285714282</v>
      </c>
      <c r="F103" s="7">
        <f t="shared" si="25"/>
        <v>124.97142857142855</v>
      </c>
      <c r="G103" s="7">
        <f t="shared" si="26"/>
        <v>37412919.869664624</v>
      </c>
      <c r="H103" s="6">
        <f t="shared" si="27"/>
        <v>6116.6101616552796</v>
      </c>
      <c r="I103" s="7">
        <f t="shared" si="28"/>
        <v>-3.9294909672507496</v>
      </c>
      <c r="J103" s="7">
        <f t="shared" si="29"/>
        <v>-101.81762798505359</v>
      </c>
      <c r="K103" s="8">
        <f t="shared" si="18"/>
        <v>151.56608016538604</v>
      </c>
      <c r="L103" s="8">
        <f t="shared" si="19"/>
        <v>-6.3657753669462132</v>
      </c>
      <c r="M103" s="8">
        <f t="shared" si="16"/>
        <v>164.94455733578678</v>
      </c>
      <c r="N103" s="8">
        <f t="shared" si="20"/>
        <v>24.999999999999975</v>
      </c>
      <c r="O103" s="8">
        <f t="shared" si="21"/>
        <v>25.964835619581383</v>
      </c>
    </row>
    <row r="104" spans="1:15" x14ac:dyDescent="0.3">
      <c r="A104" s="5">
        <f t="shared" si="22"/>
        <v>0.96000000000000063</v>
      </c>
      <c r="B104" s="5">
        <f t="shared" si="17"/>
        <v>171.27103779306049</v>
      </c>
      <c r="C104" s="6">
        <f t="shared" si="15"/>
        <v>6606.1686005894753</v>
      </c>
      <c r="D104" s="6">
        <f t="shared" si="23"/>
        <v>43641463.579414308</v>
      </c>
      <c r="E104" s="7">
        <f t="shared" si="24"/>
        <v>6248571.4285714282</v>
      </c>
      <c r="F104" s="7">
        <f t="shared" si="25"/>
        <v>124.97142857142855</v>
      </c>
      <c r="G104" s="7">
        <f t="shared" si="26"/>
        <v>37392892.150842883</v>
      </c>
      <c r="H104" s="6">
        <f t="shared" si="27"/>
        <v>6114.9727841457216</v>
      </c>
      <c r="I104" s="7">
        <f t="shared" si="28"/>
        <v>-3.9304649235325524</v>
      </c>
      <c r="J104" s="7">
        <f t="shared" si="29"/>
        <v>-101.79239791168999</v>
      </c>
      <c r="K104" s="8">
        <f t="shared" si="18"/>
        <v>151.6036470505413</v>
      </c>
      <c r="L104" s="8">
        <f t="shared" si="19"/>
        <v>-6.3673531761227338</v>
      </c>
      <c r="M104" s="8">
        <f t="shared" si="16"/>
        <v>164.90368461693777</v>
      </c>
      <c r="N104" s="8">
        <f t="shared" si="20"/>
        <v>25.000000000000011</v>
      </c>
      <c r="O104" s="8">
        <f t="shared" si="21"/>
        <v>25.965313963559062</v>
      </c>
    </row>
    <row r="105" spans="1:15" x14ac:dyDescent="0.3">
      <c r="A105" s="5">
        <f t="shared" si="22"/>
        <v>0.97000000000000064</v>
      </c>
      <c r="B105" s="5">
        <f t="shared" si="17"/>
        <v>171.23173314382515</v>
      </c>
      <c r="C105" s="6">
        <f t="shared" si="15"/>
        <v>6604.6525641189701</v>
      </c>
      <c r="D105" s="6">
        <f t="shared" si="23"/>
        <v>43621435.492723286</v>
      </c>
      <c r="E105" s="7">
        <f t="shared" si="24"/>
        <v>6248571.4285714282</v>
      </c>
      <c r="F105" s="7">
        <f t="shared" si="25"/>
        <v>124.97142857142855</v>
      </c>
      <c r="G105" s="7">
        <f t="shared" si="26"/>
        <v>37372864.064151861</v>
      </c>
      <c r="H105" s="6">
        <f t="shared" si="27"/>
        <v>6113.3349379983965</v>
      </c>
      <c r="I105" s="7">
        <f t="shared" si="28"/>
        <v>-3.931439623735729</v>
      </c>
      <c r="J105" s="7">
        <f t="shared" si="29"/>
        <v>-101.7671610823292</v>
      </c>
      <c r="K105" s="8">
        <f t="shared" si="18"/>
        <v>151.64124262980667</v>
      </c>
      <c r="L105" s="8">
        <f t="shared" si="19"/>
        <v>-6.3689321904518792</v>
      </c>
      <c r="M105" s="8">
        <f t="shared" si="16"/>
        <v>164.86280095337327</v>
      </c>
      <c r="N105" s="8">
        <f t="shared" si="20"/>
        <v>24.999999999999996</v>
      </c>
      <c r="O105" s="8">
        <f t="shared" si="21"/>
        <v>25.965792791585098</v>
      </c>
    </row>
    <row r="106" spans="1:15" x14ac:dyDescent="0.3">
      <c r="A106" s="5">
        <f t="shared" si="22"/>
        <v>0.98000000000000065</v>
      </c>
      <c r="B106" s="5">
        <f t="shared" si="17"/>
        <v>171.19241874758779</v>
      </c>
      <c r="C106" s="6">
        <f t="shared" si="15"/>
        <v>6603.1361516926718</v>
      </c>
      <c r="D106" s="6">
        <f t="shared" si="23"/>
        <v>43601407.037790708</v>
      </c>
      <c r="E106" s="7">
        <f t="shared" si="24"/>
        <v>6248571.4285714282</v>
      </c>
      <c r="F106" s="7">
        <f t="shared" si="25"/>
        <v>124.97142857142855</v>
      </c>
      <c r="G106" s="7">
        <f t="shared" si="26"/>
        <v>37352835.609219283</v>
      </c>
      <c r="H106" s="6">
        <f t="shared" si="27"/>
        <v>6111.6966228060828</v>
      </c>
      <c r="I106" s="7">
        <f t="shared" si="28"/>
        <v>-3.9324150688227291</v>
      </c>
      <c r="J106" s="7">
        <f t="shared" si="29"/>
        <v>-101.74191749141667</v>
      </c>
      <c r="K106" s="8">
        <f t="shared" si="18"/>
        <v>151.67886694030526</v>
      </c>
      <c r="L106" s="8">
        <f t="shared" si="19"/>
        <v>-6.37051241149282</v>
      </c>
      <c r="M106" s="8">
        <f t="shared" si="16"/>
        <v>164.82190633609497</v>
      </c>
      <c r="N106" s="8">
        <f t="shared" si="20"/>
        <v>25.000000000000004</v>
      </c>
      <c r="O106" s="8">
        <f t="shared" si="21"/>
        <v>25.966272104404386</v>
      </c>
    </row>
    <row r="107" spans="1:15" x14ac:dyDescent="0.3">
      <c r="A107" s="5">
        <f t="shared" si="22"/>
        <v>0.99000000000000066</v>
      </c>
      <c r="B107" s="5">
        <f t="shared" si="17"/>
        <v>171.15309459689956</v>
      </c>
      <c r="C107" s="6">
        <f t="shared" si="15"/>
        <v>6601.6193630232683</v>
      </c>
      <c r="D107" s="6">
        <f t="shared" si="23"/>
        <v>43581378.21424374</v>
      </c>
      <c r="E107" s="7">
        <f t="shared" si="24"/>
        <v>6248571.4285714282</v>
      </c>
      <c r="F107" s="7">
        <f t="shared" si="25"/>
        <v>124.97142857142855</v>
      </c>
      <c r="G107" s="7">
        <f t="shared" si="26"/>
        <v>37332806.785672314</v>
      </c>
      <c r="H107" s="6">
        <f t="shared" si="27"/>
        <v>6110.0578381609703</v>
      </c>
      <c r="I107" s="7">
        <f t="shared" si="28"/>
        <v>-3.9333912597577583</v>
      </c>
      <c r="J107" s="7">
        <f t="shared" si="29"/>
        <v>-101.71666713339013</v>
      </c>
      <c r="K107" s="8">
        <f t="shared" si="18"/>
        <v>151.7165200192278</v>
      </c>
      <c r="L107" s="8">
        <f t="shared" si="19"/>
        <v>-6.3720938408075671</v>
      </c>
      <c r="M107" s="8">
        <f t="shared" si="16"/>
        <v>164.781000756092</v>
      </c>
      <c r="N107" s="8">
        <f t="shared" si="20"/>
        <v>25.000000000000021</v>
      </c>
      <c r="O107" s="8">
        <f t="shared" si="21"/>
        <v>25.966751902763303</v>
      </c>
    </row>
    <row r="108" spans="1:15" x14ac:dyDescent="0.3">
      <c r="A108" s="5">
        <f t="shared" si="22"/>
        <v>1.0000000000000007</v>
      </c>
      <c r="B108" s="5">
        <f t="shared" si="17"/>
        <v>171.11376068430198</v>
      </c>
      <c r="C108" s="6">
        <f t="shared" si="15"/>
        <v>6600.1021978230756</v>
      </c>
      <c r="D108" s="6">
        <f t="shared" si="23"/>
        <v>43561349.021708995</v>
      </c>
      <c r="E108" s="7">
        <f t="shared" si="24"/>
        <v>6248571.4285714282</v>
      </c>
      <c r="F108" s="7">
        <f t="shared" si="25"/>
        <v>124.97142857142855</v>
      </c>
      <c r="G108" s="7">
        <f t="shared" si="26"/>
        <v>37312777.59313757</v>
      </c>
      <c r="H108" s="6">
        <f t="shared" si="27"/>
        <v>6108.4185836546576</v>
      </c>
      <c r="I108" s="7">
        <f t="shared" si="28"/>
        <v>-3.934368197506775</v>
      </c>
      <c r="J108" s="7">
        <f t="shared" si="29"/>
        <v>-101.69141000267965</v>
      </c>
      <c r="K108" s="8">
        <f t="shared" si="18"/>
        <v>151.75420190383275</v>
      </c>
      <c r="L108" s="8">
        <f t="shared" si="19"/>
        <v>-6.3736764799609746</v>
      </c>
      <c r="M108" s="8">
        <f t="shared" si="16"/>
        <v>164.740084204341</v>
      </c>
      <c r="N108" s="8">
        <f t="shared" si="20"/>
        <v>24.999999999999975</v>
      </c>
      <c r="O108" s="8">
        <f t="shared" si="21"/>
        <v>25.967232187409682</v>
      </c>
    </row>
    <row r="109" spans="1:15" x14ac:dyDescent="0.3">
      <c r="A109" s="5">
        <f t="shared" si="22"/>
        <v>1.0100000000000007</v>
      </c>
      <c r="B109" s="5">
        <f t="shared" si="17"/>
        <v>171.07441700232692</v>
      </c>
      <c r="C109" s="6">
        <f t="shared" si="15"/>
        <v>6598.5846558040384</v>
      </c>
      <c r="D109" s="6">
        <f t="shared" si="23"/>
        <v>43541319.4598125</v>
      </c>
      <c r="E109" s="7">
        <f t="shared" si="24"/>
        <v>6248571.4285714282</v>
      </c>
      <c r="F109" s="7">
        <f t="shared" si="25"/>
        <v>124.97142857142855</v>
      </c>
      <c r="G109" s="7">
        <f t="shared" si="26"/>
        <v>37292748.031241074</v>
      </c>
      <c r="H109" s="6">
        <f t="shared" si="27"/>
        <v>6106.7788588781459</v>
      </c>
      <c r="I109" s="7">
        <f t="shared" si="28"/>
        <v>-3.9353458830375496</v>
      </c>
      <c r="J109" s="7">
        <f t="shared" si="29"/>
        <v>-101.66614609370748</v>
      </c>
      <c r="K109" s="8">
        <f t="shared" si="18"/>
        <v>151.79191263144833</v>
      </c>
      <c r="L109" s="8">
        <f t="shared" si="19"/>
        <v>-6.3752603305208293</v>
      </c>
      <c r="M109" s="8">
        <f t="shared" si="16"/>
        <v>164.69915667180609</v>
      </c>
      <c r="N109" s="8">
        <f t="shared" si="20"/>
        <v>25.000000000000011</v>
      </c>
      <c r="O109" s="8">
        <f t="shared" si="21"/>
        <v>25.967712959093166</v>
      </c>
    </row>
    <row r="110" spans="1:15" x14ac:dyDescent="0.3">
      <c r="A110" s="5">
        <f t="shared" si="22"/>
        <v>1.0200000000000007</v>
      </c>
      <c r="B110" s="5">
        <f t="shared" si="17"/>
        <v>171.03506354349656</v>
      </c>
      <c r="C110" s="6">
        <f t="shared" si="15"/>
        <v>6597.0667366777243</v>
      </c>
      <c r="D110" s="6">
        <f t="shared" si="23"/>
        <v>43521289.528179675</v>
      </c>
      <c r="E110" s="7">
        <f t="shared" si="24"/>
        <v>6248571.4285714282</v>
      </c>
      <c r="F110" s="7">
        <f t="shared" si="25"/>
        <v>124.97142857142855</v>
      </c>
      <c r="G110" s="7">
        <f t="shared" si="26"/>
        <v>37272718.09960825</v>
      </c>
      <c r="H110" s="6">
        <f t="shared" si="27"/>
        <v>6105.1386634218434</v>
      </c>
      <c r="I110" s="7">
        <f t="shared" si="28"/>
        <v>-3.9363243173195781</v>
      </c>
      <c r="J110" s="7">
        <f t="shared" si="29"/>
        <v>-101.64087540088819</v>
      </c>
      <c r="K110" s="8">
        <f t="shared" si="18"/>
        <v>151.82965223946943</v>
      </c>
      <c r="L110" s="8">
        <f t="shared" si="19"/>
        <v>-6.3768453940577148</v>
      </c>
      <c r="M110" s="8">
        <f t="shared" si="16"/>
        <v>164.65821814943885</v>
      </c>
      <c r="N110" s="8">
        <f t="shared" si="20"/>
        <v>24.999999999999993</v>
      </c>
      <c r="O110" s="8">
        <f t="shared" si="21"/>
        <v>25.968194218564637</v>
      </c>
    </row>
    <row r="111" spans="1:15" x14ac:dyDescent="0.3">
      <c r="A111" s="5">
        <f t="shared" si="22"/>
        <v>1.0300000000000007</v>
      </c>
      <c r="B111" s="5">
        <f t="shared" si="17"/>
        <v>170.99570030032336</v>
      </c>
      <c r="C111" s="6">
        <f t="shared" si="15"/>
        <v>6595.5484401553294</v>
      </c>
      <c r="D111" s="6">
        <f t="shared" si="23"/>
        <v>43501259.226435401</v>
      </c>
      <c r="E111" s="7">
        <f t="shared" si="24"/>
        <v>6248571.4285714282</v>
      </c>
      <c r="F111" s="7">
        <f t="shared" si="25"/>
        <v>124.97142857142855</v>
      </c>
      <c r="G111" s="7">
        <f t="shared" si="26"/>
        <v>37252687.797863975</v>
      </c>
      <c r="H111" s="6">
        <f t="shared" si="27"/>
        <v>6103.4979968755597</v>
      </c>
      <c r="I111" s="7">
        <f t="shared" si="28"/>
        <v>-3.9373035013241759</v>
      </c>
      <c r="J111" s="7">
        <f t="shared" si="29"/>
        <v>-101.61559791862854</v>
      </c>
      <c r="K111" s="8">
        <f t="shared" si="18"/>
        <v>151.86742076536106</v>
      </c>
      <c r="L111" s="8">
        <f t="shared" si="19"/>
        <v>-6.3784316721451635</v>
      </c>
      <c r="M111" s="8">
        <f t="shared" si="16"/>
        <v>164.61726862817821</v>
      </c>
      <c r="N111" s="8">
        <f t="shared" si="20"/>
        <v>25.000000000000011</v>
      </c>
      <c r="O111" s="8">
        <f t="shared" si="21"/>
        <v>25.968675966576786</v>
      </c>
    </row>
    <row r="112" spans="1:15" x14ac:dyDescent="0.3">
      <c r="A112" s="5">
        <f t="shared" si="22"/>
        <v>1.0400000000000007</v>
      </c>
      <c r="B112" s="5">
        <f t="shared" si="17"/>
        <v>170.95632726531011</v>
      </c>
      <c r="C112" s="6">
        <f t="shared" si="15"/>
        <v>6594.0297659476755</v>
      </c>
      <c r="D112" s="6">
        <f t="shared" si="23"/>
        <v>43481228.554203957</v>
      </c>
      <c r="E112" s="7">
        <f t="shared" si="24"/>
        <v>6248571.4285714282</v>
      </c>
      <c r="F112" s="7">
        <f t="shared" si="25"/>
        <v>124.97142857142855</v>
      </c>
      <c r="G112" s="7">
        <f t="shared" si="26"/>
        <v>37232657.125632532</v>
      </c>
      <c r="H112" s="6">
        <f t="shared" si="27"/>
        <v>6101.8568588285098</v>
      </c>
      <c r="I112" s="7">
        <f t="shared" si="28"/>
        <v>-3.9382834360244181</v>
      </c>
      <c r="J112" s="7">
        <f t="shared" si="29"/>
        <v>-101.59031364132753</v>
      </c>
      <c r="K112" s="8">
        <f t="shared" si="18"/>
        <v>151.90521824665612</v>
      </c>
      <c r="L112" s="8">
        <f t="shared" si="19"/>
        <v>-6.3800191663595562</v>
      </c>
      <c r="M112" s="8">
        <f t="shared" si="16"/>
        <v>164.57630809895056</v>
      </c>
      <c r="N112" s="8">
        <f t="shared" si="20"/>
        <v>25.000000000000004</v>
      </c>
      <c r="O112" s="8">
        <f t="shared" si="21"/>
        <v>25.969158203883701</v>
      </c>
    </row>
    <row r="113" spans="1:15" x14ac:dyDescent="0.3">
      <c r="A113" s="5">
        <f t="shared" si="22"/>
        <v>1.0500000000000007</v>
      </c>
      <c r="B113" s="5">
        <f t="shared" si="17"/>
        <v>170.91694443094985</v>
      </c>
      <c r="C113" s="6">
        <f t="shared" si="15"/>
        <v>6592.5107137652085</v>
      </c>
      <c r="D113" s="6">
        <f t="shared" si="23"/>
        <v>43461197.511109062</v>
      </c>
      <c r="E113" s="7">
        <f t="shared" si="24"/>
        <v>6248571.4285714282</v>
      </c>
      <c r="F113" s="7">
        <f t="shared" si="25"/>
        <v>124.97142857142855</v>
      </c>
      <c r="G113" s="7">
        <f t="shared" si="26"/>
        <v>37212626.082537636</v>
      </c>
      <c r="H113" s="6">
        <f t="shared" si="27"/>
        <v>6100.2152488693082</v>
      </c>
      <c r="I113" s="7">
        <f t="shared" si="28"/>
        <v>-3.939264122395179</v>
      </c>
      <c r="J113" s="7">
        <f t="shared" si="29"/>
        <v>-101.56502256337636</v>
      </c>
      <c r="K113" s="8">
        <f t="shared" si="18"/>
        <v>151.94304472095689</v>
      </c>
      <c r="L113" s="8">
        <f t="shared" si="19"/>
        <v>-6.3816078782801888</v>
      </c>
      <c r="M113" s="8">
        <f t="shared" si="16"/>
        <v>164.53533655266966</v>
      </c>
      <c r="N113" s="8">
        <f t="shared" si="20"/>
        <v>24.999999999999979</v>
      </c>
      <c r="O113" s="8">
        <f t="shared" si="21"/>
        <v>25.969640931241116</v>
      </c>
    </row>
    <row r="114" spans="1:15" x14ac:dyDescent="0.3">
      <c r="A114" s="5">
        <f t="shared" si="22"/>
        <v>1.0600000000000007</v>
      </c>
      <c r="B114" s="5">
        <f t="shared" si="17"/>
        <v>170.87755178972591</v>
      </c>
      <c r="C114" s="6">
        <f t="shared" si="15"/>
        <v>6590.9912833179988</v>
      </c>
      <c r="D114" s="6">
        <f t="shared" si="23"/>
        <v>43441166.09677384</v>
      </c>
      <c r="E114" s="7">
        <f t="shared" si="24"/>
        <v>6248571.4285714282</v>
      </c>
      <c r="F114" s="7">
        <f t="shared" si="25"/>
        <v>124.97142857142855</v>
      </c>
      <c r="G114" s="7">
        <f t="shared" si="26"/>
        <v>37192594.668202415</v>
      </c>
      <c r="H114" s="6">
        <f t="shared" si="27"/>
        <v>6098.5731665859694</v>
      </c>
      <c r="I114" s="7">
        <f t="shared" si="28"/>
        <v>-3.9402455614131302</v>
      </c>
      <c r="J114" s="7">
        <f t="shared" si="29"/>
        <v>-101.53972467915843</v>
      </c>
      <c r="K114" s="8">
        <f t="shared" si="18"/>
        <v>151.98090022593502</v>
      </c>
      <c r="L114" s="8">
        <f t="shared" si="19"/>
        <v>-6.3831978094892703</v>
      </c>
      <c r="M114" s="8">
        <f t="shared" si="16"/>
        <v>164.49435398023664</v>
      </c>
      <c r="N114" s="8">
        <f t="shared" si="20"/>
        <v>24.999999999999982</v>
      </c>
      <c r="O114" s="8">
        <f t="shared" si="21"/>
        <v>25.970124149406377</v>
      </c>
    </row>
    <row r="115" spans="1:15" x14ac:dyDescent="0.3">
      <c r="A115" s="5">
        <f t="shared" si="22"/>
        <v>1.0700000000000007</v>
      </c>
      <c r="B115" s="5">
        <f t="shared" si="17"/>
        <v>170.83814933411179</v>
      </c>
      <c r="C115" s="6">
        <f t="shared" si="15"/>
        <v>6589.4714743157401</v>
      </c>
      <c r="D115" s="6">
        <f t="shared" si="23"/>
        <v>43421134.310820855</v>
      </c>
      <c r="E115" s="7">
        <f t="shared" si="24"/>
        <v>6248571.4285714282</v>
      </c>
      <c r="F115" s="7">
        <f t="shared" si="25"/>
        <v>124.97142857142855</v>
      </c>
      <c r="G115" s="7">
        <f t="shared" si="26"/>
        <v>37172562.88224943</v>
      </c>
      <c r="H115" s="6">
        <f t="shared" si="27"/>
        <v>6096.9306115659074</v>
      </c>
      <c r="I115" s="7">
        <f t="shared" si="28"/>
        <v>-3.9412277540567326</v>
      </c>
      <c r="J115" s="7">
        <f t="shared" si="29"/>
        <v>-101.51441998304932</v>
      </c>
      <c r="K115" s="8">
        <f t="shared" si="18"/>
        <v>152.01878479933112</v>
      </c>
      <c r="L115" s="8">
        <f t="shared" si="19"/>
        <v>-6.384788961571906</v>
      </c>
      <c r="M115" s="8">
        <f t="shared" si="16"/>
        <v>164.45336037253989</v>
      </c>
      <c r="N115" s="8">
        <f t="shared" si="20"/>
        <v>24.999999999999989</v>
      </c>
      <c r="O115" s="8">
        <f t="shared" si="21"/>
        <v>25.970607859138333</v>
      </c>
    </row>
    <row r="116" spans="1:15" x14ac:dyDescent="0.3">
      <c r="A116" s="5">
        <f t="shared" si="22"/>
        <v>1.0800000000000007</v>
      </c>
      <c r="B116" s="5">
        <f t="shared" si="17"/>
        <v>170.79873705657121</v>
      </c>
      <c r="C116" s="6">
        <f t="shared" si="15"/>
        <v>6587.9512864677463</v>
      </c>
      <c r="D116" s="6">
        <f t="shared" si="23"/>
        <v>43401102.152872033</v>
      </c>
      <c r="E116" s="7">
        <f t="shared" si="24"/>
        <v>6248571.4285714282</v>
      </c>
      <c r="F116" s="7">
        <f t="shared" si="25"/>
        <v>124.97142857142855</v>
      </c>
      <c r="G116" s="7">
        <f t="shared" si="26"/>
        <v>37152530.724300608</v>
      </c>
      <c r="H116" s="6">
        <f t="shared" si="27"/>
        <v>6095.2875833959306</v>
      </c>
      <c r="I116" s="7">
        <f t="shared" si="28"/>
        <v>-3.9422107013062533</v>
      </c>
      <c r="J116" s="7">
        <f t="shared" si="29"/>
        <v>-101.48910846941673</v>
      </c>
      <c r="K116" s="8">
        <f t="shared" si="18"/>
        <v>152.05669847895547</v>
      </c>
      <c r="L116" s="8">
        <f t="shared" si="19"/>
        <v>-6.3863813361161288</v>
      </c>
      <c r="M116" s="8">
        <f t="shared" si="16"/>
        <v>164.41235572045508</v>
      </c>
      <c r="N116" s="8">
        <f t="shared" si="20"/>
        <v>25.000000000000007</v>
      </c>
      <c r="O116" s="8">
        <f t="shared" si="21"/>
        <v>25.971092061197446</v>
      </c>
    </row>
    <row r="117" spans="1:15" x14ac:dyDescent="0.3">
      <c r="A117" s="5">
        <f t="shared" si="22"/>
        <v>1.0900000000000007</v>
      </c>
      <c r="B117" s="5">
        <f t="shared" si="17"/>
        <v>170.75931494955816</v>
      </c>
      <c r="C117" s="6">
        <f t="shared" si="15"/>
        <v>6586.4307194829571</v>
      </c>
      <c r="D117" s="6">
        <f t="shared" si="23"/>
        <v>43381069.622548781</v>
      </c>
      <c r="E117" s="7">
        <f t="shared" si="24"/>
        <v>6248571.4285714282</v>
      </c>
      <c r="F117" s="7">
        <f t="shared" si="25"/>
        <v>124.97142857142855</v>
      </c>
      <c r="G117" s="7">
        <f t="shared" si="26"/>
        <v>37132498.193977356</v>
      </c>
      <c r="H117" s="6">
        <f t="shared" si="27"/>
        <v>6093.6440816622489</v>
      </c>
      <c r="I117" s="7">
        <f t="shared" si="28"/>
        <v>-3.9431944041437563</v>
      </c>
      <c r="J117" s="7">
        <f t="shared" si="29"/>
        <v>-101.46379013262055</v>
      </c>
      <c r="K117" s="8">
        <f t="shared" si="18"/>
        <v>152.09464130268773</v>
      </c>
      <c r="L117" s="8">
        <f t="shared" si="19"/>
        <v>-6.3879749347128838</v>
      </c>
      <c r="M117" s="8">
        <f t="shared" si="16"/>
        <v>164.37134001484529</v>
      </c>
      <c r="N117" s="8">
        <f t="shared" si="20"/>
        <v>25.000000000000018</v>
      </c>
      <c r="O117" s="8">
        <f t="shared" si="21"/>
        <v>25.97157675634573</v>
      </c>
    </row>
    <row r="118" spans="1:15" x14ac:dyDescent="0.3">
      <c r="A118" s="5">
        <f t="shared" si="22"/>
        <v>1.1000000000000008</v>
      </c>
      <c r="B118" s="5">
        <f t="shared" si="17"/>
        <v>170.71988300551672</v>
      </c>
      <c r="C118" s="6">
        <f t="shared" si="15"/>
        <v>6584.9097730699305</v>
      </c>
      <c r="D118" s="6">
        <f t="shared" si="23"/>
        <v>43361036.719471879</v>
      </c>
      <c r="E118" s="7">
        <f t="shared" si="24"/>
        <v>6248571.4285714282</v>
      </c>
      <c r="F118" s="7">
        <f t="shared" si="25"/>
        <v>124.97142857142855</v>
      </c>
      <c r="G118" s="7">
        <f t="shared" si="26"/>
        <v>37112465.290900454</v>
      </c>
      <c r="H118" s="6">
        <f t="shared" si="27"/>
        <v>6092.000105950463</v>
      </c>
      <c r="I118" s="7">
        <f t="shared" si="28"/>
        <v>-3.9441788635531241</v>
      </c>
      <c r="J118" s="7">
        <f t="shared" si="29"/>
        <v>-101.43846496701278</v>
      </c>
      <c r="K118" s="8">
        <f t="shared" si="18"/>
        <v>152.13261330847763</v>
      </c>
      <c r="L118" s="8">
        <f t="shared" si="19"/>
        <v>-6.3895697589560596</v>
      </c>
      <c r="M118" s="8">
        <f t="shared" si="16"/>
        <v>164.33031324656065</v>
      </c>
      <c r="N118" s="8">
        <f t="shared" si="20"/>
        <v>25.000000000000011</v>
      </c>
      <c r="O118" s="8">
        <f t="shared" si="21"/>
        <v>25.972061945346816</v>
      </c>
    </row>
    <row r="119" spans="1:15" x14ac:dyDescent="0.3">
      <c r="A119" s="5">
        <f t="shared" si="22"/>
        <v>1.1100000000000008</v>
      </c>
      <c r="B119" s="5">
        <f t="shared" si="17"/>
        <v>170.68044121688118</v>
      </c>
      <c r="C119" s="6">
        <f t="shared" si="15"/>
        <v>6583.388446936845</v>
      </c>
      <c r="D119" s="6">
        <f t="shared" si="23"/>
        <v>43341003.443261527</v>
      </c>
      <c r="E119" s="7">
        <f t="shared" si="24"/>
        <v>6248571.4285714282</v>
      </c>
      <c r="F119" s="7">
        <f t="shared" si="25"/>
        <v>124.97142857142855</v>
      </c>
      <c r="G119" s="7">
        <f t="shared" si="26"/>
        <v>37092432.014690101</v>
      </c>
      <c r="H119" s="6">
        <f t="shared" si="27"/>
        <v>6090.3556558455684</v>
      </c>
      <c r="I119" s="7">
        <f t="shared" si="28"/>
        <v>-3.9451640805200463</v>
      </c>
      <c r="J119" s="7">
        <f t="shared" si="29"/>
        <v>-101.41313296693748</v>
      </c>
      <c r="K119" s="8">
        <f t="shared" si="18"/>
        <v>152.17061453434462</v>
      </c>
      <c r="L119" s="8">
        <f t="shared" si="19"/>
        <v>-6.3911658104424731</v>
      </c>
      <c r="M119" s="8">
        <f t="shared" si="16"/>
        <v>164.28927540643872</v>
      </c>
      <c r="N119" s="8">
        <f t="shared" si="20"/>
        <v>24.999999999999972</v>
      </c>
      <c r="O119" s="8">
        <f t="shared" si="21"/>
        <v>25.972547628965891</v>
      </c>
    </row>
    <row r="120" spans="1:15" x14ac:dyDescent="0.3">
      <c r="A120" s="5">
        <f t="shared" si="22"/>
        <v>1.1200000000000008</v>
      </c>
      <c r="B120" s="5">
        <f t="shared" si="17"/>
        <v>170.64098957607598</v>
      </c>
      <c r="C120" s="6">
        <f t="shared" si="15"/>
        <v>6581.8667407915018</v>
      </c>
      <c r="D120" s="6">
        <f t="shared" si="23"/>
        <v>43320969.793537349</v>
      </c>
      <c r="E120" s="7">
        <f t="shared" si="24"/>
        <v>6248571.4285714282</v>
      </c>
      <c r="F120" s="7">
        <f t="shared" si="25"/>
        <v>124.97142857142855</v>
      </c>
      <c r="G120" s="7">
        <f t="shared" si="26"/>
        <v>37072398.364965923</v>
      </c>
      <c r="H120" s="6">
        <f t="shared" si="27"/>
        <v>6088.7107309319535</v>
      </c>
      <c r="I120" s="7">
        <f t="shared" si="28"/>
        <v>-3.9461500560320513</v>
      </c>
      <c r="J120" s="7">
        <f t="shared" si="29"/>
        <v>-101.38779412673092</v>
      </c>
      <c r="K120" s="8">
        <f t="shared" si="18"/>
        <v>152.20864501837912</v>
      </c>
      <c r="L120" s="8">
        <f t="shared" si="19"/>
        <v>-6.392763090771922</v>
      </c>
      <c r="M120" s="8">
        <f t="shared" si="16"/>
        <v>164.24822648530406</v>
      </c>
      <c r="N120" s="8">
        <f t="shared" si="20"/>
        <v>24.999999999999982</v>
      </c>
      <c r="O120" s="8">
        <f t="shared" si="21"/>
        <v>25.97303380796988</v>
      </c>
    </row>
    <row r="121" spans="1:15" x14ac:dyDescent="0.3">
      <c r="A121" s="5">
        <f t="shared" si="22"/>
        <v>1.1300000000000008</v>
      </c>
      <c r="B121" s="5">
        <f t="shared" si="17"/>
        <v>170.60152807551566</v>
      </c>
      <c r="C121" s="6">
        <f t="shared" si="15"/>
        <v>6580.3446543413183</v>
      </c>
      <c r="D121" s="6">
        <f t="shared" si="23"/>
        <v>43300935.769918367</v>
      </c>
      <c r="E121" s="7">
        <f t="shared" si="24"/>
        <v>6248571.4285714282</v>
      </c>
      <c r="F121" s="7">
        <f t="shared" si="25"/>
        <v>124.97142857142855</v>
      </c>
      <c r="G121" s="7">
        <f t="shared" si="26"/>
        <v>37052364.341346942</v>
      </c>
      <c r="H121" s="6">
        <f t="shared" si="27"/>
        <v>6087.0653307933981</v>
      </c>
      <c r="I121" s="7">
        <f t="shared" si="28"/>
        <v>-3.9471367910784667</v>
      </c>
      <c r="J121" s="7">
        <f t="shared" si="29"/>
        <v>-101.36244844072135</v>
      </c>
      <c r="K121" s="8">
        <f t="shared" si="18"/>
        <v>152.24670479874086</v>
      </c>
      <c r="L121" s="8">
        <f t="shared" si="19"/>
        <v>-6.3943616015471161</v>
      </c>
      <c r="M121" s="8">
        <f t="shared" si="16"/>
        <v>164.20716647396856</v>
      </c>
      <c r="N121" s="8">
        <f t="shared" si="20"/>
        <v>24.999999999999989</v>
      </c>
      <c r="O121" s="8">
        <f t="shared" si="21"/>
        <v>25.973520483127132</v>
      </c>
    </row>
    <row r="122" spans="1:15" x14ac:dyDescent="0.3">
      <c r="A122" s="5">
        <f t="shared" si="22"/>
        <v>1.1400000000000008</v>
      </c>
      <c r="B122" s="5">
        <f t="shared" si="17"/>
        <v>170.56205670760488</v>
      </c>
      <c r="C122" s="6">
        <f t="shared" si="15"/>
        <v>6578.8221872933309</v>
      </c>
      <c r="D122" s="6">
        <f t="shared" si="23"/>
        <v>43280901.372023009</v>
      </c>
      <c r="E122" s="7">
        <f t="shared" si="24"/>
        <v>6248571.4285714282</v>
      </c>
      <c r="F122" s="7">
        <f t="shared" si="25"/>
        <v>124.97142857142855</v>
      </c>
      <c r="G122" s="7">
        <f t="shared" si="26"/>
        <v>37032329.943451583</v>
      </c>
      <c r="H122" s="6">
        <f t="shared" si="27"/>
        <v>6085.4194550130715</v>
      </c>
      <c r="I122" s="7">
        <f t="shared" si="28"/>
        <v>-3.9481242866504536</v>
      </c>
      <c r="J122" s="7">
        <f t="shared" si="29"/>
        <v>-101.33709590322913</v>
      </c>
      <c r="K122" s="8">
        <f t="shared" si="18"/>
        <v>152.28479391366034</v>
      </c>
      <c r="L122" s="8">
        <f t="shared" si="19"/>
        <v>-6.3959613443737338</v>
      </c>
      <c r="M122" s="8">
        <f t="shared" si="16"/>
        <v>164.16609536323114</v>
      </c>
      <c r="N122" s="8">
        <f t="shared" si="20"/>
        <v>24.999999999999964</v>
      </c>
      <c r="O122" s="8">
        <f t="shared" si="21"/>
        <v>25.974007655207657</v>
      </c>
    </row>
    <row r="123" spans="1:15" x14ac:dyDescent="0.3">
      <c r="A123" s="5">
        <f t="shared" si="22"/>
        <v>1.1500000000000008</v>
      </c>
      <c r="B123" s="5">
        <f t="shared" si="17"/>
        <v>170.52257546473837</v>
      </c>
      <c r="C123" s="6">
        <f t="shared" si="15"/>
        <v>6577.2993393541938</v>
      </c>
      <c r="D123" s="6">
        <f t="shared" si="23"/>
        <v>43260866.59946911</v>
      </c>
      <c r="E123" s="7">
        <f t="shared" si="24"/>
        <v>6248571.4285714282</v>
      </c>
      <c r="F123" s="7">
        <f t="shared" si="25"/>
        <v>124.97142857142855</v>
      </c>
      <c r="G123" s="7">
        <f t="shared" si="26"/>
        <v>37012295.170897685</v>
      </c>
      <c r="H123" s="6">
        <f t="shared" si="27"/>
        <v>6083.7731031735302</v>
      </c>
      <c r="I123" s="7">
        <f t="shared" si="28"/>
        <v>-3.9491125437410215</v>
      </c>
      <c r="J123" s="7">
        <f t="shared" si="29"/>
        <v>-101.31173650856663</v>
      </c>
      <c r="K123" s="8">
        <f t="shared" si="18"/>
        <v>152.3229124014394</v>
      </c>
      <c r="L123" s="8">
        <f t="shared" si="19"/>
        <v>-6.3975623208604544</v>
      </c>
      <c r="M123" s="8">
        <f t="shared" si="16"/>
        <v>164.12501314387791</v>
      </c>
      <c r="N123" s="8">
        <f t="shared" si="20"/>
        <v>25.000000000000004</v>
      </c>
      <c r="O123" s="8">
        <f t="shared" si="21"/>
        <v>25.974495324983181</v>
      </c>
    </row>
    <row r="124" spans="1:15" x14ac:dyDescent="0.3">
      <c r="A124" s="5">
        <f t="shared" si="22"/>
        <v>1.1600000000000008</v>
      </c>
      <c r="B124" s="5">
        <f t="shared" si="17"/>
        <v>170.48308433930094</v>
      </c>
      <c r="C124" s="6">
        <f t="shared" si="15"/>
        <v>6575.7761102301793</v>
      </c>
      <c r="D124" s="6">
        <f t="shared" si="23"/>
        <v>43240831.451873943</v>
      </c>
      <c r="E124" s="7">
        <f t="shared" si="24"/>
        <v>6248571.4285714282</v>
      </c>
      <c r="F124" s="7">
        <f t="shared" si="25"/>
        <v>124.97142857142855</v>
      </c>
      <c r="G124" s="7">
        <f t="shared" si="26"/>
        <v>36992260.023302518</v>
      </c>
      <c r="H124" s="6">
        <f t="shared" si="27"/>
        <v>6082.1262748567233</v>
      </c>
      <c r="I124" s="7">
        <f t="shared" si="28"/>
        <v>-3.9501015633449845</v>
      </c>
      <c r="J124" s="7">
        <f t="shared" si="29"/>
        <v>-101.28637025103832</v>
      </c>
      <c r="K124" s="8">
        <f t="shared" si="18"/>
        <v>152.3610603004494</v>
      </c>
      <c r="L124" s="8">
        <f t="shared" si="19"/>
        <v>-6.3991645326188742</v>
      </c>
      <c r="M124" s="8">
        <f t="shared" si="16"/>
        <v>164.08391980668208</v>
      </c>
      <c r="N124" s="8">
        <f t="shared" si="20"/>
        <v>24.999999999999989</v>
      </c>
      <c r="O124" s="8">
        <f t="shared" si="21"/>
        <v>25.97498349322683</v>
      </c>
    </row>
    <row r="125" spans="1:15" x14ac:dyDescent="0.3">
      <c r="A125" s="5">
        <f t="shared" si="22"/>
        <v>1.1700000000000008</v>
      </c>
      <c r="B125" s="5">
        <f t="shared" si="17"/>
        <v>170.4435833236675</v>
      </c>
      <c r="C125" s="6">
        <f t="shared" si="15"/>
        <v>6574.2524996271741</v>
      </c>
      <c r="D125" s="6">
        <f t="shared" si="23"/>
        <v>43220795.928854145</v>
      </c>
      <c r="E125" s="7">
        <f t="shared" si="24"/>
        <v>6248571.4285714282</v>
      </c>
      <c r="F125" s="7">
        <f t="shared" si="25"/>
        <v>124.97142857142855</v>
      </c>
      <c r="G125" s="7">
        <f t="shared" si="26"/>
        <v>36972224.50028272</v>
      </c>
      <c r="H125" s="6">
        <f t="shared" si="27"/>
        <v>6080.4789696439802</v>
      </c>
      <c r="I125" s="7">
        <f t="shared" si="28"/>
        <v>-3.951091346459028</v>
      </c>
      <c r="J125" s="7">
        <f t="shared" si="29"/>
        <v>-101.26099712494067</v>
      </c>
      <c r="K125" s="8">
        <f t="shared" si="18"/>
        <v>152.39923764913394</v>
      </c>
      <c r="L125" s="8">
        <f t="shared" si="19"/>
        <v>-6.4007679812636251</v>
      </c>
      <c r="M125" s="8">
        <f t="shared" si="16"/>
        <v>164.04281534240388</v>
      </c>
      <c r="N125" s="8">
        <f t="shared" si="20"/>
        <v>25.000000000000004</v>
      </c>
      <c r="O125" s="8">
        <f t="shared" si="21"/>
        <v>25.975472160713565</v>
      </c>
    </row>
    <row r="126" spans="1:15" x14ac:dyDescent="0.3">
      <c r="A126" s="5">
        <f t="shared" si="22"/>
        <v>1.1800000000000008</v>
      </c>
      <c r="B126" s="5">
        <f t="shared" si="17"/>
        <v>170.4040724102029</v>
      </c>
      <c r="C126" s="6">
        <f t="shared" si="15"/>
        <v>6572.7285072506829</v>
      </c>
      <c r="D126" s="6">
        <f t="shared" si="23"/>
        <v>43200760.030025788</v>
      </c>
      <c r="E126" s="7">
        <f t="shared" si="24"/>
        <v>6248571.4285714282</v>
      </c>
      <c r="F126" s="7">
        <f t="shared" si="25"/>
        <v>124.97142857142855</v>
      </c>
      <c r="G126" s="7">
        <f t="shared" si="26"/>
        <v>36952188.601454362</v>
      </c>
      <c r="H126" s="6">
        <f t="shared" si="27"/>
        <v>6078.8311871160204</v>
      </c>
      <c r="I126" s="7">
        <f t="shared" si="28"/>
        <v>-3.9520818940816627</v>
      </c>
      <c r="J126" s="7">
        <f t="shared" si="29"/>
        <v>-101.23561712456213</v>
      </c>
      <c r="K126" s="8">
        <f t="shared" si="18"/>
        <v>152.43744448600697</v>
      </c>
      <c r="L126" s="8">
        <f t="shared" si="19"/>
        <v>-6.4023726684122924</v>
      </c>
      <c r="M126" s="8">
        <f t="shared" si="16"/>
        <v>164.00169974179062</v>
      </c>
      <c r="N126" s="8">
        <f t="shared" si="20"/>
        <v>24.999999999999989</v>
      </c>
      <c r="O126" s="8">
        <f t="shared" si="21"/>
        <v>25.975961328219814</v>
      </c>
    </row>
    <row r="127" spans="1:15" x14ac:dyDescent="0.3">
      <c r="A127" s="5">
        <f t="shared" si="22"/>
        <v>1.1900000000000008</v>
      </c>
      <c r="B127" s="5">
        <f t="shared" si="17"/>
        <v>170.36455159126209</v>
      </c>
      <c r="C127" s="6">
        <f t="shared" si="15"/>
        <v>6571.2041328058231</v>
      </c>
      <c r="D127" s="6">
        <f t="shared" si="23"/>
        <v>43180723.755004331</v>
      </c>
      <c r="E127" s="7">
        <f t="shared" si="24"/>
        <v>6248571.4285714282</v>
      </c>
      <c r="F127" s="7">
        <f t="shared" si="25"/>
        <v>124.97142857142855</v>
      </c>
      <c r="G127" s="7">
        <f t="shared" si="26"/>
        <v>36932152.326432906</v>
      </c>
      <c r="H127" s="6">
        <f t="shared" si="27"/>
        <v>6077.1829268529436</v>
      </c>
      <c r="I127" s="7">
        <f t="shared" si="28"/>
        <v>-3.9530732072132562</v>
      </c>
      <c r="J127" s="7">
        <f t="shared" si="29"/>
        <v>-101.21023024418311</v>
      </c>
      <c r="K127" s="8">
        <f t="shared" si="18"/>
        <v>152.47568084965417</v>
      </c>
      <c r="L127" s="8">
        <f t="shared" si="19"/>
        <v>-6.4039785956854747</v>
      </c>
      <c r="M127" s="8">
        <f t="shared" si="16"/>
        <v>163.9605729955766</v>
      </c>
      <c r="N127" s="8">
        <f t="shared" si="20"/>
        <v>24.999999999999964</v>
      </c>
      <c r="O127" s="8">
        <f t="shared" si="21"/>
        <v>25.97645099652372</v>
      </c>
    </row>
    <row r="128" spans="1:15" x14ac:dyDescent="0.3">
      <c r="A128" s="5">
        <f t="shared" si="22"/>
        <v>1.2000000000000008</v>
      </c>
      <c r="B128" s="5">
        <f t="shared" si="17"/>
        <v>170.32502085918995</v>
      </c>
      <c r="C128" s="6">
        <f t="shared" si="15"/>
        <v>6569.6793759973261</v>
      </c>
      <c r="D128" s="6">
        <f t="shared" si="23"/>
        <v>43160687.103404619</v>
      </c>
      <c r="E128" s="7">
        <f t="shared" si="24"/>
        <v>6248571.4285714282</v>
      </c>
      <c r="F128" s="7">
        <f t="shared" si="25"/>
        <v>124.97142857142855</v>
      </c>
      <c r="G128" s="7">
        <f t="shared" si="26"/>
        <v>36912115.674833193</v>
      </c>
      <c r="H128" s="6">
        <f t="shared" si="27"/>
        <v>6075.5341884342315</v>
      </c>
      <c r="I128" s="7">
        <f t="shared" si="28"/>
        <v>-3.9540652868560393</v>
      </c>
      <c r="J128" s="7">
        <f t="shared" si="29"/>
        <v>-101.18483647807604</v>
      </c>
      <c r="K128" s="8">
        <f t="shared" si="18"/>
        <v>152.51394677873293</v>
      </c>
      <c r="L128" s="8">
        <f t="shared" si="19"/>
        <v>-6.4055857647067826</v>
      </c>
      <c r="M128" s="8">
        <f t="shared" si="16"/>
        <v>163.91943509448316</v>
      </c>
      <c r="N128" s="8">
        <f t="shared" si="20"/>
        <v>24.999999999999972</v>
      </c>
      <c r="O128" s="8">
        <f t="shared" si="21"/>
        <v>25.976941166405073</v>
      </c>
    </row>
    <row r="129" spans="1:15" x14ac:dyDescent="0.3">
      <c r="A129" s="5">
        <f t="shared" si="22"/>
        <v>1.2100000000000009</v>
      </c>
      <c r="B129" s="5">
        <f t="shared" si="17"/>
        <v>170.28548020632138</v>
      </c>
      <c r="C129" s="6">
        <f t="shared" si="15"/>
        <v>6568.154236529539</v>
      </c>
      <c r="D129" s="6">
        <f t="shared" si="23"/>
        <v>43140650.074840933</v>
      </c>
      <c r="E129" s="7">
        <f t="shared" si="24"/>
        <v>6248571.4285714282</v>
      </c>
      <c r="F129" s="7">
        <f t="shared" si="25"/>
        <v>124.97142857142855</v>
      </c>
      <c r="G129" s="7">
        <f t="shared" si="26"/>
        <v>36892078.646269508</v>
      </c>
      <c r="H129" s="6">
        <f t="shared" si="27"/>
        <v>6073.8849714387507</v>
      </c>
      <c r="I129" s="7">
        <f t="shared" si="28"/>
        <v>-3.9550581340140827</v>
      </c>
      <c r="J129" s="7">
        <f t="shared" si="29"/>
        <v>-101.15943582050531</v>
      </c>
      <c r="K129" s="8">
        <f t="shared" si="18"/>
        <v>152.55224231197175</v>
      </c>
      <c r="L129" s="8">
        <f t="shared" si="19"/>
        <v>-6.4071941771028129</v>
      </c>
      <c r="M129" s="8">
        <f t="shared" si="16"/>
        <v>163.87828602921857</v>
      </c>
      <c r="N129" s="8">
        <f t="shared" si="20"/>
        <v>24.999999999999968</v>
      </c>
      <c r="O129" s="8">
        <f t="shared" si="21"/>
        <v>25.977431838645209</v>
      </c>
    </row>
    <row r="130" spans="1:15" x14ac:dyDescent="0.3">
      <c r="A130" s="5">
        <f t="shared" si="22"/>
        <v>1.2200000000000009</v>
      </c>
      <c r="B130" s="5">
        <f t="shared" si="17"/>
        <v>170.24592962498124</v>
      </c>
      <c r="C130" s="6">
        <f t="shared" si="15"/>
        <v>6566.6287141064195</v>
      </c>
      <c r="D130" s="6">
        <f t="shared" si="23"/>
        <v>43120612.668926924</v>
      </c>
      <c r="E130" s="7">
        <f t="shared" si="24"/>
        <v>6248571.4285714282</v>
      </c>
      <c r="F130" s="7">
        <f t="shared" si="25"/>
        <v>124.97142857142855</v>
      </c>
      <c r="G130" s="7">
        <f t="shared" si="26"/>
        <v>36872041.240355499</v>
      </c>
      <c r="H130" s="6">
        <f t="shared" si="27"/>
        <v>6072.2352754447438</v>
      </c>
      <c r="I130" s="7">
        <f t="shared" si="28"/>
        <v>-3.9560517496933358</v>
      </c>
      <c r="J130" s="7">
        <f t="shared" si="29"/>
        <v>-101.1340282657272</v>
      </c>
      <c r="K130" s="8">
        <f t="shared" si="18"/>
        <v>152.59056748817153</v>
      </c>
      <c r="L130" s="8">
        <f t="shared" si="19"/>
        <v>-6.4088038345032032</v>
      </c>
      <c r="M130" s="8">
        <f t="shared" si="16"/>
        <v>163.83712579047804</v>
      </c>
      <c r="N130" s="8">
        <f t="shared" si="20"/>
        <v>24.999999999999989</v>
      </c>
      <c r="O130" s="8">
        <f t="shared" si="21"/>
        <v>25.977923014027201</v>
      </c>
    </row>
    <row r="131" spans="1:15" x14ac:dyDescent="0.3">
      <c r="A131" s="5">
        <f t="shared" si="22"/>
        <v>1.2300000000000009</v>
      </c>
      <c r="B131" s="5">
        <f t="shared" si="17"/>
        <v>170.20636910748431</v>
      </c>
      <c r="C131" s="6">
        <f t="shared" si="15"/>
        <v>6565.1028084315376</v>
      </c>
      <c r="D131" s="6">
        <f t="shared" si="23"/>
        <v>43100574.885275662</v>
      </c>
      <c r="E131" s="7">
        <f t="shared" si="24"/>
        <v>6248571.4285714282</v>
      </c>
      <c r="F131" s="7">
        <f t="shared" si="25"/>
        <v>124.97142857142855</v>
      </c>
      <c r="G131" s="7">
        <f t="shared" si="26"/>
        <v>36852003.456704237</v>
      </c>
      <c r="H131" s="6">
        <f t="shared" si="27"/>
        <v>6070.5851000298344</v>
      </c>
      <c r="I131" s="7">
        <f t="shared" si="28"/>
        <v>-3.9570461349016037</v>
      </c>
      <c r="J131" s="7">
        <f t="shared" si="29"/>
        <v>-101.10861380798997</v>
      </c>
      <c r="K131" s="8">
        <f t="shared" si="18"/>
        <v>152.62892234620472</v>
      </c>
      <c r="L131" s="8">
        <f t="shared" si="19"/>
        <v>-6.4104147385405978</v>
      </c>
      <c r="M131" s="8">
        <f t="shared" si="16"/>
        <v>163.79595436894371</v>
      </c>
      <c r="N131" s="8">
        <f t="shared" si="20"/>
        <v>25</v>
      </c>
      <c r="O131" s="8">
        <f t="shared" si="21"/>
        <v>25.978414693335679</v>
      </c>
    </row>
    <row r="132" spans="1:15" x14ac:dyDescent="0.3">
      <c r="A132" s="5">
        <f t="shared" si="22"/>
        <v>1.2400000000000009</v>
      </c>
      <c r="B132" s="5">
        <f t="shared" si="17"/>
        <v>170.16679864613528</v>
      </c>
      <c r="C132" s="6">
        <f t="shared" si="15"/>
        <v>6563.5765192080744</v>
      </c>
      <c r="D132" s="6">
        <f t="shared" si="23"/>
        <v>43080536.723499581</v>
      </c>
      <c r="E132" s="7">
        <f t="shared" si="24"/>
        <v>6248571.4285714282</v>
      </c>
      <c r="F132" s="7">
        <f t="shared" si="25"/>
        <v>124.97142857142855</v>
      </c>
      <c r="G132" s="7">
        <f t="shared" si="26"/>
        <v>36831965.294928156</v>
      </c>
      <c r="H132" s="6">
        <f t="shared" si="27"/>
        <v>6068.9344447710218</v>
      </c>
      <c r="I132" s="7">
        <f t="shared" si="28"/>
        <v>-3.9580412906485694</v>
      </c>
      <c r="J132" s="7">
        <f t="shared" si="29"/>
        <v>-101.08319244153373</v>
      </c>
      <c r="K132" s="8">
        <f t="shared" si="18"/>
        <v>152.66730692501625</v>
      </c>
      <c r="L132" s="8">
        <f t="shared" si="19"/>
        <v>-6.4120268908506821</v>
      </c>
      <c r="M132" s="8">
        <f t="shared" si="16"/>
        <v>163.75477175528459</v>
      </c>
      <c r="N132" s="8">
        <f t="shared" si="20"/>
        <v>25.000000000000014</v>
      </c>
      <c r="O132" s="8">
        <f t="shared" si="21"/>
        <v>25.978906877356973</v>
      </c>
    </row>
    <row r="133" spans="1:15" x14ac:dyDescent="0.3">
      <c r="A133" s="5">
        <f t="shared" si="22"/>
        <v>1.2500000000000009</v>
      </c>
      <c r="B133" s="5">
        <f t="shared" si="17"/>
        <v>170.1272182332288</v>
      </c>
      <c r="C133" s="6">
        <f t="shared" si="15"/>
        <v>6562.0498461388252</v>
      </c>
      <c r="D133" s="6">
        <f t="shared" si="23"/>
        <v>43060498.183210582</v>
      </c>
      <c r="E133" s="7">
        <f t="shared" si="24"/>
        <v>6248571.4285714282</v>
      </c>
      <c r="F133" s="7">
        <f t="shared" si="25"/>
        <v>124.97142857142855</v>
      </c>
      <c r="G133" s="7">
        <f t="shared" si="26"/>
        <v>36811926.754639156</v>
      </c>
      <c r="H133" s="6">
        <f t="shared" si="27"/>
        <v>6067.2833092446863</v>
      </c>
      <c r="I133" s="7">
        <f t="shared" si="28"/>
        <v>-3.9590372179457853</v>
      </c>
      <c r="J133" s="7">
        <f t="shared" si="29"/>
        <v>-101.05776416059054</v>
      </c>
      <c r="K133" s="8">
        <f t="shared" si="18"/>
        <v>152.70572126362313</v>
      </c>
      <c r="L133" s="8">
        <f t="shared" si="19"/>
        <v>-6.413640293072171</v>
      </c>
      <c r="M133" s="8">
        <f t="shared" si="16"/>
        <v>163.71357794015663</v>
      </c>
      <c r="N133" s="8">
        <f t="shared" si="20"/>
        <v>25</v>
      </c>
      <c r="O133" s="8">
        <f t="shared" si="21"/>
        <v>25.979399566879021</v>
      </c>
    </row>
    <row r="134" spans="1:15" x14ac:dyDescent="0.3">
      <c r="A134" s="5">
        <f t="shared" si="22"/>
        <v>1.2600000000000009</v>
      </c>
      <c r="B134" s="5">
        <f t="shared" si="17"/>
        <v>170.08762786104936</v>
      </c>
      <c r="C134" s="6">
        <f t="shared" si="15"/>
        <v>6560.5227889261887</v>
      </c>
      <c r="D134" s="6">
        <f t="shared" si="23"/>
        <v>43040459.264019854</v>
      </c>
      <c r="E134" s="7">
        <f t="shared" si="24"/>
        <v>6248571.4285714282</v>
      </c>
      <c r="F134" s="7">
        <f t="shared" si="25"/>
        <v>124.97142857142855</v>
      </c>
      <c r="G134" s="7">
        <f t="shared" si="26"/>
        <v>36791887.835448429</v>
      </c>
      <c r="H134" s="6">
        <f t="shared" si="27"/>
        <v>6065.6316930265748</v>
      </c>
      <c r="I134" s="7">
        <f t="shared" si="28"/>
        <v>-3.9600339178066966</v>
      </c>
      <c r="J134" s="7">
        <f t="shared" si="29"/>
        <v>-101.03232895938426</v>
      </c>
      <c r="K134" s="8">
        <f t="shared" si="18"/>
        <v>152.74416540111542</v>
      </c>
      <c r="L134" s="8">
        <f t="shared" si="19"/>
        <v>-6.4152549468468472</v>
      </c>
      <c r="M134" s="8">
        <f t="shared" si="16"/>
        <v>163.6723729142025</v>
      </c>
      <c r="N134" s="8">
        <f t="shared" si="20"/>
        <v>24.999999999999989</v>
      </c>
      <c r="O134" s="8">
        <f t="shared" si="21"/>
        <v>25.979892762691492</v>
      </c>
    </row>
    <row r="135" spans="1:15" x14ac:dyDescent="0.3">
      <c r="A135" s="5">
        <f t="shared" si="22"/>
        <v>1.2700000000000009</v>
      </c>
      <c r="B135" s="5">
        <f t="shared" si="17"/>
        <v>170.04802752187129</v>
      </c>
      <c r="C135" s="6">
        <f t="shared" si="15"/>
        <v>6558.9953472721782</v>
      </c>
      <c r="D135" s="6">
        <f t="shared" si="23"/>
        <v>43020419.965538085</v>
      </c>
      <c r="E135" s="7">
        <f t="shared" si="24"/>
        <v>6248571.4285714282</v>
      </c>
      <c r="F135" s="7">
        <f t="shared" si="25"/>
        <v>124.97142857142855</v>
      </c>
      <c r="G135" s="7">
        <f t="shared" si="26"/>
        <v>36771848.536966659</v>
      </c>
      <c r="H135" s="6">
        <f t="shared" si="27"/>
        <v>6063.9795956918142</v>
      </c>
      <c r="I135" s="7">
        <f t="shared" si="28"/>
        <v>-3.961031391246626</v>
      </c>
      <c r="J135" s="7">
        <f t="shared" si="29"/>
        <v>-101.00688683213073</v>
      </c>
      <c r="K135" s="8">
        <f t="shared" si="18"/>
        <v>152.78263937665557</v>
      </c>
      <c r="L135" s="8">
        <f t="shared" si="19"/>
        <v>-6.4168708538195327</v>
      </c>
      <c r="M135" s="8">
        <f t="shared" si="16"/>
        <v>163.63115666805174</v>
      </c>
      <c r="N135" s="8">
        <f t="shared" si="20"/>
        <v>24.999999999999979</v>
      </c>
      <c r="O135" s="8">
        <f t="shared" si="21"/>
        <v>25.980386465585664</v>
      </c>
    </row>
    <row r="136" spans="1:15" x14ac:dyDescent="0.3">
      <c r="A136" s="5">
        <f t="shared" si="22"/>
        <v>1.2800000000000009</v>
      </c>
      <c r="B136" s="5">
        <f t="shared" si="17"/>
        <v>170.00841720795881</v>
      </c>
      <c r="C136" s="6">
        <f t="shared" ref="C136:C199" si="30">$B$1*B136</f>
        <v>6557.4675208784111</v>
      </c>
      <c r="D136" s="6">
        <f t="shared" si="23"/>
        <v>43000380.287375256</v>
      </c>
      <c r="E136" s="7">
        <f t="shared" si="24"/>
        <v>6248571.4285714282</v>
      </c>
      <c r="F136" s="7">
        <f t="shared" si="25"/>
        <v>124.97142857142855</v>
      </c>
      <c r="G136" s="7">
        <f t="shared" si="26"/>
        <v>36751808.858803831</v>
      </c>
      <c r="H136" s="6">
        <f t="shared" si="27"/>
        <v>6062.3270168148993</v>
      </c>
      <c r="I136" s="7">
        <f t="shared" si="28"/>
        <v>-3.9620296392827883</v>
      </c>
      <c r="J136" s="7">
        <f t="shared" si="29"/>
        <v>-100.98143777303747</v>
      </c>
      <c r="K136" s="8">
        <f t="shared" si="18"/>
        <v>152.82114322947896</v>
      </c>
      <c r="L136" s="8">
        <f t="shared" si="19"/>
        <v>-6.4184880156381157</v>
      </c>
      <c r="M136" s="8">
        <f t="shared" ref="M136:M199" si="31">B136+L136</f>
        <v>163.58992919232071</v>
      </c>
      <c r="N136" s="8">
        <f t="shared" si="20"/>
        <v>24.999999999999964</v>
      </c>
      <c r="O136" s="8">
        <f t="shared" si="21"/>
        <v>25.980880676354488</v>
      </c>
    </row>
    <row r="137" spans="1:15" x14ac:dyDescent="0.3">
      <c r="A137" s="5">
        <f t="shared" si="22"/>
        <v>1.2900000000000009</v>
      </c>
      <c r="B137" s="5">
        <f t="shared" ref="B137:B200" si="32">I136*$B$5+B136</f>
        <v>169.96879691156599</v>
      </c>
      <c r="C137" s="6">
        <f t="shared" si="30"/>
        <v>6555.9393094461166</v>
      </c>
      <c r="D137" s="6">
        <f t="shared" si="23"/>
        <v>42980340.229140826</v>
      </c>
      <c r="E137" s="7">
        <f t="shared" si="24"/>
        <v>6248571.4285714282</v>
      </c>
      <c r="F137" s="7">
        <f t="shared" si="25"/>
        <v>124.97142857142855</v>
      </c>
      <c r="G137" s="7">
        <f t="shared" si="26"/>
        <v>36731768.8005694</v>
      </c>
      <c r="H137" s="6">
        <f t="shared" si="27"/>
        <v>6060.6739559696989</v>
      </c>
      <c r="I137" s="7">
        <f t="shared" si="28"/>
        <v>-3.9630286629342986</v>
      </c>
      <c r="J137" s="7">
        <f t="shared" si="29"/>
        <v>-100.95598177630399</v>
      </c>
      <c r="K137" s="8">
        <f t="shared" ref="K137:K200" si="33">-$B$1*I137</f>
        <v>152.85967699889437</v>
      </c>
      <c r="L137" s="8">
        <f t="shared" ref="L137:L200" si="34">-$B$2*K137</f>
        <v>-6.4201064339535634</v>
      </c>
      <c r="M137" s="8">
        <f t="shared" si="31"/>
        <v>163.54869047761241</v>
      </c>
      <c r="N137" s="8">
        <f t="shared" ref="N137:N200" si="35">K137*M137/1000</f>
        <v>24.999999999999986</v>
      </c>
      <c r="O137" s="8">
        <f t="shared" ref="O137:O200" si="36">B137*K137/1000</f>
        <v>25.981375395792654</v>
      </c>
    </row>
    <row r="138" spans="1:15" x14ac:dyDescent="0.3">
      <c r="A138" s="5">
        <f t="shared" ref="A138:A201" si="37">A137+$B$5</f>
        <v>1.3000000000000009</v>
      </c>
      <c r="B138" s="5">
        <f t="shared" si="32"/>
        <v>169.92916662493664</v>
      </c>
      <c r="C138" s="6">
        <f t="shared" si="30"/>
        <v>6554.4107126761273</v>
      </c>
      <c r="D138" s="6">
        <f t="shared" ref="D138:D201" si="38">POWER(C138,2)</f>
        <v>42960299.790443577</v>
      </c>
      <c r="E138" s="7">
        <f t="shared" ref="E138:E201" si="39">4*$B$2*$B$3*POWER($B$1,2)</f>
        <v>6248571.4285714282</v>
      </c>
      <c r="F138" s="7">
        <f t="shared" ref="F138:F201" si="40">POWER($B$1,2)*2*$B$2</f>
        <v>124.97142857142855</v>
      </c>
      <c r="G138" s="7">
        <f t="shared" ref="G138:G201" si="41">D138-E138</f>
        <v>36711728.361872151</v>
      </c>
      <c r="H138" s="6">
        <f t="shared" ref="H138:H201" si="42">SQRT(G138)</f>
        <v>6059.0204127294501</v>
      </c>
      <c r="I138" s="7">
        <f t="shared" ref="I138:I201" si="43">(-C138+H138)/F138</f>
        <v>-3.9640284632221552</v>
      </c>
      <c r="J138" s="7">
        <f t="shared" ref="J138:J201" si="44">(-C138-H138)/F138</f>
        <v>-100.93051883612146</v>
      </c>
      <c r="K138" s="8">
        <f t="shared" si="33"/>
        <v>152.89824072428311</v>
      </c>
      <c r="L138" s="8">
        <f t="shared" si="34"/>
        <v>-6.4217261104198897</v>
      </c>
      <c r="M138" s="8">
        <f t="shared" si="31"/>
        <v>163.50744051451676</v>
      </c>
      <c r="N138" s="8">
        <f t="shared" si="35"/>
        <v>24.999999999999986</v>
      </c>
      <c r="O138" s="8">
        <f t="shared" si="36"/>
        <v>25.981870624696377</v>
      </c>
    </row>
    <row r="139" spans="1:15" x14ac:dyDescent="0.3">
      <c r="A139" s="5">
        <f t="shared" si="37"/>
        <v>1.3100000000000009</v>
      </c>
      <c r="B139" s="5">
        <f t="shared" si="32"/>
        <v>169.88952634030443</v>
      </c>
      <c r="C139" s="6">
        <f t="shared" si="30"/>
        <v>6552.8817302688849</v>
      </c>
      <c r="D139" s="6">
        <f t="shared" si="38"/>
        <v>42940258.970891736</v>
      </c>
      <c r="E139" s="7">
        <f t="shared" si="39"/>
        <v>6248571.4285714282</v>
      </c>
      <c r="F139" s="7">
        <f t="shared" si="40"/>
        <v>124.97142857142855</v>
      </c>
      <c r="G139" s="7">
        <f t="shared" si="41"/>
        <v>36691687.542320311</v>
      </c>
      <c r="H139" s="6">
        <f t="shared" si="42"/>
        <v>6057.3663866667594</v>
      </c>
      <c r="I139" s="7">
        <f t="shared" si="43"/>
        <v>-3.9650290411692724</v>
      </c>
      <c r="J139" s="7">
        <f t="shared" si="44"/>
        <v>-100.90504894667298</v>
      </c>
      <c r="K139" s="8">
        <f t="shared" si="33"/>
        <v>152.93683444510049</v>
      </c>
      <c r="L139" s="8">
        <f t="shared" si="34"/>
        <v>-6.4233470466942197</v>
      </c>
      <c r="M139" s="8">
        <f t="shared" si="31"/>
        <v>163.4661792936102</v>
      </c>
      <c r="N139" s="8">
        <f t="shared" si="35"/>
        <v>24.999999999999975</v>
      </c>
      <c r="O139" s="8">
        <f t="shared" si="36"/>
        <v>25.982366363863676</v>
      </c>
    </row>
    <row r="140" spans="1:15" x14ac:dyDescent="0.3">
      <c r="A140" s="5">
        <f t="shared" si="37"/>
        <v>1.320000000000001</v>
      </c>
      <c r="B140" s="5">
        <f t="shared" si="32"/>
        <v>169.84987604989274</v>
      </c>
      <c r="C140" s="6">
        <f t="shared" si="30"/>
        <v>6551.3523619244343</v>
      </c>
      <c r="D140" s="6">
        <f t="shared" si="38"/>
        <v>42920217.77009286</v>
      </c>
      <c r="E140" s="7">
        <f t="shared" si="39"/>
        <v>6248571.4285714282</v>
      </c>
      <c r="F140" s="7">
        <f t="shared" si="40"/>
        <v>124.97142857142855</v>
      </c>
      <c r="G140" s="7">
        <f t="shared" si="41"/>
        <v>36671646.341521434</v>
      </c>
      <c r="H140" s="6">
        <f t="shared" si="42"/>
        <v>6055.7118773535976</v>
      </c>
      <c r="I140" s="7">
        <f t="shared" si="43"/>
        <v>-3.9660303978004769</v>
      </c>
      <c r="J140" s="7">
        <f t="shared" si="44"/>
        <v>-100.87957210213334</v>
      </c>
      <c r="K140" s="8">
        <f t="shared" si="33"/>
        <v>152.97545820087552</v>
      </c>
      <c r="L140" s="8">
        <f t="shared" si="34"/>
        <v>-6.4249692444367712</v>
      </c>
      <c r="M140" s="8">
        <f t="shared" si="31"/>
        <v>163.42490680545598</v>
      </c>
      <c r="N140" s="8">
        <f t="shared" si="35"/>
        <v>25.000000000000007</v>
      </c>
      <c r="O140" s="8">
        <f t="shared" si="36"/>
        <v>25.982862614094255</v>
      </c>
    </row>
    <row r="141" spans="1:15" x14ac:dyDescent="0.3">
      <c r="A141" s="5">
        <f t="shared" si="37"/>
        <v>1.330000000000001</v>
      </c>
      <c r="B141" s="5">
        <f t="shared" si="32"/>
        <v>169.81021574591475</v>
      </c>
      <c r="C141" s="6">
        <f t="shared" si="30"/>
        <v>6549.8226073424257</v>
      </c>
      <c r="D141" s="6">
        <f t="shared" si="38"/>
        <v>42900176.187653929</v>
      </c>
      <c r="E141" s="7">
        <f t="shared" si="39"/>
        <v>6248571.4285714282</v>
      </c>
      <c r="F141" s="7">
        <f t="shared" si="40"/>
        <v>124.97142857142855</v>
      </c>
      <c r="G141" s="7">
        <f t="shared" si="41"/>
        <v>36651604.759082504</v>
      </c>
      <c r="H141" s="6">
        <f t="shared" si="42"/>
        <v>6054.0568843613046</v>
      </c>
      <c r="I141" s="7">
        <f t="shared" si="43"/>
        <v>-3.9670325341424881</v>
      </c>
      <c r="J141" s="7">
        <f t="shared" si="44"/>
        <v>-100.8540882966691</v>
      </c>
      <c r="K141" s="8">
        <f t="shared" si="33"/>
        <v>153.01411203121026</v>
      </c>
      <c r="L141" s="8">
        <f t="shared" si="34"/>
        <v>-6.4265927053108305</v>
      </c>
      <c r="M141" s="8">
        <f t="shared" si="31"/>
        <v>163.38362304060391</v>
      </c>
      <c r="N141" s="8">
        <f t="shared" si="35"/>
        <v>24.999999999999993</v>
      </c>
      <c r="O141" s="8">
        <f t="shared" si="36"/>
        <v>25.983359376189384</v>
      </c>
    </row>
    <row r="142" spans="1:15" x14ac:dyDescent="0.3">
      <c r="A142" s="5">
        <f t="shared" si="37"/>
        <v>1.340000000000001</v>
      </c>
      <c r="B142" s="5">
        <f t="shared" si="32"/>
        <v>169.77054542057331</v>
      </c>
      <c r="C142" s="6">
        <f t="shared" si="30"/>
        <v>6548.292466222113</v>
      </c>
      <c r="D142" s="6">
        <f t="shared" si="38"/>
        <v>42880134.223181285</v>
      </c>
      <c r="E142" s="7">
        <f t="shared" si="39"/>
        <v>6248571.4285714282</v>
      </c>
      <c r="F142" s="7">
        <f t="shared" si="40"/>
        <v>124.97142857142855</v>
      </c>
      <c r="G142" s="7">
        <f t="shared" si="41"/>
        <v>36631562.79460986</v>
      </c>
      <c r="H142" s="6">
        <f t="shared" si="42"/>
        <v>6052.4014072605805</v>
      </c>
      <c r="I142" s="7">
        <f t="shared" si="43"/>
        <v>-3.9680354512239693</v>
      </c>
      <c r="J142" s="7">
        <f t="shared" si="44"/>
        <v>-100.82859752443859</v>
      </c>
      <c r="K142" s="8">
        <f t="shared" si="33"/>
        <v>153.05279597578166</v>
      </c>
      <c r="L142" s="8">
        <f t="shared" si="34"/>
        <v>-6.4282174309828291</v>
      </c>
      <c r="M142" s="8">
        <f t="shared" si="31"/>
        <v>163.34232798959047</v>
      </c>
      <c r="N142" s="8">
        <f t="shared" si="35"/>
        <v>25</v>
      </c>
      <c r="O142" s="8">
        <f t="shared" si="36"/>
        <v>25.98385665095218</v>
      </c>
    </row>
    <row r="143" spans="1:15" x14ac:dyDescent="0.3">
      <c r="A143" s="5">
        <f t="shared" si="37"/>
        <v>1.350000000000001</v>
      </c>
      <c r="B143" s="5">
        <f t="shared" si="32"/>
        <v>169.73086506606109</v>
      </c>
      <c r="C143" s="6">
        <f t="shared" si="30"/>
        <v>6546.7619382623561</v>
      </c>
      <c r="D143" s="6">
        <f t="shared" si="38"/>
        <v>42860091.87628068</v>
      </c>
      <c r="E143" s="7">
        <f t="shared" si="39"/>
        <v>6248571.4285714282</v>
      </c>
      <c r="F143" s="7">
        <f t="shared" si="40"/>
        <v>124.97142857142855</v>
      </c>
      <c r="G143" s="7">
        <f t="shared" si="41"/>
        <v>36611520.447709255</v>
      </c>
      <c r="H143" s="6">
        <f t="shared" si="42"/>
        <v>6050.7454456214946</v>
      </c>
      <c r="I143" s="7">
        <f t="shared" si="43"/>
        <v>-3.9690391500754818</v>
      </c>
      <c r="J143" s="7">
        <f t="shared" si="44"/>
        <v>-100.80309977959188</v>
      </c>
      <c r="K143" s="8">
        <f t="shared" si="33"/>
        <v>153.09151007433999</v>
      </c>
      <c r="L143" s="8">
        <f t="shared" si="34"/>
        <v>-6.4298434231222794</v>
      </c>
      <c r="M143" s="8">
        <f t="shared" si="31"/>
        <v>163.30102164293879</v>
      </c>
      <c r="N143" s="8">
        <f t="shared" si="35"/>
        <v>24.999999999999979</v>
      </c>
      <c r="O143" s="8">
        <f t="shared" si="36"/>
        <v>25.984354439187332</v>
      </c>
    </row>
    <row r="144" spans="1:15" x14ac:dyDescent="0.3">
      <c r="A144" s="5">
        <f t="shared" si="37"/>
        <v>1.360000000000001</v>
      </c>
      <c r="B144" s="5">
        <f t="shared" si="32"/>
        <v>169.69117467456033</v>
      </c>
      <c r="C144" s="6">
        <f t="shared" si="30"/>
        <v>6545.231023161612</v>
      </c>
      <c r="D144" s="6">
        <f t="shared" si="38"/>
        <v>42840049.146557204</v>
      </c>
      <c r="E144" s="7">
        <f t="shared" si="39"/>
        <v>6248571.4285714282</v>
      </c>
      <c r="F144" s="7">
        <f t="shared" si="40"/>
        <v>124.97142857142855</v>
      </c>
      <c r="G144" s="7">
        <f t="shared" si="41"/>
        <v>36591477.717985779</v>
      </c>
      <c r="H144" s="6">
        <f t="shared" si="42"/>
        <v>6049.0889990134692</v>
      </c>
      <c r="I144" s="7">
        <f t="shared" si="43"/>
        <v>-3.9700436317295384</v>
      </c>
      <c r="J144" s="7">
        <f t="shared" si="44"/>
        <v>-100.77759505627067</v>
      </c>
      <c r="K144" s="8">
        <f t="shared" si="33"/>
        <v>153.13025436671077</v>
      </c>
      <c r="L144" s="8">
        <f t="shared" si="34"/>
        <v>-6.4314706834018516</v>
      </c>
      <c r="M144" s="8">
        <f t="shared" si="31"/>
        <v>163.25970399115849</v>
      </c>
      <c r="N144" s="8">
        <f t="shared" si="35"/>
        <v>25.000000000000004</v>
      </c>
      <c r="O144" s="8">
        <f t="shared" si="36"/>
        <v>25.984852741701371</v>
      </c>
    </row>
    <row r="145" spans="1:15" x14ac:dyDescent="0.3">
      <c r="A145" s="5">
        <f t="shared" si="37"/>
        <v>1.370000000000001</v>
      </c>
      <c r="B145" s="5">
        <f t="shared" si="32"/>
        <v>169.65147423824303</v>
      </c>
      <c r="C145" s="6">
        <f t="shared" si="30"/>
        <v>6543.6997206179449</v>
      </c>
      <c r="D145" s="6">
        <f t="shared" si="38"/>
        <v>42820006.033615373</v>
      </c>
      <c r="E145" s="7">
        <f t="shared" si="39"/>
        <v>6248571.4285714282</v>
      </c>
      <c r="F145" s="7">
        <f t="shared" si="40"/>
        <v>124.97142857142855</v>
      </c>
      <c r="G145" s="7">
        <f t="shared" si="41"/>
        <v>36571434.605043948</v>
      </c>
      <c r="H145" s="6">
        <f t="shared" si="42"/>
        <v>6047.4320670052957</v>
      </c>
      <c r="I145" s="7">
        <f t="shared" si="43"/>
        <v>-3.9710488972205589</v>
      </c>
      <c r="J145" s="7">
        <f t="shared" si="44"/>
        <v>-100.75208334860848</v>
      </c>
      <c r="K145" s="8">
        <f t="shared" si="33"/>
        <v>153.16902889279297</v>
      </c>
      <c r="L145" s="8">
        <f t="shared" si="34"/>
        <v>-6.4330992134973037</v>
      </c>
      <c r="M145" s="8">
        <f t="shared" si="31"/>
        <v>163.21837502474571</v>
      </c>
      <c r="N145" s="8">
        <f t="shared" si="35"/>
        <v>24.999999999999993</v>
      </c>
      <c r="O145" s="8">
        <f t="shared" si="36"/>
        <v>25.985351559302366</v>
      </c>
    </row>
    <row r="146" spans="1:15" x14ac:dyDescent="0.3">
      <c r="A146" s="5">
        <f t="shared" si="37"/>
        <v>1.380000000000001</v>
      </c>
      <c r="B146" s="5">
        <f t="shared" si="32"/>
        <v>169.61176374927081</v>
      </c>
      <c r="C146" s="6">
        <f t="shared" si="30"/>
        <v>6542.1680303290168</v>
      </c>
      <c r="D146" s="6">
        <f t="shared" si="38"/>
        <v>42799962.537059046</v>
      </c>
      <c r="E146" s="7">
        <f t="shared" si="39"/>
        <v>6248571.4285714282</v>
      </c>
      <c r="F146" s="7">
        <f t="shared" si="40"/>
        <v>124.97142857142855</v>
      </c>
      <c r="G146" s="7">
        <f t="shared" si="41"/>
        <v>36551391.108487621</v>
      </c>
      <c r="H146" s="6">
        <f t="shared" si="42"/>
        <v>6045.7746491651196</v>
      </c>
      <c r="I146" s="7">
        <f t="shared" si="43"/>
        <v>-3.9720549475849118</v>
      </c>
      <c r="J146" s="7">
        <f t="shared" si="44"/>
        <v>-100.72656465073041</v>
      </c>
      <c r="K146" s="8">
        <f t="shared" si="33"/>
        <v>153.20783369256088</v>
      </c>
      <c r="L146" s="8">
        <f t="shared" si="34"/>
        <v>-6.434729015087556</v>
      </c>
      <c r="M146" s="8">
        <f t="shared" si="31"/>
        <v>163.17703473418325</v>
      </c>
      <c r="N146" s="8">
        <f t="shared" si="35"/>
        <v>24.999999999999979</v>
      </c>
      <c r="O146" s="8">
        <f t="shared" si="36"/>
        <v>25.985850892800208</v>
      </c>
    </row>
    <row r="147" spans="1:15" x14ac:dyDescent="0.3">
      <c r="A147" s="5">
        <f t="shared" si="37"/>
        <v>1.390000000000001</v>
      </c>
      <c r="B147" s="5">
        <f t="shared" si="32"/>
        <v>169.57204319979496</v>
      </c>
      <c r="C147" s="6">
        <f t="shared" si="30"/>
        <v>6540.6359519920907</v>
      </c>
      <c r="D147" s="6">
        <f t="shared" si="38"/>
        <v>42779918.656491481</v>
      </c>
      <c r="E147" s="7">
        <f t="shared" si="39"/>
        <v>6248571.4285714282</v>
      </c>
      <c r="F147" s="7">
        <f t="shared" si="40"/>
        <v>124.97142857142855</v>
      </c>
      <c r="G147" s="7">
        <f t="shared" si="41"/>
        <v>36531347.227920055</v>
      </c>
      <c r="H147" s="6">
        <f t="shared" si="42"/>
        <v>6044.1167450604444</v>
      </c>
      <c r="I147" s="7">
        <f t="shared" si="43"/>
        <v>-3.9730617838609108</v>
      </c>
      <c r="J147" s="7">
        <f t="shared" si="44"/>
        <v>-100.70103895675328</v>
      </c>
      <c r="K147" s="8">
        <f t="shared" si="33"/>
        <v>153.2466688060637</v>
      </c>
      <c r="L147" s="8">
        <f t="shared" si="34"/>
        <v>-6.4363600898546744</v>
      </c>
      <c r="M147" s="8">
        <f t="shared" si="31"/>
        <v>163.13568310994029</v>
      </c>
      <c r="N147" s="8">
        <f t="shared" si="35"/>
        <v>24.999999999999979</v>
      </c>
      <c r="O147" s="8">
        <f t="shared" si="36"/>
        <v>25.986350743006504</v>
      </c>
    </row>
    <row r="148" spans="1:15" x14ac:dyDescent="0.3">
      <c r="A148" s="5">
        <f t="shared" si="37"/>
        <v>1.400000000000001</v>
      </c>
      <c r="B148" s="5">
        <f t="shared" si="32"/>
        <v>169.53231258195635</v>
      </c>
      <c r="C148" s="6">
        <f t="shared" si="30"/>
        <v>6539.1034853040301</v>
      </c>
      <c r="D148" s="6">
        <f t="shared" si="38"/>
        <v>42759874.391515315</v>
      </c>
      <c r="E148" s="7">
        <f t="shared" si="39"/>
        <v>6248571.4285714282</v>
      </c>
      <c r="F148" s="7">
        <f t="shared" si="40"/>
        <v>124.97142857142855</v>
      </c>
      <c r="G148" s="7">
        <f t="shared" si="41"/>
        <v>36511302.962943889</v>
      </c>
      <c r="H148" s="6">
        <f t="shared" si="42"/>
        <v>6042.4583542581313</v>
      </c>
      <c r="I148" s="7">
        <f t="shared" si="43"/>
        <v>-3.9740694070888112</v>
      </c>
      <c r="J148" s="7">
        <f t="shared" si="44"/>
        <v>-100.67550626078548</v>
      </c>
      <c r="K148" s="8">
        <f t="shared" si="33"/>
        <v>153.28553427342555</v>
      </c>
      <c r="L148" s="8">
        <f t="shared" si="34"/>
        <v>-6.4379924394838728</v>
      </c>
      <c r="M148" s="8">
        <f t="shared" si="31"/>
        <v>163.09432014247247</v>
      </c>
      <c r="N148" s="8">
        <f t="shared" si="35"/>
        <v>25.000000000000004</v>
      </c>
      <c r="O148" s="8">
        <f t="shared" si="36"/>
        <v>25.986851110734566</v>
      </c>
    </row>
    <row r="149" spans="1:15" x14ac:dyDescent="0.3">
      <c r="A149" s="5">
        <f t="shared" si="37"/>
        <v>1.410000000000001</v>
      </c>
      <c r="B149" s="5">
        <f t="shared" si="32"/>
        <v>169.49257188788545</v>
      </c>
      <c r="C149" s="6">
        <f t="shared" si="30"/>
        <v>6537.5706299612957</v>
      </c>
      <c r="D149" s="6">
        <f t="shared" si="38"/>
        <v>42739829.74173253</v>
      </c>
      <c r="E149" s="7">
        <f t="shared" si="39"/>
        <v>6248571.4285714282</v>
      </c>
      <c r="F149" s="7">
        <f t="shared" si="40"/>
        <v>124.97142857142855</v>
      </c>
      <c r="G149" s="7">
        <f t="shared" si="41"/>
        <v>36491258.313161105</v>
      </c>
      <c r="H149" s="6">
        <f t="shared" si="42"/>
        <v>6040.7994763243969</v>
      </c>
      <c r="I149" s="7">
        <f t="shared" si="43"/>
        <v>-3.9750778183108051</v>
      </c>
      <c r="J149" s="7">
        <f t="shared" si="44"/>
        <v>-100.64996655692714</v>
      </c>
      <c r="K149" s="8">
        <f t="shared" si="33"/>
        <v>153.32443013484533</v>
      </c>
      <c r="L149" s="8">
        <f t="shared" si="34"/>
        <v>-6.4396260656635036</v>
      </c>
      <c r="M149" s="8">
        <f t="shared" si="31"/>
        <v>163.05294582222194</v>
      </c>
      <c r="N149" s="8">
        <f t="shared" si="35"/>
        <v>24.999999999999989</v>
      </c>
      <c r="O149" s="8">
        <f t="shared" si="36"/>
        <v>25.98735199679934</v>
      </c>
    </row>
    <row r="150" spans="1:15" x14ac:dyDescent="0.3">
      <c r="A150" s="5">
        <f t="shared" si="37"/>
        <v>1.420000000000001</v>
      </c>
      <c r="B150" s="5">
        <f t="shared" si="32"/>
        <v>169.45282110970234</v>
      </c>
      <c r="C150" s="6">
        <f t="shared" si="30"/>
        <v>6536.0373856599472</v>
      </c>
      <c r="D150" s="6">
        <f t="shared" si="38"/>
        <v>42719784.706744514</v>
      </c>
      <c r="E150" s="7">
        <f t="shared" si="39"/>
        <v>6248571.4285714282</v>
      </c>
      <c r="F150" s="7">
        <f t="shared" si="40"/>
        <v>124.97142857142855</v>
      </c>
      <c r="G150" s="7">
        <f t="shared" si="41"/>
        <v>36471213.278173089</v>
      </c>
      <c r="H150" s="6">
        <f t="shared" si="42"/>
        <v>6039.1401108248092</v>
      </c>
      <c r="I150" s="7">
        <f t="shared" si="43"/>
        <v>-3.9760870185710635</v>
      </c>
      <c r="J150" s="7">
        <f t="shared" si="44"/>
        <v>-100.6244198392699</v>
      </c>
      <c r="K150" s="8">
        <f t="shared" si="33"/>
        <v>153.36335643059815</v>
      </c>
      <c r="L150" s="8">
        <f t="shared" si="34"/>
        <v>-6.4412609700851213</v>
      </c>
      <c r="M150" s="8">
        <f t="shared" si="31"/>
        <v>163.01156013961722</v>
      </c>
      <c r="N150" s="8">
        <f t="shared" si="35"/>
        <v>25</v>
      </c>
      <c r="O150" s="8">
        <f t="shared" si="36"/>
        <v>25.987853402017667</v>
      </c>
    </row>
    <row r="151" spans="1:15" x14ac:dyDescent="0.3">
      <c r="A151" s="5">
        <f t="shared" si="37"/>
        <v>1.430000000000001</v>
      </c>
      <c r="B151" s="5">
        <f t="shared" si="32"/>
        <v>169.41306023951662</v>
      </c>
      <c r="C151" s="6">
        <f t="shared" si="30"/>
        <v>6534.5037520956412</v>
      </c>
      <c r="D151" s="6">
        <f t="shared" si="38"/>
        <v>42699739.286152013</v>
      </c>
      <c r="E151" s="7">
        <f t="shared" si="39"/>
        <v>6248571.4285714282</v>
      </c>
      <c r="F151" s="7">
        <f t="shared" si="40"/>
        <v>124.97142857142855</v>
      </c>
      <c r="G151" s="7">
        <f t="shared" si="41"/>
        <v>36451167.857580587</v>
      </c>
      <c r="H151" s="6">
        <f t="shared" si="42"/>
        <v>6037.4802573242914</v>
      </c>
      <c r="I151" s="7">
        <f t="shared" si="43"/>
        <v>-3.9770970089156941</v>
      </c>
      <c r="J151" s="7">
        <f t="shared" si="44"/>
        <v>-100.59886610189704</v>
      </c>
      <c r="K151" s="8">
        <f t="shared" si="33"/>
        <v>153.40231320103391</v>
      </c>
      <c r="L151" s="8">
        <f t="shared" si="34"/>
        <v>-6.4428971544434237</v>
      </c>
      <c r="M151" s="8">
        <f t="shared" si="31"/>
        <v>162.97016308507321</v>
      </c>
      <c r="N151" s="8">
        <f t="shared" si="35"/>
        <v>24.999999999999975</v>
      </c>
      <c r="O151" s="8">
        <f t="shared" si="36"/>
        <v>25.988355327207952</v>
      </c>
    </row>
    <row r="152" spans="1:15" x14ac:dyDescent="0.3">
      <c r="A152" s="5">
        <f t="shared" si="37"/>
        <v>1.4400000000000011</v>
      </c>
      <c r="B152" s="5">
        <f t="shared" si="32"/>
        <v>169.37328926942746</v>
      </c>
      <c r="C152" s="6">
        <f t="shared" si="30"/>
        <v>6532.9697289636306</v>
      </c>
      <c r="D152" s="6">
        <f t="shared" si="38"/>
        <v>42679693.47955513</v>
      </c>
      <c r="E152" s="7">
        <f t="shared" si="39"/>
        <v>6248571.4285714282</v>
      </c>
      <c r="F152" s="7">
        <f t="shared" si="40"/>
        <v>124.97142857142855</v>
      </c>
      <c r="G152" s="7">
        <f t="shared" si="41"/>
        <v>36431122.050983705</v>
      </c>
      <c r="H152" s="6">
        <f t="shared" si="42"/>
        <v>6035.8199153871137</v>
      </c>
      <c r="I152" s="7">
        <f t="shared" si="43"/>
        <v>-3.978107790392797</v>
      </c>
      <c r="J152" s="7">
        <f t="shared" si="44"/>
        <v>-100.57330533888344</v>
      </c>
      <c r="K152" s="8">
        <f t="shared" si="33"/>
        <v>153.44130048657931</v>
      </c>
      <c r="L152" s="8">
        <f t="shared" si="34"/>
        <v>-6.4445346204363299</v>
      </c>
      <c r="M152" s="8">
        <f t="shared" si="31"/>
        <v>162.92875464899112</v>
      </c>
      <c r="N152" s="8">
        <f t="shared" si="35"/>
        <v>25</v>
      </c>
      <c r="O152" s="8">
        <f t="shared" si="36"/>
        <v>25.988857773190539</v>
      </c>
    </row>
    <row r="153" spans="1:15" x14ac:dyDescent="0.3">
      <c r="A153" s="5">
        <f t="shared" si="37"/>
        <v>1.4500000000000011</v>
      </c>
      <c r="B153" s="5">
        <f t="shared" si="32"/>
        <v>169.33350819152352</v>
      </c>
      <c r="C153" s="6">
        <f t="shared" si="30"/>
        <v>6531.4353159587645</v>
      </c>
      <c r="D153" s="6">
        <f t="shared" si="38"/>
        <v>42659647.286553368</v>
      </c>
      <c r="E153" s="7">
        <f t="shared" si="39"/>
        <v>6248571.4285714282</v>
      </c>
      <c r="F153" s="7">
        <f t="shared" si="40"/>
        <v>124.97142857142855</v>
      </c>
      <c r="G153" s="7">
        <f t="shared" si="41"/>
        <v>36411075.857981943</v>
      </c>
      <c r="H153" s="6">
        <f t="shared" si="42"/>
        <v>6034.1590845769006</v>
      </c>
      <c r="I153" s="7">
        <f t="shared" si="43"/>
        <v>-3.9791193640524098</v>
      </c>
      <c r="J153" s="7">
        <f t="shared" si="44"/>
        <v>-100.54773754429546</v>
      </c>
      <c r="K153" s="8">
        <f t="shared" si="33"/>
        <v>153.4803183277358</v>
      </c>
      <c r="L153" s="8">
        <f t="shared" si="34"/>
        <v>-6.4461733697649031</v>
      </c>
      <c r="M153" s="8">
        <f t="shared" si="31"/>
        <v>162.88733482175863</v>
      </c>
      <c r="N153" s="8">
        <f t="shared" si="35"/>
        <v>25</v>
      </c>
      <c r="O153" s="8">
        <f t="shared" si="36"/>
        <v>25.989360740787287</v>
      </c>
    </row>
    <row r="154" spans="1:15" x14ac:dyDescent="0.3">
      <c r="A154" s="5">
        <f t="shared" si="37"/>
        <v>1.4600000000000011</v>
      </c>
      <c r="B154" s="5">
        <f t="shared" si="32"/>
        <v>169.293716997883</v>
      </c>
      <c r="C154" s="6">
        <f t="shared" si="30"/>
        <v>6529.9005127754863</v>
      </c>
      <c r="D154" s="6">
        <f t="shared" si="38"/>
        <v>42639600.706745557</v>
      </c>
      <c r="E154" s="7">
        <f t="shared" si="39"/>
        <v>6248571.4285714282</v>
      </c>
      <c r="F154" s="7">
        <f t="shared" si="40"/>
        <v>124.97142857142855</v>
      </c>
      <c r="G154" s="7">
        <f t="shared" si="41"/>
        <v>36391029.278174132</v>
      </c>
      <c r="H154" s="6">
        <f t="shared" si="42"/>
        <v>6032.4977644566216</v>
      </c>
      <c r="I154" s="7">
        <f t="shared" si="43"/>
        <v>-3.9801317309465634</v>
      </c>
      <c r="J154" s="7">
        <f t="shared" si="44"/>
        <v>-100.52216271219109</v>
      </c>
      <c r="K154" s="8">
        <f t="shared" si="33"/>
        <v>153.51936676508171</v>
      </c>
      <c r="L154" s="8">
        <f t="shared" si="34"/>
        <v>-6.4478134041334316</v>
      </c>
      <c r="M154" s="8">
        <f t="shared" si="31"/>
        <v>162.84590359374957</v>
      </c>
      <c r="N154" s="8">
        <f t="shared" si="35"/>
        <v>24.999999999999979</v>
      </c>
      <c r="O154" s="8">
        <f t="shared" si="36"/>
        <v>25.989864230821951</v>
      </c>
    </row>
    <row r="155" spans="1:15" x14ac:dyDescent="0.3">
      <c r="A155" s="5">
        <f t="shared" si="37"/>
        <v>1.4700000000000011</v>
      </c>
      <c r="B155" s="5">
        <f t="shared" si="32"/>
        <v>169.25391568057353</v>
      </c>
      <c r="C155" s="6">
        <f t="shared" si="30"/>
        <v>6528.3653191078356</v>
      </c>
      <c r="D155" s="6">
        <f t="shared" si="38"/>
        <v>42619553.739729956</v>
      </c>
      <c r="E155" s="7">
        <f t="shared" si="39"/>
        <v>6248571.4285714282</v>
      </c>
      <c r="F155" s="7">
        <f t="shared" si="40"/>
        <v>124.97142857142855</v>
      </c>
      <c r="G155" s="7">
        <f t="shared" si="41"/>
        <v>36370982.31115853</v>
      </c>
      <c r="H155" s="6">
        <f t="shared" si="42"/>
        <v>6030.8359545885951</v>
      </c>
      <c r="I155" s="7">
        <f t="shared" si="43"/>
        <v>-3.9811448921292687</v>
      </c>
      <c r="J155" s="7">
        <f t="shared" si="44"/>
        <v>-100.49658083661984</v>
      </c>
      <c r="K155" s="8">
        <f t="shared" si="33"/>
        <v>153.5584458392718</v>
      </c>
      <c r="L155" s="8">
        <f t="shared" si="34"/>
        <v>-6.4494547252494145</v>
      </c>
      <c r="M155" s="8">
        <f t="shared" si="31"/>
        <v>162.80446095532412</v>
      </c>
      <c r="N155" s="8">
        <f t="shared" si="35"/>
        <v>24.999999999999979</v>
      </c>
      <c r="O155" s="8">
        <f t="shared" si="36"/>
        <v>25.990368244120024</v>
      </c>
    </row>
    <row r="156" spans="1:15" x14ac:dyDescent="0.3">
      <c r="A156" s="5">
        <f t="shared" si="37"/>
        <v>1.4800000000000011</v>
      </c>
      <c r="B156" s="5">
        <f t="shared" si="32"/>
        <v>169.21410423165224</v>
      </c>
      <c r="C156" s="6">
        <f t="shared" si="30"/>
        <v>6526.8297346494437</v>
      </c>
      <c r="D156" s="6">
        <f t="shared" si="38"/>
        <v>42599506.385104127</v>
      </c>
      <c r="E156" s="7">
        <f t="shared" si="39"/>
        <v>6248571.4285714282</v>
      </c>
      <c r="F156" s="7">
        <f t="shared" si="40"/>
        <v>124.97142857142855</v>
      </c>
      <c r="G156" s="7">
        <f t="shared" si="41"/>
        <v>36350934.956532702</v>
      </c>
      <c r="H156" s="6">
        <f t="shared" si="42"/>
        <v>6029.1736545344838</v>
      </c>
      <c r="I156" s="7">
        <f t="shared" si="43"/>
        <v>-3.9821588486565154</v>
      </c>
      <c r="J156" s="7">
        <f t="shared" si="44"/>
        <v>-100.47099191162266</v>
      </c>
      <c r="K156" s="8">
        <f t="shared" si="33"/>
        <v>153.59755559103701</v>
      </c>
      <c r="L156" s="8">
        <f t="shared" si="34"/>
        <v>-6.4510973348235536</v>
      </c>
      <c r="M156" s="8">
        <f t="shared" si="31"/>
        <v>162.7630068968287</v>
      </c>
      <c r="N156" s="8">
        <f t="shared" si="35"/>
        <v>24.999999999999986</v>
      </c>
      <c r="O156" s="8">
        <f t="shared" si="36"/>
        <v>25.990872781508738</v>
      </c>
    </row>
    <row r="157" spans="1:15" x14ac:dyDescent="0.3">
      <c r="A157" s="5">
        <f t="shared" si="37"/>
        <v>1.4900000000000011</v>
      </c>
      <c r="B157" s="5">
        <f t="shared" si="32"/>
        <v>169.17428264316567</v>
      </c>
      <c r="C157" s="6">
        <f t="shared" si="30"/>
        <v>6525.2937590935326</v>
      </c>
      <c r="D157" s="6">
        <f t="shared" si="38"/>
        <v>42579458.642465003</v>
      </c>
      <c r="E157" s="7">
        <f t="shared" si="39"/>
        <v>6248571.4285714282</v>
      </c>
      <c r="F157" s="7">
        <f t="shared" si="40"/>
        <v>124.97142857142855</v>
      </c>
      <c r="G157" s="7">
        <f t="shared" si="41"/>
        <v>36330887.213893577</v>
      </c>
      <c r="H157" s="6">
        <f t="shared" si="42"/>
        <v>6027.5108638552929</v>
      </c>
      <c r="I157" s="7">
        <f t="shared" si="43"/>
        <v>-3.9831736015862811</v>
      </c>
      <c r="J157" s="7">
        <f t="shared" si="44"/>
        <v>-100.44539593123204</v>
      </c>
      <c r="K157" s="8">
        <f t="shared" si="33"/>
        <v>153.63669606118512</v>
      </c>
      <c r="L157" s="8">
        <f t="shared" si="34"/>
        <v>-6.4527412345697748</v>
      </c>
      <c r="M157" s="8">
        <f t="shared" si="31"/>
        <v>162.7215414085959</v>
      </c>
      <c r="N157" s="8">
        <f t="shared" si="35"/>
        <v>24.999999999999996</v>
      </c>
      <c r="O157" s="8">
        <f t="shared" si="36"/>
        <v>25.99137784381707</v>
      </c>
    </row>
    <row r="158" spans="1:15" x14ac:dyDescent="0.3">
      <c r="A158" s="5">
        <f t="shared" si="37"/>
        <v>1.5000000000000011</v>
      </c>
      <c r="B158" s="5">
        <f t="shared" si="32"/>
        <v>169.13445090714981</v>
      </c>
      <c r="C158" s="6">
        <f t="shared" si="30"/>
        <v>6523.7573921329213</v>
      </c>
      <c r="D158" s="6">
        <f t="shared" si="38"/>
        <v>42559410.511408933</v>
      </c>
      <c r="E158" s="7">
        <f t="shared" si="39"/>
        <v>6248571.4285714282</v>
      </c>
      <c r="F158" s="7">
        <f t="shared" si="40"/>
        <v>124.97142857142855</v>
      </c>
      <c r="G158" s="7">
        <f t="shared" si="41"/>
        <v>36310839.082837507</v>
      </c>
      <c r="H158" s="6">
        <f t="shared" si="42"/>
        <v>6025.8475821113752</v>
      </c>
      <c r="I158" s="7">
        <f t="shared" si="43"/>
        <v>-3.9841891519785357</v>
      </c>
      <c r="J158" s="7">
        <f t="shared" si="44"/>
        <v>-100.41979288947198</v>
      </c>
      <c r="K158" s="8">
        <f t="shared" si="33"/>
        <v>153.67586729060065</v>
      </c>
      <c r="L158" s="8">
        <f t="shared" si="34"/>
        <v>-6.4543864262052262</v>
      </c>
      <c r="M158" s="8">
        <f t="shared" si="31"/>
        <v>162.68006448094459</v>
      </c>
      <c r="N158" s="8">
        <f t="shared" si="35"/>
        <v>24.999999999999996</v>
      </c>
      <c r="O158" s="8">
        <f t="shared" si="36"/>
        <v>25.991883431875767</v>
      </c>
    </row>
    <row r="159" spans="1:15" x14ac:dyDescent="0.3">
      <c r="A159" s="5">
        <f t="shared" si="37"/>
        <v>1.5100000000000011</v>
      </c>
      <c r="B159" s="5">
        <f t="shared" si="32"/>
        <v>169.09460901563003</v>
      </c>
      <c r="C159" s="6">
        <f t="shared" si="30"/>
        <v>6522.2206334600151</v>
      </c>
      <c r="D159" s="6">
        <f t="shared" si="38"/>
        <v>42539361.991531558</v>
      </c>
      <c r="E159" s="7">
        <f t="shared" si="39"/>
        <v>6248571.4285714282</v>
      </c>
      <c r="F159" s="7">
        <f t="shared" si="40"/>
        <v>124.97142857142855</v>
      </c>
      <c r="G159" s="7">
        <f t="shared" si="41"/>
        <v>36290790.562960133</v>
      </c>
      <c r="H159" s="6">
        <f t="shared" si="42"/>
        <v>6024.1838088624199</v>
      </c>
      <c r="I159" s="7">
        <f t="shared" si="43"/>
        <v>-3.9852055008952521</v>
      </c>
      <c r="J159" s="7">
        <f t="shared" si="44"/>
        <v>-100.39418278035787</v>
      </c>
      <c r="K159" s="8">
        <f t="shared" si="33"/>
        <v>153.71506932024542</v>
      </c>
      <c r="L159" s="8">
        <f t="shared" si="34"/>
        <v>-6.4560329114503068</v>
      </c>
      <c r="M159" s="8">
        <f t="shared" si="31"/>
        <v>162.63857610417972</v>
      </c>
      <c r="N159" s="8">
        <f t="shared" si="35"/>
        <v>24.999999999999996</v>
      </c>
      <c r="O159" s="8">
        <f t="shared" si="36"/>
        <v>25.992389546517366</v>
      </c>
    </row>
    <row r="160" spans="1:15" x14ac:dyDescent="0.3">
      <c r="A160" s="5">
        <f t="shared" si="37"/>
        <v>1.5200000000000011</v>
      </c>
      <c r="B160" s="5">
        <f t="shared" si="32"/>
        <v>169.05475696062106</v>
      </c>
      <c r="C160" s="6">
        <f t="shared" si="30"/>
        <v>6520.6834827668117</v>
      </c>
      <c r="D160" s="6">
        <f t="shared" si="38"/>
        <v>42519313.082427919</v>
      </c>
      <c r="E160" s="7">
        <f t="shared" si="39"/>
        <v>6248571.4285714282</v>
      </c>
      <c r="F160" s="7">
        <f t="shared" si="40"/>
        <v>124.97142857142855</v>
      </c>
      <c r="G160" s="7">
        <f t="shared" si="41"/>
        <v>36270741.653856494</v>
      </c>
      <c r="H160" s="6">
        <f t="shared" si="42"/>
        <v>6022.5195436674585</v>
      </c>
      <c r="I160" s="7">
        <f t="shared" si="43"/>
        <v>-3.9862226494004038</v>
      </c>
      <c r="J160" s="7">
        <f t="shared" si="44"/>
        <v>-100.36856559789656</v>
      </c>
      <c r="K160" s="8">
        <f t="shared" si="33"/>
        <v>153.75430219115842</v>
      </c>
      <c r="L160" s="8">
        <f t="shared" si="34"/>
        <v>-6.4576806920286529</v>
      </c>
      <c r="M160" s="8">
        <f t="shared" si="31"/>
        <v>162.59707626859242</v>
      </c>
      <c r="N160" s="8">
        <f t="shared" si="35"/>
        <v>24.999999999999993</v>
      </c>
      <c r="O160" s="8">
        <f t="shared" si="36"/>
        <v>25.992896188576172</v>
      </c>
    </row>
    <row r="161" spans="1:15" x14ac:dyDescent="0.3">
      <c r="A161" s="5">
        <f t="shared" si="37"/>
        <v>1.5300000000000011</v>
      </c>
      <c r="B161" s="5">
        <f t="shared" si="32"/>
        <v>169.01489473412707</v>
      </c>
      <c r="C161" s="6">
        <f t="shared" si="30"/>
        <v>6519.1459397449007</v>
      </c>
      <c r="D161" s="6">
        <f t="shared" si="38"/>
        <v>42499263.783692427</v>
      </c>
      <c r="E161" s="7">
        <f t="shared" si="39"/>
        <v>6248571.4285714282</v>
      </c>
      <c r="F161" s="7">
        <f t="shared" si="40"/>
        <v>124.97142857142855</v>
      </c>
      <c r="G161" s="7">
        <f t="shared" si="41"/>
        <v>36250692.355121002</v>
      </c>
      <c r="H161" s="6">
        <f t="shared" si="42"/>
        <v>6020.854786084863</v>
      </c>
      <c r="I161" s="7">
        <f t="shared" si="43"/>
        <v>-3.9872405985599735</v>
      </c>
      <c r="J161" s="7">
        <f t="shared" si="44"/>
        <v>-100.34294133608637</v>
      </c>
      <c r="K161" s="8">
        <f t="shared" si="33"/>
        <v>153.79356594445611</v>
      </c>
      <c r="L161" s="8">
        <f t="shared" si="34"/>
        <v>-6.4593297696671561</v>
      </c>
      <c r="M161" s="8">
        <f t="shared" si="31"/>
        <v>162.5555649644599</v>
      </c>
      <c r="N161" s="8">
        <f t="shared" si="35"/>
        <v>24.999999999999982</v>
      </c>
      <c r="O161" s="8">
        <f t="shared" si="36"/>
        <v>25.993403358888276</v>
      </c>
    </row>
    <row r="162" spans="1:15" x14ac:dyDescent="0.3">
      <c r="A162" s="5">
        <f t="shared" si="37"/>
        <v>1.5400000000000011</v>
      </c>
      <c r="B162" s="5">
        <f t="shared" si="32"/>
        <v>168.97502232814148</v>
      </c>
      <c r="C162" s="6">
        <f t="shared" si="30"/>
        <v>6517.6080040854567</v>
      </c>
      <c r="D162" s="6">
        <f t="shared" si="38"/>
        <v>42479214.09491881</v>
      </c>
      <c r="E162" s="7">
        <f t="shared" si="39"/>
        <v>6248571.4285714282</v>
      </c>
      <c r="F162" s="7">
        <f t="shared" si="40"/>
        <v>124.97142857142855</v>
      </c>
      <c r="G162" s="7">
        <f t="shared" si="41"/>
        <v>36230642.666347384</v>
      </c>
      <c r="H162" s="6">
        <f t="shared" si="42"/>
        <v>6019.1895356723389</v>
      </c>
      <c r="I162" s="7">
        <f t="shared" si="43"/>
        <v>-3.9882593494419587</v>
      </c>
      <c r="J162" s="7">
        <f t="shared" si="44"/>
        <v>-100.31730998891699</v>
      </c>
      <c r="K162" s="8">
        <f t="shared" si="33"/>
        <v>153.83286062133269</v>
      </c>
      <c r="L162" s="8">
        <f t="shared" si="34"/>
        <v>-6.4609801460959719</v>
      </c>
      <c r="M162" s="8">
        <f t="shared" si="31"/>
        <v>162.5140421820455</v>
      </c>
      <c r="N162" s="8">
        <f t="shared" si="35"/>
        <v>24.999999999999986</v>
      </c>
      <c r="O162" s="8">
        <f t="shared" si="36"/>
        <v>25.993911058291566</v>
      </c>
    </row>
    <row r="163" spans="1:15" x14ac:dyDescent="0.3">
      <c r="A163" s="5">
        <f t="shared" si="37"/>
        <v>1.5500000000000012</v>
      </c>
      <c r="B163" s="5">
        <f t="shared" si="32"/>
        <v>168.93513973464707</v>
      </c>
      <c r="C163" s="6">
        <f t="shared" si="30"/>
        <v>6516.0696754792434</v>
      </c>
      <c r="D163" s="6">
        <f t="shared" si="38"/>
        <v>42459164.015700169</v>
      </c>
      <c r="E163" s="7">
        <f t="shared" si="39"/>
        <v>6248571.4285714282</v>
      </c>
      <c r="F163" s="7">
        <f t="shared" si="40"/>
        <v>124.97142857142855</v>
      </c>
      <c r="G163" s="7">
        <f t="shared" si="41"/>
        <v>36210592.587128744</v>
      </c>
      <c r="H163" s="6">
        <f t="shared" si="42"/>
        <v>6017.5237919869287</v>
      </c>
      <c r="I163" s="7">
        <f t="shared" si="43"/>
        <v>-3.9892789031163738</v>
      </c>
      <c r="J163" s="7">
        <f t="shared" si="44"/>
        <v>-100.29167155036949</v>
      </c>
      <c r="K163" s="8">
        <f t="shared" si="33"/>
        <v>153.87218626306012</v>
      </c>
      <c r="L163" s="8">
        <f t="shared" si="34"/>
        <v>-6.4626318230485245</v>
      </c>
      <c r="M163" s="8">
        <f t="shared" si="31"/>
        <v>162.47250791159854</v>
      </c>
      <c r="N163" s="8">
        <f t="shared" si="35"/>
        <v>25</v>
      </c>
      <c r="O163" s="8">
        <f t="shared" si="36"/>
        <v>25.9944192876257</v>
      </c>
    </row>
    <row r="164" spans="1:15" x14ac:dyDescent="0.3">
      <c r="A164" s="5">
        <f t="shared" si="37"/>
        <v>1.5600000000000012</v>
      </c>
      <c r="B164" s="5">
        <f t="shared" si="32"/>
        <v>168.8952469456159</v>
      </c>
      <c r="C164" s="6">
        <f t="shared" si="30"/>
        <v>6514.5309536166124</v>
      </c>
      <c r="D164" s="6">
        <f t="shared" si="38"/>
        <v>42439113.545628972</v>
      </c>
      <c r="E164" s="7">
        <f t="shared" si="39"/>
        <v>6248571.4285714282</v>
      </c>
      <c r="F164" s="7">
        <f t="shared" si="40"/>
        <v>124.97142857142855</v>
      </c>
      <c r="G164" s="7">
        <f t="shared" si="41"/>
        <v>36190542.117057547</v>
      </c>
      <c r="H164" s="6">
        <f t="shared" si="42"/>
        <v>6015.8575545850108</v>
      </c>
      <c r="I164" s="7">
        <f t="shared" si="43"/>
        <v>-3.9902992606552488</v>
      </c>
      <c r="J164" s="7">
        <f t="shared" si="44"/>
        <v>-100.26602601441631</v>
      </c>
      <c r="K164" s="8">
        <f t="shared" si="33"/>
        <v>153.91154291098815</v>
      </c>
      <c r="L164" s="8">
        <f t="shared" si="34"/>
        <v>-6.4642848022615018</v>
      </c>
      <c r="M164" s="8">
        <f t="shared" si="31"/>
        <v>162.43096214335441</v>
      </c>
      <c r="N164" s="8">
        <f t="shared" si="35"/>
        <v>24.999999999999982</v>
      </c>
      <c r="O164" s="8">
        <f t="shared" si="36"/>
        <v>25.994928047732103</v>
      </c>
    </row>
    <row r="165" spans="1:15" x14ac:dyDescent="0.3">
      <c r="A165" s="5">
        <f t="shared" si="37"/>
        <v>1.5700000000000012</v>
      </c>
      <c r="B165" s="5">
        <f t="shared" si="32"/>
        <v>168.85534395300934</v>
      </c>
      <c r="C165" s="6">
        <f t="shared" si="30"/>
        <v>6512.9918381875032</v>
      </c>
      <c r="D165" s="6">
        <f t="shared" si="38"/>
        <v>42419062.684297033</v>
      </c>
      <c r="E165" s="7">
        <f t="shared" si="39"/>
        <v>6248571.4285714282</v>
      </c>
      <c r="F165" s="7">
        <f t="shared" si="40"/>
        <v>124.97142857142855</v>
      </c>
      <c r="G165" s="7">
        <f t="shared" si="41"/>
        <v>36170491.255725607</v>
      </c>
      <c r="H165" s="6">
        <f t="shared" si="42"/>
        <v>6014.1908230222962</v>
      </c>
      <c r="I165" s="7">
        <f t="shared" si="43"/>
        <v>-3.9913204231326587</v>
      </c>
      <c r="J165" s="7">
        <f t="shared" si="44"/>
        <v>-100.24037337502128</v>
      </c>
      <c r="K165" s="8">
        <f t="shared" si="33"/>
        <v>153.9509306065454</v>
      </c>
      <c r="L165" s="8">
        <f t="shared" si="34"/>
        <v>-6.4659390854749059</v>
      </c>
      <c r="M165" s="8">
        <f t="shared" si="31"/>
        <v>162.38940486753444</v>
      </c>
      <c r="N165" s="8">
        <f t="shared" si="35"/>
        <v>25</v>
      </c>
      <c r="O165" s="8">
        <f t="shared" si="36"/>
        <v>25.995437339454096</v>
      </c>
    </row>
    <row r="166" spans="1:15" x14ac:dyDescent="0.3">
      <c r="A166" s="5">
        <f t="shared" si="37"/>
        <v>1.5800000000000012</v>
      </c>
      <c r="B166" s="5">
        <f t="shared" si="32"/>
        <v>168.815430748778</v>
      </c>
      <c r="C166" s="6">
        <f t="shared" si="30"/>
        <v>6511.4523288814371</v>
      </c>
      <c r="D166" s="6">
        <f t="shared" si="38"/>
        <v>42399011.431295492</v>
      </c>
      <c r="E166" s="7">
        <f t="shared" si="39"/>
        <v>6248571.4285714282</v>
      </c>
      <c r="F166" s="7">
        <f t="shared" si="40"/>
        <v>124.97142857142855</v>
      </c>
      <c r="G166" s="7">
        <f t="shared" si="41"/>
        <v>36150440.002724066</v>
      </c>
      <c r="H166" s="6">
        <f t="shared" si="42"/>
        <v>6012.5235968538254</v>
      </c>
      <c r="I166" s="7">
        <f t="shared" si="43"/>
        <v>-3.9923423916246938</v>
      </c>
      <c r="J166" s="7">
        <f t="shared" si="44"/>
        <v>-100.21471362613953</v>
      </c>
      <c r="K166" s="8">
        <f t="shared" si="33"/>
        <v>153.99034939123817</v>
      </c>
      <c r="L166" s="8">
        <f t="shared" si="34"/>
        <v>-6.4675946744320028</v>
      </c>
      <c r="M166" s="8">
        <f t="shared" si="31"/>
        <v>162.34783607434599</v>
      </c>
      <c r="N166" s="8">
        <f t="shared" si="35"/>
        <v>25</v>
      </c>
      <c r="O166" s="8">
        <f t="shared" si="36"/>
        <v>25.995947163636693</v>
      </c>
    </row>
    <row r="167" spans="1:15" x14ac:dyDescent="0.3">
      <c r="A167" s="5">
        <f t="shared" si="37"/>
        <v>1.5900000000000012</v>
      </c>
      <c r="B167" s="5">
        <f t="shared" si="32"/>
        <v>168.77550732486176</v>
      </c>
      <c r="C167" s="6">
        <f t="shared" si="30"/>
        <v>6509.9124253875252</v>
      </c>
      <c r="D167" s="6">
        <f t="shared" si="38"/>
        <v>42378959.786214888</v>
      </c>
      <c r="E167" s="7">
        <f t="shared" si="39"/>
        <v>6248571.4285714282</v>
      </c>
      <c r="F167" s="7">
        <f t="shared" si="40"/>
        <v>124.97142857142855</v>
      </c>
      <c r="G167" s="7">
        <f t="shared" si="41"/>
        <v>36130388.357643463</v>
      </c>
      <c r="H167" s="6">
        <f t="shared" si="42"/>
        <v>6010.8558756339735</v>
      </c>
      <c r="I167" s="7">
        <f t="shared" si="43"/>
        <v>-3.993365167209491</v>
      </c>
      <c r="J167" s="7">
        <f t="shared" si="44"/>
        <v>-100.18904676171755</v>
      </c>
      <c r="K167" s="8">
        <f t="shared" si="33"/>
        <v>154.0297993066518</v>
      </c>
      <c r="L167" s="8">
        <f t="shared" si="34"/>
        <v>-6.4692515708793747</v>
      </c>
      <c r="M167" s="8">
        <f t="shared" si="31"/>
        <v>162.30625575398238</v>
      </c>
      <c r="N167" s="8">
        <f t="shared" si="35"/>
        <v>25.000000000000004</v>
      </c>
      <c r="O167" s="8">
        <f t="shared" si="36"/>
        <v>25.9964575211268</v>
      </c>
    </row>
    <row r="168" spans="1:15" x14ac:dyDescent="0.3">
      <c r="A168" s="5">
        <f t="shared" si="37"/>
        <v>1.6000000000000012</v>
      </c>
      <c r="B168" s="5">
        <f t="shared" si="32"/>
        <v>168.73557367318966</v>
      </c>
      <c r="C168" s="6">
        <f t="shared" si="30"/>
        <v>6508.3721273944584</v>
      </c>
      <c r="D168" s="6">
        <f t="shared" si="38"/>
        <v>42358907.748645067</v>
      </c>
      <c r="E168" s="7">
        <f t="shared" si="39"/>
        <v>6248571.4285714282</v>
      </c>
      <c r="F168" s="7">
        <f t="shared" si="40"/>
        <v>124.97142857142855</v>
      </c>
      <c r="G168" s="7">
        <f t="shared" si="41"/>
        <v>36110336.320073642</v>
      </c>
      <c r="H168" s="6">
        <f t="shared" si="42"/>
        <v>6009.1876589164394</v>
      </c>
      <c r="I168" s="7">
        <f t="shared" si="43"/>
        <v>-3.9943887509672309</v>
      </c>
      <c r="J168" s="7">
        <f t="shared" si="44"/>
        <v>-100.16337277569308</v>
      </c>
      <c r="K168" s="8">
        <f t="shared" si="33"/>
        <v>154.06928039445032</v>
      </c>
      <c r="L168" s="8">
        <f t="shared" si="34"/>
        <v>-6.4709097765669128</v>
      </c>
      <c r="M168" s="8">
        <f t="shared" si="31"/>
        <v>162.26466389662275</v>
      </c>
      <c r="N168" s="8">
        <f t="shared" si="35"/>
        <v>25.000000000000011</v>
      </c>
      <c r="O168" s="8">
        <f t="shared" si="36"/>
        <v>25.996968412773086</v>
      </c>
    </row>
    <row r="169" spans="1:15" x14ac:dyDescent="0.3">
      <c r="A169" s="5">
        <f t="shared" si="37"/>
        <v>1.6100000000000012</v>
      </c>
      <c r="B169" s="5">
        <f t="shared" si="32"/>
        <v>168.69562978567998</v>
      </c>
      <c r="C169" s="6">
        <f t="shared" si="30"/>
        <v>6506.8314345905137</v>
      </c>
      <c r="D169" s="6">
        <f t="shared" si="38"/>
        <v>42338855.318175241</v>
      </c>
      <c r="E169" s="7">
        <f t="shared" si="39"/>
        <v>6248571.4285714282</v>
      </c>
      <c r="F169" s="7">
        <f t="shared" si="40"/>
        <v>124.97142857142855</v>
      </c>
      <c r="G169" s="7">
        <f t="shared" si="41"/>
        <v>36090283.889603816</v>
      </c>
      <c r="H169" s="6">
        <f t="shared" si="42"/>
        <v>6007.518946254253</v>
      </c>
      <c r="I169" s="7">
        <f t="shared" si="43"/>
        <v>-3.995413143980139</v>
      </c>
      <c r="J169" s="7">
        <f t="shared" si="44"/>
        <v>-100.13769166199519</v>
      </c>
      <c r="K169" s="8">
        <f t="shared" si="33"/>
        <v>154.10879269637678</v>
      </c>
      <c r="L169" s="8">
        <f t="shared" si="34"/>
        <v>-6.4725692932478243</v>
      </c>
      <c r="M169" s="8">
        <f t="shared" si="31"/>
        <v>162.22306049243215</v>
      </c>
      <c r="N169" s="8">
        <f t="shared" si="35"/>
        <v>25.000000000000018</v>
      </c>
      <c r="O169" s="8">
        <f t="shared" si="36"/>
        <v>25.997479839426081</v>
      </c>
    </row>
    <row r="170" spans="1:15" x14ac:dyDescent="0.3">
      <c r="A170" s="5">
        <f t="shared" si="37"/>
        <v>1.6200000000000012</v>
      </c>
      <c r="B170" s="5">
        <f t="shared" si="32"/>
        <v>168.65567565424018</v>
      </c>
      <c r="C170" s="6">
        <f t="shared" si="30"/>
        <v>6505.2903466635498</v>
      </c>
      <c r="D170" s="6">
        <f t="shared" si="38"/>
        <v>42318802.494393967</v>
      </c>
      <c r="E170" s="7">
        <f t="shared" si="39"/>
        <v>6248571.4285714282</v>
      </c>
      <c r="F170" s="7">
        <f t="shared" si="40"/>
        <v>124.97142857142855</v>
      </c>
      <c r="G170" s="7">
        <f t="shared" si="41"/>
        <v>36070231.065822542</v>
      </c>
      <c r="H170" s="6">
        <f t="shared" si="42"/>
        <v>6005.8497371997701</v>
      </c>
      <c r="I170" s="7">
        <f t="shared" si="43"/>
        <v>-3.9964383473324863</v>
      </c>
      <c r="J170" s="7">
        <f t="shared" si="44"/>
        <v>-100.11200341454419</v>
      </c>
      <c r="K170" s="8">
        <f t="shared" si="33"/>
        <v>154.14833625425302</v>
      </c>
      <c r="L170" s="8">
        <f t="shared" si="34"/>
        <v>-6.4742301226786267</v>
      </c>
      <c r="M170" s="8">
        <f t="shared" si="31"/>
        <v>162.18144553156156</v>
      </c>
      <c r="N170" s="8">
        <f t="shared" si="35"/>
        <v>24.999999999999975</v>
      </c>
      <c r="O170" s="8">
        <f t="shared" si="36"/>
        <v>25.997991801938053</v>
      </c>
    </row>
    <row r="171" spans="1:15" x14ac:dyDescent="0.3">
      <c r="A171" s="5">
        <f t="shared" si="37"/>
        <v>1.6300000000000012</v>
      </c>
      <c r="B171" s="5">
        <f t="shared" si="32"/>
        <v>168.61571127076687</v>
      </c>
      <c r="C171" s="6">
        <f t="shared" si="30"/>
        <v>6503.7488633010071</v>
      </c>
      <c r="D171" s="6">
        <f t="shared" si="38"/>
        <v>42298749.276889138</v>
      </c>
      <c r="E171" s="7">
        <f t="shared" si="39"/>
        <v>6248571.4285714282</v>
      </c>
      <c r="F171" s="7">
        <f t="shared" si="40"/>
        <v>124.97142857142855</v>
      </c>
      <c r="G171" s="7">
        <f t="shared" si="41"/>
        <v>36050177.848317713</v>
      </c>
      <c r="H171" s="6">
        <f t="shared" si="42"/>
        <v>6004.180031304667</v>
      </c>
      <c r="I171" s="7">
        <f t="shared" si="43"/>
        <v>-3.9974643621106329</v>
      </c>
      <c r="J171" s="7">
        <f t="shared" si="44"/>
        <v>-100.08630802725163</v>
      </c>
      <c r="K171" s="8">
        <f t="shared" si="33"/>
        <v>154.18791110998154</v>
      </c>
      <c r="L171" s="8">
        <f t="shared" si="34"/>
        <v>-6.4758922666192245</v>
      </c>
      <c r="M171" s="8">
        <f t="shared" si="31"/>
        <v>162.13981900414765</v>
      </c>
      <c r="N171" s="8">
        <f t="shared" si="35"/>
        <v>25.000000000000014</v>
      </c>
      <c r="O171" s="8">
        <f t="shared" si="36"/>
        <v>25.998504301163312</v>
      </c>
    </row>
    <row r="172" spans="1:15" x14ac:dyDescent="0.3">
      <c r="A172" s="5">
        <f t="shared" si="37"/>
        <v>1.6400000000000012</v>
      </c>
      <c r="B172" s="5">
        <f t="shared" si="32"/>
        <v>168.57573662714577</v>
      </c>
      <c r="C172" s="6">
        <f t="shared" si="30"/>
        <v>6502.2069841899083</v>
      </c>
      <c r="D172" s="6">
        <f t="shared" si="38"/>
        <v>42278695.665248021</v>
      </c>
      <c r="E172" s="7">
        <f t="shared" si="39"/>
        <v>6248571.4285714282</v>
      </c>
      <c r="F172" s="7">
        <f t="shared" si="40"/>
        <v>124.97142857142855</v>
      </c>
      <c r="G172" s="7">
        <f t="shared" si="41"/>
        <v>36030124.236676596</v>
      </c>
      <c r="H172" s="6">
        <f t="shared" si="42"/>
        <v>6002.5098281199507</v>
      </c>
      <c r="I172" s="7">
        <f t="shared" si="43"/>
        <v>-3.9984911894029538</v>
      </c>
      <c r="J172" s="7">
        <f t="shared" si="44"/>
        <v>-100.06060549402039</v>
      </c>
      <c r="K172" s="8">
        <f t="shared" si="33"/>
        <v>154.22751730554251</v>
      </c>
      <c r="L172" s="8">
        <f t="shared" si="34"/>
        <v>-6.4775557268327848</v>
      </c>
      <c r="M172" s="8">
        <f t="shared" si="31"/>
        <v>162.098180900313</v>
      </c>
      <c r="N172" s="8">
        <f t="shared" si="35"/>
        <v>24.999999999999982</v>
      </c>
      <c r="O172" s="8">
        <f t="shared" si="36"/>
        <v>25.999017337957699</v>
      </c>
    </row>
    <row r="173" spans="1:15" x14ac:dyDescent="0.3">
      <c r="A173" s="5">
        <f t="shared" si="37"/>
        <v>1.6500000000000012</v>
      </c>
      <c r="B173" s="5">
        <f t="shared" si="32"/>
        <v>168.53575171525173</v>
      </c>
      <c r="C173" s="6">
        <f t="shared" si="30"/>
        <v>6500.6647090168526</v>
      </c>
      <c r="D173" s="6">
        <f t="shared" si="38"/>
        <v>42258641.659057163</v>
      </c>
      <c r="E173" s="7">
        <f t="shared" si="39"/>
        <v>6248571.4285714282</v>
      </c>
      <c r="F173" s="7">
        <f t="shared" si="40"/>
        <v>124.97142857142855</v>
      </c>
      <c r="G173" s="7">
        <f t="shared" si="41"/>
        <v>36010070.230485737</v>
      </c>
      <c r="H173" s="6">
        <f t="shared" si="42"/>
        <v>6000.8391271959408</v>
      </c>
      <c r="I173" s="7">
        <f t="shared" si="43"/>
        <v>-3.9995188302999352</v>
      </c>
      <c r="J173" s="7">
        <f t="shared" si="44"/>
        <v>-100.03489580874435</v>
      </c>
      <c r="K173" s="8">
        <f t="shared" si="33"/>
        <v>154.26715488299749</v>
      </c>
      <c r="L173" s="8">
        <f t="shared" si="34"/>
        <v>-6.4792205050858938</v>
      </c>
      <c r="M173" s="8">
        <f t="shared" si="31"/>
        <v>162.05653121016584</v>
      </c>
      <c r="N173" s="8">
        <f t="shared" si="35"/>
        <v>24.999999999999972</v>
      </c>
      <c r="O173" s="8">
        <f t="shared" si="36"/>
        <v>25.999530913179147</v>
      </c>
    </row>
    <row r="174" spans="1:15" x14ac:dyDescent="0.3">
      <c r="A174" s="5">
        <f t="shared" si="37"/>
        <v>1.6600000000000013</v>
      </c>
      <c r="B174" s="5">
        <f t="shared" si="32"/>
        <v>168.49575652694872</v>
      </c>
      <c r="C174" s="6">
        <f t="shared" si="30"/>
        <v>6499.1220374680215</v>
      </c>
      <c r="D174" s="6">
        <f t="shared" si="38"/>
        <v>42238587.257902488</v>
      </c>
      <c r="E174" s="7">
        <f t="shared" si="39"/>
        <v>6248571.4285714282</v>
      </c>
      <c r="F174" s="7">
        <f t="shared" si="40"/>
        <v>124.97142857142855</v>
      </c>
      <c r="G174" s="7">
        <f t="shared" si="41"/>
        <v>35990015.829331063</v>
      </c>
      <c r="H174" s="6">
        <f t="shared" si="42"/>
        <v>5999.1679280822818</v>
      </c>
      <c r="I174" s="7">
        <f t="shared" si="43"/>
        <v>-4.0005472858941227</v>
      </c>
      <c r="J174" s="7">
        <f t="shared" si="44"/>
        <v>-100.00917896530879</v>
      </c>
      <c r="K174" s="8">
        <f t="shared" si="33"/>
        <v>154.30682388448759</v>
      </c>
      <c r="L174" s="8">
        <f t="shared" si="34"/>
        <v>-6.4808866031484778</v>
      </c>
      <c r="M174" s="8">
        <f t="shared" si="31"/>
        <v>162.01486992380023</v>
      </c>
      <c r="N174" s="8">
        <f t="shared" si="35"/>
        <v>25.000000000000007</v>
      </c>
      <c r="O174" s="8">
        <f t="shared" si="36"/>
        <v>26.000045027687378</v>
      </c>
    </row>
    <row r="175" spans="1:15" x14ac:dyDescent="0.3">
      <c r="A175" s="5">
        <f t="shared" si="37"/>
        <v>1.6700000000000013</v>
      </c>
      <c r="B175" s="5">
        <f t="shared" si="32"/>
        <v>168.45575105408977</v>
      </c>
      <c r="C175" s="6">
        <f t="shared" si="30"/>
        <v>6497.5789692291764</v>
      </c>
      <c r="D175" s="6">
        <f t="shared" si="38"/>
        <v>42218532.461369283</v>
      </c>
      <c r="E175" s="7">
        <f t="shared" si="39"/>
        <v>6248571.4285714282</v>
      </c>
      <c r="F175" s="7">
        <f t="shared" si="40"/>
        <v>124.97142857142855</v>
      </c>
      <c r="G175" s="7">
        <f t="shared" si="41"/>
        <v>35969961.032797858</v>
      </c>
      <c r="H175" s="6">
        <f t="shared" si="42"/>
        <v>5997.4962303279408</v>
      </c>
      <c r="I175" s="7">
        <f t="shared" si="43"/>
        <v>-4.0015765572801216</v>
      </c>
      <c r="J175" s="7">
        <f t="shared" si="44"/>
        <v>-99.983454957590126</v>
      </c>
      <c r="K175" s="8">
        <f t="shared" si="33"/>
        <v>154.34652435223325</v>
      </c>
      <c r="L175" s="8">
        <f t="shared" si="34"/>
        <v>-6.4825540227937957</v>
      </c>
      <c r="M175" s="8">
        <f t="shared" si="31"/>
        <v>161.97319703129597</v>
      </c>
      <c r="N175" s="8">
        <f t="shared" si="35"/>
        <v>24.999999999999996</v>
      </c>
      <c r="O175" s="8">
        <f t="shared" si="36"/>
        <v>26.000559682343809</v>
      </c>
    </row>
    <row r="176" spans="1:15" x14ac:dyDescent="0.3">
      <c r="A176" s="5">
        <f t="shared" si="37"/>
        <v>1.6800000000000013</v>
      </c>
      <c r="B176" s="5">
        <f t="shared" si="32"/>
        <v>168.41573528851697</v>
      </c>
      <c r="C176" s="6">
        <f t="shared" si="30"/>
        <v>6496.035503985654</v>
      </c>
      <c r="D176" s="6">
        <f t="shared" si="38"/>
        <v>42198477.269042149</v>
      </c>
      <c r="E176" s="7">
        <f t="shared" si="39"/>
        <v>6248571.4285714282</v>
      </c>
      <c r="F176" s="7">
        <f t="shared" si="40"/>
        <v>124.97142857142855</v>
      </c>
      <c r="G176" s="7">
        <f t="shared" si="41"/>
        <v>35949905.840470724</v>
      </c>
      <c r="H176" s="6">
        <f t="shared" si="42"/>
        <v>5995.8240334811962</v>
      </c>
      <c r="I176" s="7">
        <f t="shared" si="43"/>
        <v>-4.0026066455546472</v>
      </c>
      <c r="J176" s="7">
        <f t="shared" si="44"/>
        <v>-99.957723779455847</v>
      </c>
      <c r="K176" s="8">
        <f t="shared" si="33"/>
        <v>154.38625632853638</v>
      </c>
      <c r="L176" s="8">
        <f t="shared" si="34"/>
        <v>-6.4842227657985267</v>
      </c>
      <c r="M176" s="8">
        <f t="shared" si="31"/>
        <v>161.93151252271844</v>
      </c>
      <c r="N176" s="8">
        <f t="shared" si="35"/>
        <v>25.000000000000007</v>
      </c>
      <c r="O176" s="8">
        <f t="shared" si="36"/>
        <v>26.001074878011909</v>
      </c>
    </row>
    <row r="177" spans="1:15" x14ac:dyDescent="0.3">
      <c r="A177" s="5">
        <f t="shared" si="37"/>
        <v>1.6900000000000013</v>
      </c>
      <c r="B177" s="5">
        <f t="shared" si="32"/>
        <v>168.37570922206143</v>
      </c>
      <c r="C177" s="6">
        <f t="shared" si="30"/>
        <v>6494.491641422369</v>
      </c>
      <c r="D177" s="6">
        <f t="shared" si="38"/>
        <v>42178421.680505015</v>
      </c>
      <c r="E177" s="7">
        <f t="shared" si="39"/>
        <v>6248571.4285714282</v>
      </c>
      <c r="F177" s="7">
        <f t="shared" si="40"/>
        <v>124.97142857142855</v>
      </c>
      <c r="G177" s="7">
        <f t="shared" si="41"/>
        <v>35929850.25193359</v>
      </c>
      <c r="H177" s="6">
        <f t="shared" si="42"/>
        <v>5994.1513370896455</v>
      </c>
      <c r="I177" s="7">
        <f t="shared" si="43"/>
        <v>-4.0036375518164897</v>
      </c>
      <c r="J177" s="7">
        <f t="shared" si="44"/>
        <v>-99.931985424764648</v>
      </c>
      <c r="K177" s="8">
        <f t="shared" si="33"/>
        <v>154.42601985577889</v>
      </c>
      <c r="L177" s="8">
        <f t="shared" si="34"/>
        <v>-6.4858928339427129</v>
      </c>
      <c r="M177" s="8">
        <f t="shared" si="31"/>
        <v>161.88981638811873</v>
      </c>
      <c r="N177" s="8">
        <f t="shared" si="35"/>
        <v>25.000000000000021</v>
      </c>
      <c r="O177" s="8">
        <f t="shared" si="36"/>
        <v>26.001590615556911</v>
      </c>
    </row>
    <row r="178" spans="1:15" x14ac:dyDescent="0.3">
      <c r="A178" s="5">
        <f t="shared" si="37"/>
        <v>1.7000000000000013</v>
      </c>
      <c r="B178" s="5">
        <f t="shared" si="32"/>
        <v>168.33567284654328</v>
      </c>
      <c r="C178" s="6">
        <f t="shared" si="30"/>
        <v>6492.947381223812</v>
      </c>
      <c r="D178" s="6">
        <f t="shared" si="38"/>
        <v>42158365.695341162</v>
      </c>
      <c r="E178" s="7">
        <f t="shared" si="39"/>
        <v>6248571.4285714282</v>
      </c>
      <c r="F178" s="7">
        <f t="shared" si="40"/>
        <v>124.97142857142855</v>
      </c>
      <c r="G178" s="7">
        <f t="shared" si="41"/>
        <v>35909794.266769737</v>
      </c>
      <c r="H178" s="6">
        <f t="shared" si="42"/>
        <v>5992.478140700201</v>
      </c>
      <c r="I178" s="7">
        <f t="shared" si="43"/>
        <v>-4.0046692771665269</v>
      </c>
      <c r="J178" s="7">
        <f t="shared" si="44"/>
        <v>-99.906239887366382</v>
      </c>
      <c r="K178" s="8">
        <f t="shared" si="33"/>
        <v>154.46581497642316</v>
      </c>
      <c r="L178" s="8">
        <f t="shared" si="34"/>
        <v>-6.4875642290097719</v>
      </c>
      <c r="M178" s="8">
        <f t="shared" si="31"/>
        <v>161.84810861753351</v>
      </c>
      <c r="N178" s="8">
        <f t="shared" si="35"/>
        <v>24.999999999999972</v>
      </c>
      <c r="O178" s="8">
        <f t="shared" si="36"/>
        <v>26.002106895845852</v>
      </c>
    </row>
    <row r="179" spans="1:15" x14ac:dyDescent="0.3">
      <c r="A179" s="5">
        <f t="shared" si="37"/>
        <v>1.7100000000000013</v>
      </c>
      <c r="B179" s="5">
        <f t="shared" si="32"/>
        <v>168.29562615377162</v>
      </c>
      <c r="C179" s="6">
        <f t="shared" si="30"/>
        <v>6491.4027230740476</v>
      </c>
      <c r="D179" s="6">
        <f t="shared" si="38"/>
        <v>42138309.313133158</v>
      </c>
      <c r="E179" s="7">
        <f t="shared" si="39"/>
        <v>6248571.4285714282</v>
      </c>
      <c r="F179" s="7">
        <f t="shared" si="40"/>
        <v>124.97142857142855</v>
      </c>
      <c r="G179" s="7">
        <f t="shared" si="41"/>
        <v>35889737.884561732</v>
      </c>
      <c r="H179" s="6">
        <f t="shared" si="42"/>
        <v>5990.8044438590823</v>
      </c>
      <c r="I179" s="7">
        <f t="shared" si="43"/>
        <v>-4.0057018227077705</v>
      </c>
      <c r="J179" s="7">
        <f t="shared" si="44"/>
        <v>-99.880487161101883</v>
      </c>
      <c r="K179" s="8">
        <f t="shared" si="33"/>
        <v>154.50564173301399</v>
      </c>
      <c r="L179" s="8">
        <f t="shared" si="34"/>
        <v>-6.4892369527865865</v>
      </c>
      <c r="M179" s="8">
        <f t="shared" si="31"/>
        <v>161.80638920098502</v>
      </c>
      <c r="N179" s="8">
        <f t="shared" si="35"/>
        <v>25.000000000000014</v>
      </c>
      <c r="O179" s="8">
        <f t="shared" si="36"/>
        <v>26.002623719747898</v>
      </c>
    </row>
    <row r="180" spans="1:15" x14ac:dyDescent="0.3">
      <c r="A180" s="5">
        <f t="shared" si="37"/>
        <v>1.7200000000000013</v>
      </c>
      <c r="B180" s="5">
        <f t="shared" si="32"/>
        <v>168.25556913554453</v>
      </c>
      <c r="C180" s="6">
        <f t="shared" si="30"/>
        <v>6489.8576666567178</v>
      </c>
      <c r="D180" s="6">
        <f t="shared" si="38"/>
        <v>42118252.533462979</v>
      </c>
      <c r="E180" s="7">
        <f t="shared" si="39"/>
        <v>6248571.4285714282</v>
      </c>
      <c r="F180" s="7">
        <f t="shared" si="40"/>
        <v>124.97142857142855</v>
      </c>
      <c r="G180" s="7">
        <f t="shared" si="41"/>
        <v>35869681.104891554</v>
      </c>
      <c r="H180" s="6">
        <f t="shared" si="42"/>
        <v>5989.1302461118303</v>
      </c>
      <c r="I180" s="7">
        <f t="shared" si="43"/>
        <v>-4.0067351895452825</v>
      </c>
      <c r="J180" s="7">
        <f t="shared" si="44"/>
        <v>-99.854727239803225</v>
      </c>
      <c r="K180" s="8">
        <f t="shared" si="33"/>
        <v>154.54550016817518</v>
      </c>
      <c r="L180" s="8">
        <f t="shared" si="34"/>
        <v>-6.4909110070633567</v>
      </c>
      <c r="M180" s="8">
        <f t="shared" si="31"/>
        <v>161.76465812848119</v>
      </c>
      <c r="N180" s="8">
        <f t="shared" si="35"/>
        <v>24.999999999999989</v>
      </c>
      <c r="O180" s="8">
        <f t="shared" si="36"/>
        <v>26.003141088133706</v>
      </c>
    </row>
    <row r="181" spans="1:15" x14ac:dyDescent="0.3">
      <c r="A181" s="5">
        <f t="shared" si="37"/>
        <v>1.7300000000000013</v>
      </c>
      <c r="B181" s="5">
        <f t="shared" si="32"/>
        <v>168.21550178364907</v>
      </c>
      <c r="C181" s="6">
        <f t="shared" si="30"/>
        <v>6488.3122116550358</v>
      </c>
      <c r="D181" s="6">
        <f t="shared" si="38"/>
        <v>42098195.355911858</v>
      </c>
      <c r="E181" s="7">
        <f t="shared" si="39"/>
        <v>6248571.4285714282</v>
      </c>
      <c r="F181" s="7">
        <f t="shared" si="40"/>
        <v>124.97142857142855</v>
      </c>
      <c r="G181" s="7">
        <f t="shared" si="41"/>
        <v>35849623.927340433</v>
      </c>
      <c r="H181" s="6">
        <f t="shared" si="42"/>
        <v>5987.4555470032874</v>
      </c>
      <c r="I181" s="7">
        <f t="shared" si="43"/>
        <v>-4.007769378786282</v>
      </c>
      <c r="J181" s="7">
        <f t="shared" si="44"/>
        <v>-99.82896011729342</v>
      </c>
      <c r="K181" s="8">
        <f t="shared" si="33"/>
        <v>154.58539032461374</v>
      </c>
      <c r="L181" s="8">
        <f t="shared" si="34"/>
        <v>-6.4925863936337764</v>
      </c>
      <c r="M181" s="8">
        <f t="shared" si="31"/>
        <v>161.72291539001529</v>
      </c>
      <c r="N181" s="8">
        <f t="shared" si="35"/>
        <v>24.999999999999996</v>
      </c>
      <c r="O181" s="8">
        <f t="shared" si="36"/>
        <v>26.003659001876152</v>
      </c>
    </row>
    <row r="182" spans="1:15" x14ac:dyDescent="0.3">
      <c r="A182" s="5">
        <f t="shared" si="37"/>
        <v>1.7400000000000013</v>
      </c>
      <c r="B182" s="5">
        <f t="shared" si="32"/>
        <v>168.17542408986122</v>
      </c>
      <c r="C182" s="6">
        <f t="shared" si="30"/>
        <v>6486.7663577517897</v>
      </c>
      <c r="D182" s="6">
        <f t="shared" si="38"/>
        <v>42078137.780060418</v>
      </c>
      <c r="E182" s="7">
        <f t="shared" si="39"/>
        <v>6248571.4285714282</v>
      </c>
      <c r="F182" s="7">
        <f t="shared" si="40"/>
        <v>124.97142857142855</v>
      </c>
      <c r="G182" s="7">
        <f t="shared" si="41"/>
        <v>35829566.351488993</v>
      </c>
      <c r="H182" s="6">
        <f t="shared" si="42"/>
        <v>5985.7803460776104</v>
      </c>
      <c r="I182" s="7">
        <f t="shared" si="43"/>
        <v>-4.0088043915400728</v>
      </c>
      <c r="J182" s="7">
        <f t="shared" si="44"/>
        <v>-99.803185787386624</v>
      </c>
      <c r="K182" s="8">
        <f t="shared" si="33"/>
        <v>154.6253122451171</v>
      </c>
      <c r="L182" s="8">
        <f t="shared" si="34"/>
        <v>-6.4942631142949176</v>
      </c>
      <c r="M182" s="8">
        <f t="shared" si="31"/>
        <v>161.68116097556631</v>
      </c>
      <c r="N182" s="8">
        <f t="shared" si="35"/>
        <v>24.999999999999982</v>
      </c>
      <c r="O182" s="8">
        <f t="shared" si="36"/>
        <v>26.004177461849782</v>
      </c>
    </row>
    <row r="183" spans="1:15" x14ac:dyDescent="0.3">
      <c r="A183" s="5">
        <f t="shared" si="37"/>
        <v>1.7500000000000013</v>
      </c>
      <c r="B183" s="5">
        <f t="shared" si="32"/>
        <v>168.13533604594582</v>
      </c>
      <c r="C183" s="6">
        <f t="shared" si="30"/>
        <v>6485.2201046293385</v>
      </c>
      <c r="D183" s="6">
        <f t="shared" si="38"/>
        <v>42058079.805488572</v>
      </c>
      <c r="E183" s="7">
        <f t="shared" si="39"/>
        <v>6248571.4285714282</v>
      </c>
      <c r="F183" s="7">
        <f t="shared" si="40"/>
        <v>124.97142857142855</v>
      </c>
      <c r="G183" s="7">
        <f t="shared" si="41"/>
        <v>35809508.376917146</v>
      </c>
      <c r="H183" s="6">
        <f t="shared" si="42"/>
        <v>5984.1046428782602</v>
      </c>
      <c r="I183" s="7">
        <f t="shared" si="43"/>
        <v>-4.0098402289180948</v>
      </c>
      <c r="J183" s="7">
        <f t="shared" si="44"/>
        <v>-99.777404243887986</v>
      </c>
      <c r="K183" s="8">
        <f t="shared" si="33"/>
        <v>154.66526597255506</v>
      </c>
      <c r="L183" s="8">
        <f t="shared" si="34"/>
        <v>-6.4959411708473116</v>
      </c>
      <c r="M183" s="8">
        <f t="shared" si="31"/>
        <v>161.6393948750985</v>
      </c>
      <c r="N183" s="8">
        <f t="shared" si="35"/>
        <v>24.999999999999964</v>
      </c>
      <c r="O183" s="8">
        <f t="shared" si="36"/>
        <v>26.004696468931137</v>
      </c>
    </row>
    <row r="184" spans="1:15" x14ac:dyDescent="0.3">
      <c r="A184" s="5">
        <f t="shared" si="37"/>
        <v>1.7600000000000013</v>
      </c>
      <c r="B184" s="5">
        <f t="shared" si="32"/>
        <v>168.09523764365665</v>
      </c>
      <c r="C184" s="6">
        <f t="shared" si="30"/>
        <v>6483.6734519696129</v>
      </c>
      <c r="D184" s="6">
        <f t="shared" si="38"/>
        <v>42038021.431775555</v>
      </c>
      <c r="E184" s="7">
        <f t="shared" si="39"/>
        <v>6248571.4285714282</v>
      </c>
      <c r="F184" s="7">
        <f t="shared" si="40"/>
        <v>124.97142857142855</v>
      </c>
      <c r="G184" s="7">
        <f t="shared" si="41"/>
        <v>35789450.00320413</v>
      </c>
      <c r="H184" s="6">
        <f t="shared" si="42"/>
        <v>5982.4284369480029</v>
      </c>
      <c r="I184" s="7">
        <f t="shared" si="43"/>
        <v>-4.0108768920339175</v>
      </c>
      <c r="J184" s="7">
        <f t="shared" si="44"/>
        <v>-99.751615480593657</v>
      </c>
      <c r="K184" s="8">
        <f t="shared" si="33"/>
        <v>154.70525154987968</v>
      </c>
      <c r="L184" s="8">
        <f t="shared" si="34"/>
        <v>-6.4976205650949455</v>
      </c>
      <c r="M184" s="8">
        <f t="shared" si="31"/>
        <v>161.59761707856171</v>
      </c>
      <c r="N184" s="8">
        <f t="shared" si="35"/>
        <v>25.000000000000021</v>
      </c>
      <c r="O184" s="8">
        <f t="shared" si="36"/>
        <v>26.005216023998706</v>
      </c>
    </row>
    <row r="185" spans="1:15" x14ac:dyDescent="0.3">
      <c r="A185" s="5">
        <f t="shared" si="37"/>
        <v>1.7700000000000014</v>
      </c>
      <c r="B185" s="5">
        <f t="shared" si="32"/>
        <v>168.05512887473631</v>
      </c>
      <c r="C185" s="6">
        <f t="shared" si="30"/>
        <v>6482.1263994541141</v>
      </c>
      <c r="D185" s="6">
        <f t="shared" si="38"/>
        <v>42017962.658499956</v>
      </c>
      <c r="E185" s="7">
        <f t="shared" si="39"/>
        <v>6248571.4285714282</v>
      </c>
      <c r="F185" s="7">
        <f t="shared" si="40"/>
        <v>124.97142857142855</v>
      </c>
      <c r="G185" s="7">
        <f t="shared" si="41"/>
        <v>35769391.229928531</v>
      </c>
      <c r="H185" s="6">
        <f t="shared" si="42"/>
        <v>5980.7517278289133</v>
      </c>
      <c r="I185" s="7">
        <f t="shared" si="43"/>
        <v>-4.0119143820032077</v>
      </c>
      <c r="J185" s="7">
        <f t="shared" si="44"/>
        <v>-99.725819491290821</v>
      </c>
      <c r="K185" s="8">
        <f t="shared" si="33"/>
        <v>154.74526902012371</v>
      </c>
      <c r="L185" s="8">
        <f t="shared" si="34"/>
        <v>-6.4993012988451957</v>
      </c>
      <c r="M185" s="8">
        <f t="shared" si="31"/>
        <v>161.55582757589113</v>
      </c>
      <c r="N185" s="8">
        <f t="shared" si="35"/>
        <v>24.999999999999993</v>
      </c>
      <c r="O185" s="8">
        <f t="shared" si="36"/>
        <v>26.005736127932632</v>
      </c>
    </row>
    <row r="186" spans="1:15" x14ac:dyDescent="0.3">
      <c r="A186" s="5">
        <f t="shared" si="37"/>
        <v>1.7800000000000014</v>
      </c>
      <c r="B186" s="5">
        <f t="shared" si="32"/>
        <v>168.01500973091629</v>
      </c>
      <c r="C186" s="6">
        <f t="shared" si="30"/>
        <v>6480.5789467639133</v>
      </c>
      <c r="D186" s="6">
        <f t="shared" si="38"/>
        <v>41997903.48523967</v>
      </c>
      <c r="E186" s="7">
        <f t="shared" si="39"/>
        <v>6248571.4285714282</v>
      </c>
      <c r="F186" s="7">
        <f t="shared" si="40"/>
        <v>124.97142857142855</v>
      </c>
      <c r="G186" s="7">
        <f t="shared" si="41"/>
        <v>35749332.056668244</v>
      </c>
      <c r="H186" s="6">
        <f t="shared" si="42"/>
        <v>5979.0745150623643</v>
      </c>
      <c r="I186" s="7">
        <f t="shared" si="43"/>
        <v>-4.012952699943809</v>
      </c>
      <c r="J186" s="7">
        <f t="shared" si="44"/>
        <v>-99.700016269757612</v>
      </c>
      <c r="K186" s="8">
        <f t="shared" si="33"/>
        <v>154.78531842640405</v>
      </c>
      <c r="L186" s="8">
        <f t="shared" si="34"/>
        <v>-6.5009833739089693</v>
      </c>
      <c r="M186" s="8">
        <f t="shared" si="31"/>
        <v>161.51402635700731</v>
      </c>
      <c r="N186" s="8">
        <f t="shared" si="35"/>
        <v>24.999999999999993</v>
      </c>
      <c r="O186" s="8">
        <f t="shared" si="36"/>
        <v>26.006256781615253</v>
      </c>
    </row>
    <row r="187" spans="1:15" x14ac:dyDescent="0.3">
      <c r="A187" s="5">
        <f t="shared" si="37"/>
        <v>1.7900000000000014</v>
      </c>
      <c r="B187" s="5">
        <f t="shared" si="32"/>
        <v>167.97488020391685</v>
      </c>
      <c r="C187" s="6">
        <f t="shared" si="30"/>
        <v>6479.0310935796497</v>
      </c>
      <c r="D187" s="6">
        <f t="shared" si="38"/>
        <v>41977843.911571912</v>
      </c>
      <c r="E187" s="7">
        <f t="shared" si="39"/>
        <v>6248571.4285714282</v>
      </c>
      <c r="F187" s="7">
        <f t="shared" si="40"/>
        <v>124.97142857142855</v>
      </c>
      <c r="G187" s="7">
        <f t="shared" si="41"/>
        <v>35729272.483000487</v>
      </c>
      <c r="H187" s="6">
        <f t="shared" si="42"/>
        <v>5977.3967981890319</v>
      </c>
      <c r="I187" s="7">
        <f t="shared" si="43"/>
        <v>-4.0139918469756806</v>
      </c>
      <c r="J187" s="7">
        <f t="shared" si="44"/>
        <v>-99.674205809763137</v>
      </c>
      <c r="K187" s="8">
        <f t="shared" si="33"/>
        <v>154.82539981191911</v>
      </c>
      <c r="L187" s="8">
        <f t="shared" si="34"/>
        <v>-6.5026667921006016</v>
      </c>
      <c r="M187" s="8">
        <f t="shared" si="31"/>
        <v>161.47221341181626</v>
      </c>
      <c r="N187" s="8">
        <f t="shared" si="35"/>
        <v>24.999999999999979</v>
      </c>
      <c r="O187" s="8">
        <f t="shared" si="36"/>
        <v>26.006777985930643</v>
      </c>
    </row>
    <row r="188" spans="1:15" x14ac:dyDescent="0.3">
      <c r="A188" s="5">
        <f t="shared" si="37"/>
        <v>1.8000000000000014</v>
      </c>
      <c r="B188" s="5">
        <f t="shared" si="32"/>
        <v>167.93474028544711</v>
      </c>
      <c r="C188" s="6">
        <f t="shared" si="30"/>
        <v>6477.4828395815312</v>
      </c>
      <c r="D188" s="6">
        <f t="shared" si="38"/>
        <v>41957783.937073216</v>
      </c>
      <c r="E188" s="7">
        <f t="shared" si="39"/>
        <v>6248571.4285714282</v>
      </c>
      <c r="F188" s="7">
        <f t="shared" si="40"/>
        <v>124.97142857142855</v>
      </c>
      <c r="G188" s="7">
        <f t="shared" si="41"/>
        <v>35709212.50850179</v>
      </c>
      <c r="H188" s="6">
        <f t="shared" si="42"/>
        <v>5975.7185767488909</v>
      </c>
      <c r="I188" s="7">
        <f t="shared" si="43"/>
        <v>-4.0150318242209453</v>
      </c>
      <c r="J188" s="7">
        <f t="shared" si="44"/>
        <v>-99.648388105067426</v>
      </c>
      <c r="K188" s="8">
        <f t="shared" si="33"/>
        <v>154.86551321995074</v>
      </c>
      <c r="L188" s="8">
        <f t="shared" si="34"/>
        <v>-6.5043515552379301</v>
      </c>
      <c r="M188" s="8">
        <f t="shared" si="31"/>
        <v>161.43038873020919</v>
      </c>
      <c r="N188" s="8">
        <f t="shared" si="35"/>
        <v>25</v>
      </c>
      <c r="O188" s="8">
        <f t="shared" si="36"/>
        <v>26.007299741764903</v>
      </c>
    </row>
    <row r="189" spans="1:15" x14ac:dyDescent="0.3">
      <c r="A189" s="5">
        <f t="shared" si="37"/>
        <v>1.8100000000000014</v>
      </c>
      <c r="B189" s="5">
        <f t="shared" si="32"/>
        <v>167.89458996720489</v>
      </c>
      <c r="C189" s="6">
        <f t="shared" si="30"/>
        <v>6475.934184449331</v>
      </c>
      <c r="D189" s="6">
        <f t="shared" si="38"/>
        <v>41937723.561319426</v>
      </c>
      <c r="E189" s="7">
        <f t="shared" si="39"/>
        <v>6248571.4285714282</v>
      </c>
      <c r="F189" s="7">
        <f t="shared" si="40"/>
        <v>124.97142857142855</v>
      </c>
      <c r="G189" s="7">
        <f t="shared" si="41"/>
        <v>35689152.132748</v>
      </c>
      <c r="H189" s="6">
        <f t="shared" si="42"/>
        <v>5974.039850281215</v>
      </c>
      <c r="I189" s="7">
        <f t="shared" si="43"/>
        <v>-4.0160726328038558</v>
      </c>
      <c r="J189" s="7">
        <f t="shared" si="44"/>
        <v>-99.622563149421396</v>
      </c>
      <c r="K189" s="8">
        <f t="shared" si="33"/>
        <v>154.90565869386299</v>
      </c>
      <c r="L189" s="8">
        <f t="shared" si="34"/>
        <v>-6.5060376651422445</v>
      </c>
      <c r="M189" s="8">
        <f t="shared" si="31"/>
        <v>161.38855230206264</v>
      </c>
      <c r="N189" s="8">
        <f t="shared" si="35"/>
        <v>24.999999999999972</v>
      </c>
      <c r="O189" s="8">
        <f t="shared" si="36"/>
        <v>26.007822050005913</v>
      </c>
    </row>
    <row r="190" spans="1:15" x14ac:dyDescent="0.3">
      <c r="A190" s="5">
        <f t="shared" si="37"/>
        <v>1.8200000000000014</v>
      </c>
      <c r="B190" s="5">
        <f t="shared" si="32"/>
        <v>167.85442924087687</v>
      </c>
      <c r="C190" s="6">
        <f t="shared" si="30"/>
        <v>6474.3851278623933</v>
      </c>
      <c r="D190" s="6">
        <f t="shared" si="38"/>
        <v>41917662.78388574</v>
      </c>
      <c r="E190" s="7">
        <f t="shared" si="39"/>
        <v>6248571.4285714282</v>
      </c>
      <c r="F190" s="7">
        <f t="shared" si="40"/>
        <v>124.97142857142855</v>
      </c>
      <c r="G190" s="7">
        <f t="shared" si="41"/>
        <v>35669091.355314314</v>
      </c>
      <c r="H190" s="6">
        <f t="shared" si="42"/>
        <v>5972.3606183245765</v>
      </c>
      <c r="I190" s="7">
        <f t="shared" si="43"/>
        <v>-4.0171142738508436</v>
      </c>
      <c r="J190" s="7">
        <f t="shared" si="44"/>
        <v>-99.596730936566999</v>
      </c>
      <c r="K190" s="8">
        <f t="shared" si="33"/>
        <v>154.94583627710395</v>
      </c>
      <c r="L190" s="8">
        <f t="shared" si="34"/>
        <v>-6.5077251236383651</v>
      </c>
      <c r="M190" s="8">
        <f t="shared" si="31"/>
        <v>161.34670411723852</v>
      </c>
      <c r="N190" s="8">
        <f t="shared" si="35"/>
        <v>24.999999999999975</v>
      </c>
      <c r="O190" s="8">
        <f t="shared" si="36"/>
        <v>26.008344911543638</v>
      </c>
    </row>
    <row r="191" spans="1:15" x14ac:dyDescent="0.3">
      <c r="A191" s="5">
        <f t="shared" si="37"/>
        <v>1.8300000000000014</v>
      </c>
      <c r="B191" s="5">
        <f t="shared" si="32"/>
        <v>167.81425809813837</v>
      </c>
      <c r="C191" s="6">
        <f t="shared" si="30"/>
        <v>6472.8356694996228</v>
      </c>
      <c r="D191" s="6">
        <f t="shared" si="38"/>
        <v>41897601.604346633</v>
      </c>
      <c r="E191" s="7">
        <f t="shared" si="39"/>
        <v>6248571.4285714282</v>
      </c>
      <c r="F191" s="7">
        <f t="shared" si="40"/>
        <v>124.97142857142855</v>
      </c>
      <c r="G191" s="7">
        <f t="shared" si="41"/>
        <v>35649030.175775208</v>
      </c>
      <c r="H191" s="6">
        <f t="shared" si="42"/>
        <v>5970.6808804168395</v>
      </c>
      <c r="I191" s="7">
        <f t="shared" si="43"/>
        <v>-4.0181567484904939</v>
      </c>
      <c r="J191" s="7">
        <f t="shared" si="44"/>
        <v>-99.570891460236908</v>
      </c>
      <c r="K191" s="8">
        <f t="shared" si="33"/>
        <v>154.98604601320474</v>
      </c>
      <c r="L191" s="8">
        <f t="shared" si="34"/>
        <v>-6.5094139325545983</v>
      </c>
      <c r="M191" s="8">
        <f t="shared" si="31"/>
        <v>161.30484416558377</v>
      </c>
      <c r="N191" s="8">
        <f t="shared" si="35"/>
        <v>24.999999999999986</v>
      </c>
      <c r="O191" s="8">
        <f t="shared" si="36"/>
        <v>26.008868327269891</v>
      </c>
    </row>
    <row r="192" spans="1:15" x14ac:dyDescent="0.3">
      <c r="A192" s="5">
        <f t="shared" si="37"/>
        <v>1.8400000000000014</v>
      </c>
      <c r="B192" s="5">
        <f t="shared" si="32"/>
        <v>167.77407653065347</v>
      </c>
      <c r="C192" s="6">
        <f t="shared" si="30"/>
        <v>6471.2858090394911</v>
      </c>
      <c r="D192" s="6">
        <f t="shared" si="38"/>
        <v>41877540.022275902</v>
      </c>
      <c r="E192" s="7">
        <f t="shared" si="39"/>
        <v>6248571.4285714282</v>
      </c>
      <c r="F192" s="7">
        <f t="shared" si="40"/>
        <v>124.97142857142855</v>
      </c>
      <c r="G192" s="7">
        <f t="shared" si="41"/>
        <v>35628968.593704477</v>
      </c>
      <c r="H192" s="6">
        <f t="shared" si="42"/>
        <v>5969.0006360951647</v>
      </c>
      <c r="I192" s="7">
        <f t="shared" si="43"/>
        <v>-4.0192000578535501</v>
      </c>
      <c r="J192" s="7">
        <f t="shared" si="44"/>
        <v>-99.545044714154784</v>
      </c>
      <c r="K192" s="8">
        <f t="shared" si="33"/>
        <v>155.02628794577979</v>
      </c>
      <c r="L192" s="8">
        <f t="shared" si="34"/>
        <v>-6.51110409372275</v>
      </c>
      <c r="M192" s="8">
        <f t="shared" si="31"/>
        <v>161.26297243693074</v>
      </c>
      <c r="N192" s="8">
        <f t="shared" si="35"/>
        <v>24.999999999999975</v>
      </c>
      <c r="O192" s="8">
        <f t="shared" si="36"/>
        <v>26.009392298078378</v>
      </c>
    </row>
    <row r="193" spans="1:15" x14ac:dyDescent="0.3">
      <c r="A193" s="5">
        <f t="shared" si="37"/>
        <v>1.8500000000000014</v>
      </c>
      <c r="B193" s="5">
        <f t="shared" si="32"/>
        <v>167.73388453007493</v>
      </c>
      <c r="C193" s="6">
        <f t="shared" si="30"/>
        <v>6469.7355461600328</v>
      </c>
      <c r="D193" s="6">
        <f t="shared" si="38"/>
        <v>41857478.037246659</v>
      </c>
      <c r="E193" s="7">
        <f t="shared" si="39"/>
        <v>6248571.4285714282</v>
      </c>
      <c r="F193" s="7">
        <f t="shared" si="40"/>
        <v>124.97142857142855</v>
      </c>
      <c r="G193" s="7">
        <f t="shared" si="41"/>
        <v>35608906.608675234</v>
      </c>
      <c r="H193" s="6">
        <f t="shared" si="42"/>
        <v>5967.3198848960019</v>
      </c>
      <c r="I193" s="7">
        <f t="shared" si="43"/>
        <v>-4.0202442030729504</v>
      </c>
      <c r="J193" s="7">
        <f t="shared" si="44"/>
        <v>-99.519190692035053</v>
      </c>
      <c r="K193" s="8">
        <f t="shared" si="33"/>
        <v>155.06656211852808</v>
      </c>
      <c r="L193" s="8">
        <f t="shared" si="34"/>
        <v>-6.5127956089781787</v>
      </c>
      <c r="M193" s="8">
        <f t="shared" si="31"/>
        <v>161.22108892109677</v>
      </c>
      <c r="N193" s="8">
        <f t="shared" si="35"/>
        <v>24.999999999999993</v>
      </c>
      <c r="O193" s="8">
        <f t="shared" si="36"/>
        <v>26.009916824864881</v>
      </c>
    </row>
    <row r="194" spans="1:15" x14ac:dyDescent="0.3">
      <c r="A194" s="5">
        <f t="shared" si="37"/>
        <v>1.8600000000000014</v>
      </c>
      <c r="B194" s="5">
        <f t="shared" si="32"/>
        <v>167.6936820880442</v>
      </c>
      <c r="C194" s="6">
        <f t="shared" si="30"/>
        <v>6468.1848805388472</v>
      </c>
      <c r="D194" s="6">
        <f t="shared" si="38"/>
        <v>41837415.648831338</v>
      </c>
      <c r="E194" s="7">
        <f t="shared" si="39"/>
        <v>6248571.4285714282</v>
      </c>
      <c r="F194" s="7">
        <f t="shared" si="40"/>
        <v>124.97142857142855</v>
      </c>
      <c r="G194" s="7">
        <f t="shared" si="41"/>
        <v>35588844.220259912</v>
      </c>
      <c r="H194" s="6">
        <f t="shared" si="42"/>
        <v>5965.6386263550958</v>
      </c>
      <c r="I194" s="7">
        <f t="shared" si="43"/>
        <v>-4.0212891852837913</v>
      </c>
      <c r="J194" s="7">
        <f t="shared" si="44"/>
        <v>-99.493329387583017</v>
      </c>
      <c r="K194" s="8">
        <f t="shared" si="33"/>
        <v>155.10686857523194</v>
      </c>
      <c r="L194" s="8">
        <f t="shared" si="34"/>
        <v>-6.5144884801597414</v>
      </c>
      <c r="M194" s="8">
        <f t="shared" si="31"/>
        <v>161.17919360788446</v>
      </c>
      <c r="N194" s="8">
        <f t="shared" si="35"/>
        <v>25</v>
      </c>
      <c r="O194" s="8">
        <f t="shared" si="36"/>
        <v>26.010441908527</v>
      </c>
    </row>
    <row r="195" spans="1:15" x14ac:dyDescent="0.3">
      <c r="A195" s="5">
        <f t="shared" si="37"/>
        <v>1.8700000000000014</v>
      </c>
      <c r="B195" s="5">
        <f t="shared" si="32"/>
        <v>167.65346919619137</v>
      </c>
      <c r="C195" s="6">
        <f t="shared" si="30"/>
        <v>6466.6338118530948</v>
      </c>
      <c r="D195" s="6">
        <f t="shared" si="38"/>
        <v>41817352.856601685</v>
      </c>
      <c r="E195" s="7">
        <f t="shared" si="39"/>
        <v>6248571.4285714282</v>
      </c>
      <c r="F195" s="7">
        <f t="shared" si="40"/>
        <v>124.97142857142855</v>
      </c>
      <c r="G195" s="7">
        <f t="shared" si="41"/>
        <v>35568781.42803026</v>
      </c>
      <c r="H195" s="6">
        <f t="shared" si="42"/>
        <v>5963.9568600074781</v>
      </c>
      <c r="I195" s="7">
        <f t="shared" si="43"/>
        <v>-4.0223350056233631</v>
      </c>
      <c r="J195" s="7">
        <f t="shared" si="44"/>
        <v>-99.46746079449477</v>
      </c>
      <c r="K195" s="8">
        <f t="shared" si="33"/>
        <v>155.14720735975828</v>
      </c>
      <c r="L195" s="8">
        <f t="shared" si="34"/>
        <v>-6.516182709109847</v>
      </c>
      <c r="M195" s="8">
        <f t="shared" si="31"/>
        <v>161.13728648708152</v>
      </c>
      <c r="N195" s="8">
        <f t="shared" si="35"/>
        <v>25.000000000000014</v>
      </c>
      <c r="O195" s="8">
        <f t="shared" si="36"/>
        <v>26.010967549964349</v>
      </c>
    </row>
    <row r="196" spans="1:15" x14ac:dyDescent="0.3">
      <c r="A196" s="5">
        <f t="shared" si="37"/>
        <v>1.8800000000000014</v>
      </c>
      <c r="B196" s="5">
        <f t="shared" si="32"/>
        <v>167.61324584613513</v>
      </c>
      <c r="C196" s="6">
        <f t="shared" si="30"/>
        <v>6465.0823397794975</v>
      </c>
      <c r="D196" s="6">
        <f t="shared" si="38"/>
        <v>41797289.660128742</v>
      </c>
      <c r="E196" s="7">
        <f t="shared" si="39"/>
        <v>6248571.4285714282</v>
      </c>
      <c r="F196" s="7">
        <f t="shared" si="40"/>
        <v>124.97142857142855</v>
      </c>
      <c r="G196" s="7">
        <f t="shared" si="41"/>
        <v>35548718.231557317</v>
      </c>
      <c r="H196" s="6">
        <f t="shared" si="42"/>
        <v>5962.2745853874694</v>
      </c>
      <c r="I196" s="7">
        <f t="shared" si="43"/>
        <v>-4.0233816652311356</v>
      </c>
      <c r="J196" s="7">
        <f t="shared" si="44"/>
        <v>-99.441584906457237</v>
      </c>
      <c r="K196" s="8">
        <f t="shared" si="33"/>
        <v>155.18757851605807</v>
      </c>
      <c r="L196" s="8">
        <f t="shared" si="34"/>
        <v>-6.5178782976744385</v>
      </c>
      <c r="M196" s="8">
        <f t="shared" si="31"/>
        <v>161.0953675484607</v>
      </c>
      <c r="N196" s="8">
        <f t="shared" si="35"/>
        <v>24.999999999999979</v>
      </c>
      <c r="O196" s="8">
        <f t="shared" si="36"/>
        <v>26.01149375007844</v>
      </c>
    </row>
    <row r="197" spans="1:15" x14ac:dyDescent="0.3">
      <c r="A197" s="5">
        <f t="shared" si="37"/>
        <v>1.8900000000000015</v>
      </c>
      <c r="B197" s="5">
        <f t="shared" si="32"/>
        <v>167.57301202948281</v>
      </c>
      <c r="C197" s="6">
        <f t="shared" si="30"/>
        <v>6463.530463994337</v>
      </c>
      <c r="D197" s="6">
        <f t="shared" si="38"/>
        <v>41777226.058982849</v>
      </c>
      <c r="E197" s="7">
        <f t="shared" si="39"/>
        <v>6248571.4285714282</v>
      </c>
      <c r="F197" s="7">
        <f t="shared" si="40"/>
        <v>124.97142857142855</v>
      </c>
      <c r="G197" s="7">
        <f t="shared" si="41"/>
        <v>35528654.630411424</v>
      </c>
      <c r="H197" s="6">
        <f t="shared" si="42"/>
        <v>5960.5918020286726</v>
      </c>
      <c r="I197" s="7">
        <f t="shared" si="43"/>
        <v>-4.0244291652488009</v>
      </c>
      <c r="J197" s="7">
        <f t="shared" si="44"/>
        <v>-99.415701717148011</v>
      </c>
      <c r="K197" s="8">
        <f t="shared" si="33"/>
        <v>155.22798208816803</v>
      </c>
      <c r="L197" s="8">
        <f t="shared" si="34"/>
        <v>-6.5195752477030569</v>
      </c>
      <c r="M197" s="8">
        <f t="shared" si="31"/>
        <v>161.05343678177977</v>
      </c>
      <c r="N197" s="8">
        <f t="shared" si="35"/>
        <v>25.000000000000011</v>
      </c>
      <c r="O197" s="8">
        <f t="shared" si="36"/>
        <v>26.012020509772924</v>
      </c>
    </row>
    <row r="198" spans="1:15" x14ac:dyDescent="0.3">
      <c r="A198" s="5">
        <f t="shared" si="37"/>
        <v>1.9000000000000015</v>
      </c>
      <c r="B198" s="5">
        <f t="shared" si="32"/>
        <v>167.53276773783031</v>
      </c>
      <c r="C198" s="6">
        <f t="shared" si="30"/>
        <v>6461.9781841734548</v>
      </c>
      <c r="D198" s="6">
        <f t="shared" si="38"/>
        <v>41757162.05273366</v>
      </c>
      <c r="E198" s="7">
        <f t="shared" si="39"/>
        <v>6248571.4285714282</v>
      </c>
      <c r="F198" s="7">
        <f t="shared" si="40"/>
        <v>124.97142857142855</v>
      </c>
      <c r="G198" s="7">
        <f t="shared" si="41"/>
        <v>35508590.624162234</v>
      </c>
      <c r="H198" s="6">
        <f t="shared" si="42"/>
        <v>5958.9085094639804</v>
      </c>
      <c r="I198" s="7">
        <f t="shared" si="43"/>
        <v>-4.025477506820212</v>
      </c>
      <c r="J198" s="7">
        <f t="shared" si="44"/>
        <v>-99.389811220235558</v>
      </c>
      <c r="K198" s="8">
        <f t="shared" si="33"/>
        <v>155.26841812020817</v>
      </c>
      <c r="L198" s="8">
        <f t="shared" si="34"/>
        <v>-6.5212735610487425</v>
      </c>
      <c r="M198" s="8">
        <f t="shared" si="31"/>
        <v>161.01149417678158</v>
      </c>
      <c r="N198" s="8">
        <f t="shared" si="35"/>
        <v>24.999999999999986</v>
      </c>
      <c r="O198" s="8">
        <f t="shared" si="36"/>
        <v>26.012547829953157</v>
      </c>
    </row>
    <row r="199" spans="1:15" x14ac:dyDescent="0.3">
      <c r="A199" s="5">
        <f t="shared" si="37"/>
        <v>1.9100000000000015</v>
      </c>
      <c r="B199" s="5">
        <f t="shared" si="32"/>
        <v>167.49251296276211</v>
      </c>
      <c r="C199" s="6">
        <f t="shared" si="30"/>
        <v>6460.4254999922523</v>
      </c>
      <c r="D199" s="6">
        <f t="shared" si="38"/>
        <v>41737097.640950143</v>
      </c>
      <c r="E199" s="7">
        <f t="shared" si="39"/>
        <v>6248571.4285714282</v>
      </c>
      <c r="F199" s="7">
        <f t="shared" si="40"/>
        <v>124.97142857142855</v>
      </c>
      <c r="G199" s="7">
        <f t="shared" si="41"/>
        <v>35488526.212378718</v>
      </c>
      <c r="H199" s="6">
        <f t="shared" si="42"/>
        <v>5957.224707225565</v>
      </c>
      <c r="I199" s="7">
        <f t="shared" si="43"/>
        <v>-4.0265266910914628</v>
      </c>
      <c r="J199" s="7">
        <f t="shared" si="44"/>
        <v>-99.363913409378981</v>
      </c>
      <c r="K199" s="8">
        <f t="shared" si="33"/>
        <v>155.30888665638497</v>
      </c>
      <c r="L199" s="8">
        <f t="shared" si="34"/>
        <v>-6.5229732395681683</v>
      </c>
      <c r="M199" s="8">
        <f t="shared" si="31"/>
        <v>160.96953972319395</v>
      </c>
      <c r="N199" s="8">
        <f t="shared" si="35"/>
        <v>24.999999999999986</v>
      </c>
      <c r="O199" s="8">
        <f t="shared" si="36"/>
        <v>26.01307571152671</v>
      </c>
    </row>
    <row r="200" spans="1:15" x14ac:dyDescent="0.3">
      <c r="A200" s="5">
        <f t="shared" si="37"/>
        <v>1.9200000000000015</v>
      </c>
      <c r="B200" s="5">
        <f t="shared" si="32"/>
        <v>167.45224769585118</v>
      </c>
      <c r="C200" s="6">
        <f t="shared" ref="C200:C263" si="45">$B$1*B200</f>
        <v>6458.8724111256879</v>
      </c>
      <c r="D200" s="6">
        <f t="shared" si="38"/>
        <v>41717032.823200554</v>
      </c>
      <c r="E200" s="7">
        <f t="shared" si="39"/>
        <v>6248571.4285714282</v>
      </c>
      <c r="F200" s="7">
        <f t="shared" si="40"/>
        <v>124.97142857142855</v>
      </c>
      <c r="G200" s="7">
        <f t="shared" si="41"/>
        <v>35468461.394629128</v>
      </c>
      <c r="H200" s="6">
        <f t="shared" si="42"/>
        <v>5955.540394844882</v>
      </c>
      <c r="I200" s="7">
        <f t="shared" si="43"/>
        <v>-4.0275767192108392</v>
      </c>
      <c r="J200" s="7">
        <f t="shared" si="44"/>
        <v>-99.338008278228173</v>
      </c>
      <c r="K200" s="8">
        <f t="shared" si="33"/>
        <v>155.3493877409895</v>
      </c>
      <c r="L200" s="8">
        <f t="shared" si="34"/>
        <v>-6.5246742851215584</v>
      </c>
      <c r="M200" s="8">
        <f t="shared" ref="M200:M263" si="46">B200+L200</f>
        <v>160.92757341072962</v>
      </c>
      <c r="N200" s="8">
        <f t="shared" si="35"/>
        <v>24.999999999999989</v>
      </c>
      <c r="O200" s="8">
        <f t="shared" si="36"/>
        <v>26.013604155403002</v>
      </c>
    </row>
    <row r="201" spans="1:15" x14ac:dyDescent="0.3">
      <c r="A201" s="5">
        <f t="shared" si="37"/>
        <v>1.9300000000000015</v>
      </c>
      <c r="B201" s="5">
        <f t="shared" ref="B201:B264" si="47">I200*$B$5+B200</f>
        <v>167.41197192865909</v>
      </c>
      <c r="C201" s="6">
        <f t="shared" si="45"/>
        <v>6457.3189172482789</v>
      </c>
      <c r="D201" s="6">
        <f t="shared" si="38"/>
        <v>41696967.599052489</v>
      </c>
      <c r="E201" s="7">
        <f t="shared" si="39"/>
        <v>6248571.4285714282</v>
      </c>
      <c r="F201" s="7">
        <f t="shared" si="40"/>
        <v>124.97142857142855</v>
      </c>
      <c r="G201" s="7">
        <f t="shared" si="41"/>
        <v>35448396.170481063</v>
      </c>
      <c r="H201" s="6">
        <f t="shared" si="42"/>
        <v>5953.8555718526686</v>
      </c>
      <c r="I201" s="7">
        <f t="shared" si="43"/>
        <v>-4.0286275923288439</v>
      </c>
      <c r="J201" s="7">
        <f t="shared" si="44"/>
        <v>-99.312095820423693</v>
      </c>
      <c r="K201" s="8">
        <f t="shared" ref="K201:K264" si="48">-$B$1*I201</f>
        <v>155.38992141839825</v>
      </c>
      <c r="L201" s="8">
        <f t="shared" ref="L201:L264" si="49">-$B$2*K201</f>
        <v>-6.5263766995727259</v>
      </c>
      <c r="M201" s="8">
        <f t="shared" si="46"/>
        <v>160.88559522908636</v>
      </c>
      <c r="N201" s="8">
        <f t="shared" ref="N201:N264" si="50">K201*M201/1000</f>
        <v>24.999999999999957</v>
      </c>
      <c r="O201" s="8">
        <f t="shared" ref="O201:O264" si="51">B201*K201/1000</f>
        <v>26.01413316249343</v>
      </c>
    </row>
    <row r="202" spans="1:15" x14ac:dyDescent="0.3">
      <c r="A202" s="5">
        <f t="shared" ref="A202:A265" si="52">A201+$B$5</f>
        <v>1.9400000000000015</v>
      </c>
      <c r="B202" s="5">
        <f t="shared" si="47"/>
        <v>167.37168565273581</v>
      </c>
      <c r="C202" s="6">
        <f t="shared" si="45"/>
        <v>6455.7650180340952</v>
      </c>
      <c r="D202" s="6">
        <f t="shared" ref="D202:D265" si="53">POWER(C202,2)</f>
        <v>41676901.968072765</v>
      </c>
      <c r="E202" s="7">
        <f t="shared" ref="E202:E265" si="54">4*$B$2*$B$3*POWER($B$1,2)</f>
        <v>6248571.4285714282</v>
      </c>
      <c r="F202" s="7">
        <f t="shared" ref="F202:F265" si="55">POWER($B$1,2)*2*$B$2</f>
        <v>124.97142857142855</v>
      </c>
      <c r="G202" s="7">
        <f t="shared" ref="G202:G265" si="56">D202-E202</f>
        <v>35428330.539501339</v>
      </c>
      <c r="H202" s="6">
        <f t="shared" ref="H202:H265" si="57">SQRT(G202)</f>
        <v>5952.1702377789343</v>
      </c>
      <c r="I202" s="7">
        <f t="shared" ref="I202:I265" si="58">(-C202+H202)/F202</f>
        <v>-4.0296793115982252</v>
      </c>
      <c r="J202" s="7">
        <f t="shared" ref="J202:J265" si="59">(-C202-H202)/F202</f>
        <v>-99.286176029596746</v>
      </c>
      <c r="K202" s="8">
        <f t="shared" si="48"/>
        <v>155.43048773307439</v>
      </c>
      <c r="L202" s="8">
        <f t="shared" si="49"/>
        <v>-6.5280804847891236</v>
      </c>
      <c r="M202" s="8">
        <f t="shared" si="46"/>
        <v>160.84360516794669</v>
      </c>
      <c r="N202" s="8">
        <f t="shared" si="50"/>
        <v>25</v>
      </c>
      <c r="O202" s="8">
        <f t="shared" si="51"/>
        <v>26.014662733711535</v>
      </c>
    </row>
    <row r="203" spans="1:15" x14ac:dyDescent="0.3">
      <c r="A203" s="5">
        <f t="shared" si="52"/>
        <v>1.9500000000000015</v>
      </c>
      <c r="B203" s="5">
        <f t="shared" si="47"/>
        <v>167.33138885961984</v>
      </c>
      <c r="C203" s="6">
        <f t="shared" si="45"/>
        <v>6454.2107131567645</v>
      </c>
      <c r="D203" s="6">
        <f t="shared" si="53"/>
        <v>41656835.929827549</v>
      </c>
      <c r="E203" s="7">
        <f t="shared" si="54"/>
        <v>6248571.4285714282</v>
      </c>
      <c r="F203" s="7">
        <f t="shared" si="55"/>
        <v>124.97142857142855</v>
      </c>
      <c r="G203" s="7">
        <f t="shared" si="56"/>
        <v>35408264.501256123</v>
      </c>
      <c r="H203" s="6">
        <f t="shared" si="57"/>
        <v>5950.4843921529719</v>
      </c>
      <c r="I203" s="7">
        <f t="shared" si="58"/>
        <v>-4.030731878173925</v>
      </c>
      <c r="J203" s="7">
        <f t="shared" si="59"/>
        <v>-99.260248899369202</v>
      </c>
      <c r="K203" s="8">
        <f t="shared" si="48"/>
        <v>155.47108672956566</v>
      </c>
      <c r="L203" s="8">
        <f t="shared" si="49"/>
        <v>-6.5297856426417571</v>
      </c>
      <c r="M203" s="8">
        <f t="shared" si="46"/>
        <v>160.80160321697807</v>
      </c>
      <c r="N203" s="8">
        <f t="shared" si="50"/>
        <v>25</v>
      </c>
      <c r="O203" s="8">
        <f t="shared" si="51"/>
        <v>26.01519286997263</v>
      </c>
    </row>
    <row r="204" spans="1:15" x14ac:dyDescent="0.3">
      <c r="A204" s="5">
        <f t="shared" si="52"/>
        <v>1.9600000000000015</v>
      </c>
      <c r="B204" s="5">
        <f t="shared" si="47"/>
        <v>167.29108154083809</v>
      </c>
      <c r="C204" s="6">
        <f t="shared" si="45"/>
        <v>6452.6560022894691</v>
      </c>
      <c r="D204" s="6">
        <f t="shared" si="53"/>
        <v>41636769.483882315</v>
      </c>
      <c r="E204" s="7">
        <f t="shared" si="54"/>
        <v>6248571.4285714282</v>
      </c>
      <c r="F204" s="7">
        <f t="shared" si="55"/>
        <v>124.97142857142855</v>
      </c>
      <c r="G204" s="7">
        <f t="shared" si="56"/>
        <v>35388198.05531089</v>
      </c>
      <c r="H204" s="6">
        <f t="shared" si="57"/>
        <v>5948.7980345033475</v>
      </c>
      <c r="I204" s="7">
        <f t="shared" si="58"/>
        <v>-4.0317852932131375</v>
      </c>
      <c r="J204" s="7">
        <f t="shared" si="59"/>
        <v>-99.234314423353609</v>
      </c>
      <c r="K204" s="8">
        <f t="shared" si="48"/>
        <v>155.51171845250673</v>
      </c>
      <c r="L204" s="8">
        <f t="shared" si="49"/>
        <v>-6.5314921750052815</v>
      </c>
      <c r="M204" s="8">
        <f t="shared" si="46"/>
        <v>160.75958936583282</v>
      </c>
      <c r="N204" s="8">
        <f t="shared" si="50"/>
        <v>24.999999999999989</v>
      </c>
      <c r="O204" s="8">
        <f t="shared" si="51"/>
        <v>26.015723572194158</v>
      </c>
    </row>
    <row r="205" spans="1:15" x14ac:dyDescent="0.3">
      <c r="A205" s="5">
        <f t="shared" si="52"/>
        <v>1.9700000000000015</v>
      </c>
      <c r="B205" s="5">
        <f t="shared" si="47"/>
        <v>167.25076368790596</v>
      </c>
      <c r="C205" s="6">
        <f t="shared" si="45"/>
        <v>6451.1008851049437</v>
      </c>
      <c r="D205" s="6">
        <f t="shared" si="53"/>
        <v>41616702.629801787</v>
      </c>
      <c r="E205" s="7">
        <f t="shared" si="54"/>
        <v>6248571.4285714282</v>
      </c>
      <c r="F205" s="7">
        <f t="shared" si="55"/>
        <v>124.97142857142855</v>
      </c>
      <c r="G205" s="7">
        <f t="shared" si="56"/>
        <v>35368131.201230362</v>
      </c>
      <c r="H205" s="6">
        <f t="shared" si="57"/>
        <v>5947.1111643578988</v>
      </c>
      <c r="I205" s="7">
        <f t="shared" si="58"/>
        <v>-4.0328395578753025</v>
      </c>
      <c r="J205" s="7">
        <f t="shared" si="59"/>
        <v>-99.208372595153094</v>
      </c>
      <c r="K205" s="8">
        <f t="shared" si="48"/>
        <v>155.55238294661879</v>
      </c>
      <c r="L205" s="8">
        <f t="shared" si="49"/>
        <v>-6.5332000837579889</v>
      </c>
      <c r="M205" s="8">
        <f t="shared" si="46"/>
        <v>160.71756360414798</v>
      </c>
      <c r="N205" s="8">
        <f t="shared" si="50"/>
        <v>24.999999999999989</v>
      </c>
      <c r="O205" s="8">
        <f t="shared" si="51"/>
        <v>26.016254841295591</v>
      </c>
    </row>
    <row r="206" spans="1:15" x14ac:dyDescent="0.3">
      <c r="A206" s="5">
        <f t="shared" si="52"/>
        <v>1.9800000000000015</v>
      </c>
      <c r="B206" s="5">
        <f t="shared" si="47"/>
        <v>167.21043529232722</v>
      </c>
      <c r="C206" s="6">
        <f t="shared" si="45"/>
        <v>6449.5453612754782</v>
      </c>
      <c r="D206" s="6">
        <f t="shared" si="53"/>
        <v>41596635.367150038</v>
      </c>
      <c r="E206" s="7">
        <f t="shared" si="54"/>
        <v>6248571.4285714282</v>
      </c>
      <c r="F206" s="7">
        <f t="shared" si="55"/>
        <v>124.97142857142855</v>
      </c>
      <c r="G206" s="7">
        <f t="shared" si="56"/>
        <v>35348063.938578613</v>
      </c>
      <c r="H206" s="6">
        <f t="shared" si="57"/>
        <v>5945.4237812437405</v>
      </c>
      <c r="I206" s="7">
        <f t="shared" si="58"/>
        <v>-4.0338946733220906</v>
      </c>
      <c r="J206" s="7">
        <f t="shared" si="59"/>
        <v>-99.182423408361387</v>
      </c>
      <c r="K206" s="8">
        <f t="shared" si="48"/>
        <v>155.59308025670921</v>
      </c>
      <c r="L206" s="8">
        <f t="shared" si="49"/>
        <v>-6.5349093707817865</v>
      </c>
      <c r="M206" s="8">
        <f t="shared" si="46"/>
        <v>160.67552592154544</v>
      </c>
      <c r="N206" s="8">
        <f t="shared" si="50"/>
        <v>24.999999999999982</v>
      </c>
      <c r="O206" s="8">
        <f t="shared" si="51"/>
        <v>26.016786678198351</v>
      </c>
    </row>
    <row r="207" spans="1:15" x14ac:dyDescent="0.3">
      <c r="A207" s="5">
        <f t="shared" si="52"/>
        <v>1.9900000000000015</v>
      </c>
      <c r="B207" s="5">
        <f t="shared" si="47"/>
        <v>167.170096345594</v>
      </c>
      <c r="C207" s="6">
        <f t="shared" si="45"/>
        <v>6447.9894304729114</v>
      </c>
      <c r="D207" s="6">
        <f t="shared" si="53"/>
        <v>41576567.695490383</v>
      </c>
      <c r="E207" s="7">
        <f t="shared" si="54"/>
        <v>6248571.4285714282</v>
      </c>
      <c r="F207" s="7">
        <f t="shared" si="55"/>
        <v>124.97142857142855</v>
      </c>
      <c r="G207" s="7">
        <f t="shared" si="56"/>
        <v>35327996.266918957</v>
      </c>
      <c r="H207" s="6">
        <f t="shared" si="57"/>
        <v>5943.735884687253</v>
      </c>
      <c r="I207" s="7">
        <f t="shared" si="58"/>
        <v>-4.0349506407174323</v>
      </c>
      <c r="J207" s="7">
        <f t="shared" si="59"/>
        <v>-99.156466856562844</v>
      </c>
      <c r="K207" s="8">
        <f t="shared" si="48"/>
        <v>155.63381042767239</v>
      </c>
      <c r="L207" s="8">
        <f t="shared" si="49"/>
        <v>-6.5366200379622397</v>
      </c>
      <c r="M207" s="8">
        <f t="shared" si="46"/>
        <v>160.63347630763175</v>
      </c>
      <c r="N207" s="8">
        <f t="shared" si="50"/>
        <v>24.999999999999964</v>
      </c>
      <c r="O207" s="8">
        <f t="shared" si="51"/>
        <v>26.017319083825907</v>
      </c>
    </row>
    <row r="208" spans="1:15" x14ac:dyDescent="0.3">
      <c r="A208" s="5">
        <f t="shared" si="52"/>
        <v>2.0000000000000013</v>
      </c>
      <c r="B208" s="5">
        <f t="shared" si="47"/>
        <v>167.12974683918682</v>
      </c>
      <c r="C208" s="6">
        <f t="shared" si="45"/>
        <v>6446.4330923686339</v>
      </c>
      <c r="D208" s="6">
        <f t="shared" si="53"/>
        <v>41556499.614385426</v>
      </c>
      <c r="E208" s="7">
        <f t="shared" si="54"/>
        <v>6248571.4285714282</v>
      </c>
      <c r="F208" s="7">
        <f t="shared" si="55"/>
        <v>124.97142857142855</v>
      </c>
      <c r="G208" s="7">
        <f t="shared" si="56"/>
        <v>35307928.185814001</v>
      </c>
      <c r="H208" s="6">
        <f t="shared" si="57"/>
        <v>5942.0474742140859</v>
      </c>
      <c r="I208" s="7">
        <f t="shared" si="58"/>
        <v>-4.0360074612275225</v>
      </c>
      <c r="J208" s="7">
        <f t="shared" si="59"/>
        <v>-99.130502933332252</v>
      </c>
      <c r="K208" s="8">
        <f t="shared" si="48"/>
        <v>155.67457350449016</v>
      </c>
      <c r="L208" s="8">
        <f t="shared" si="49"/>
        <v>-6.5383320871885857</v>
      </c>
      <c r="M208" s="8">
        <f t="shared" si="46"/>
        <v>160.59141475199823</v>
      </c>
      <c r="N208" s="8">
        <f t="shared" si="50"/>
        <v>25.000000000000014</v>
      </c>
      <c r="O208" s="8">
        <f t="shared" si="51"/>
        <v>26.01785205910382</v>
      </c>
    </row>
    <row r="209" spans="1:15" x14ac:dyDescent="0.3">
      <c r="A209" s="5">
        <f t="shared" si="52"/>
        <v>2.0100000000000011</v>
      </c>
      <c r="B209" s="5">
        <f t="shared" si="47"/>
        <v>167.08938676457456</v>
      </c>
      <c r="C209" s="6">
        <f t="shared" si="45"/>
        <v>6444.8763466335895</v>
      </c>
      <c r="D209" s="6">
        <f t="shared" si="53"/>
        <v>41536431.123397127</v>
      </c>
      <c r="E209" s="7">
        <f t="shared" si="54"/>
        <v>6248571.4285714282</v>
      </c>
      <c r="F209" s="7">
        <f t="shared" si="55"/>
        <v>124.97142857142855</v>
      </c>
      <c r="G209" s="7">
        <f t="shared" si="56"/>
        <v>35287859.694825701</v>
      </c>
      <c r="H209" s="6">
        <f t="shared" si="57"/>
        <v>5940.3585493491637</v>
      </c>
      <c r="I209" s="7">
        <f t="shared" si="58"/>
        <v>-4.0370651360207832</v>
      </c>
      <c r="J209" s="7">
        <f t="shared" si="59"/>
        <v>-99.104531632235137</v>
      </c>
      <c r="K209" s="8">
        <f t="shared" si="48"/>
        <v>155.7153695322302</v>
      </c>
      <c r="L209" s="8">
        <f t="shared" si="49"/>
        <v>-6.5400455203536678</v>
      </c>
      <c r="M209" s="8">
        <f t="shared" si="46"/>
        <v>160.5493412442209</v>
      </c>
      <c r="N209" s="8">
        <f t="shared" si="50"/>
        <v>24.999999999999986</v>
      </c>
      <c r="O209" s="8">
        <f t="shared" si="51"/>
        <v>26.018385604959462</v>
      </c>
    </row>
    <row r="210" spans="1:15" x14ac:dyDescent="0.3">
      <c r="A210" s="5">
        <f t="shared" si="52"/>
        <v>2.0200000000000009</v>
      </c>
      <c r="B210" s="5">
        <f t="shared" si="47"/>
        <v>167.04901611321435</v>
      </c>
      <c r="C210" s="6">
        <f t="shared" si="45"/>
        <v>6443.3191929382674</v>
      </c>
      <c r="D210" s="6">
        <f t="shared" si="53"/>
        <v>41516362.222086646</v>
      </c>
      <c r="E210" s="7">
        <f t="shared" si="54"/>
        <v>6248571.4285714282</v>
      </c>
      <c r="F210" s="7">
        <f t="shared" si="55"/>
        <v>124.97142857142855</v>
      </c>
      <c r="G210" s="7">
        <f t="shared" si="56"/>
        <v>35267790.79351522</v>
      </c>
      <c r="H210" s="6">
        <f t="shared" si="57"/>
        <v>5938.6691096166669</v>
      </c>
      <c r="I210" s="7">
        <f t="shared" si="58"/>
        <v>-4.0381236662679516</v>
      </c>
      <c r="J210" s="7">
        <f t="shared" si="59"/>
        <v>-99.078552946827344</v>
      </c>
      <c r="K210" s="8">
        <f t="shared" si="48"/>
        <v>155.75619855604955</v>
      </c>
      <c r="L210" s="8">
        <f t="shared" si="49"/>
        <v>-6.5417603393540809</v>
      </c>
      <c r="M210" s="8">
        <f t="shared" si="46"/>
        <v>160.50725577386027</v>
      </c>
      <c r="N210" s="8">
        <f t="shared" si="50"/>
        <v>25.000000000000011</v>
      </c>
      <c r="O210" s="8">
        <f t="shared" si="51"/>
        <v>26.018919722322536</v>
      </c>
    </row>
    <row r="211" spans="1:15" x14ac:dyDescent="0.3">
      <c r="A211" s="5">
        <f t="shared" si="52"/>
        <v>2.0300000000000007</v>
      </c>
      <c r="B211" s="5">
        <f t="shared" si="47"/>
        <v>167.00863487655167</v>
      </c>
      <c r="C211" s="6">
        <f t="shared" si="45"/>
        <v>6441.7616309527066</v>
      </c>
      <c r="D211" s="6">
        <f t="shared" si="53"/>
        <v>41496292.910014473</v>
      </c>
      <c r="E211" s="7">
        <f t="shared" si="54"/>
        <v>6248571.4285714282</v>
      </c>
      <c r="F211" s="7">
        <f t="shared" si="55"/>
        <v>124.97142857142855</v>
      </c>
      <c r="G211" s="7">
        <f t="shared" si="56"/>
        <v>35247721.481443048</v>
      </c>
      <c r="H211" s="6">
        <f t="shared" si="57"/>
        <v>5936.9791545400467</v>
      </c>
      <c r="I211" s="7">
        <f t="shared" si="58"/>
        <v>-4.0391830531419979</v>
      </c>
      <c r="J211" s="7">
        <f t="shared" si="59"/>
        <v>-99.05256687065534</v>
      </c>
      <c r="K211" s="8">
        <f t="shared" si="48"/>
        <v>155.79706062119135</v>
      </c>
      <c r="L211" s="8">
        <f t="shared" si="49"/>
        <v>-6.5434765460900364</v>
      </c>
      <c r="M211" s="8">
        <f t="shared" si="46"/>
        <v>160.46515833046163</v>
      </c>
      <c r="N211" s="8">
        <f t="shared" si="50"/>
        <v>25</v>
      </c>
      <c r="O211" s="8">
        <f t="shared" si="51"/>
        <v>26.019454412124531</v>
      </c>
    </row>
    <row r="212" spans="1:15" x14ac:dyDescent="0.3">
      <c r="A212" s="5">
        <f t="shared" si="52"/>
        <v>2.0400000000000005</v>
      </c>
      <c r="B212" s="5">
        <f t="shared" si="47"/>
        <v>166.96824304602023</v>
      </c>
      <c r="C212" s="6">
        <f t="shared" si="45"/>
        <v>6440.203660346494</v>
      </c>
      <c r="D212" s="6">
        <f t="shared" si="53"/>
        <v>41476223.186740376</v>
      </c>
      <c r="E212" s="7">
        <f t="shared" si="54"/>
        <v>6248571.4285714282</v>
      </c>
      <c r="F212" s="7">
        <f t="shared" si="55"/>
        <v>124.97142857142855</v>
      </c>
      <c r="G212" s="7">
        <f t="shared" si="56"/>
        <v>35227651.758168951</v>
      </c>
      <c r="H212" s="6">
        <f t="shared" si="57"/>
        <v>5935.2886836420139</v>
      </c>
      <c r="I212" s="7">
        <f t="shared" si="58"/>
        <v>-4.0402432978181997</v>
      </c>
      <c r="J212" s="7">
        <f t="shared" si="59"/>
        <v>-99.02657339725603</v>
      </c>
      <c r="K212" s="8">
        <f t="shared" si="48"/>
        <v>155.8379557729877</v>
      </c>
      <c r="L212" s="8">
        <f t="shared" si="49"/>
        <v>-6.5451941424654825</v>
      </c>
      <c r="M212" s="8">
        <f t="shared" si="46"/>
        <v>160.42304890355476</v>
      </c>
      <c r="N212" s="8">
        <f t="shared" si="50"/>
        <v>25.000000000000007</v>
      </c>
      <c r="O212" s="8">
        <f t="shared" si="51"/>
        <v>26.019989675299161</v>
      </c>
    </row>
    <row r="213" spans="1:15" x14ac:dyDescent="0.3">
      <c r="A213" s="5">
        <f t="shared" si="52"/>
        <v>2.0500000000000003</v>
      </c>
      <c r="B213" s="5">
        <f t="shared" si="47"/>
        <v>166.92784061304206</v>
      </c>
      <c r="C213" s="6">
        <f t="shared" si="45"/>
        <v>6438.6452807887654</v>
      </c>
      <c r="D213" s="6">
        <f t="shared" si="53"/>
        <v>41456153.051823437</v>
      </c>
      <c r="E213" s="7">
        <f t="shared" si="54"/>
        <v>6248571.4285714282</v>
      </c>
      <c r="F213" s="7">
        <f t="shared" si="55"/>
        <v>124.97142857142855</v>
      </c>
      <c r="G213" s="7">
        <f t="shared" si="56"/>
        <v>35207581.623252012</v>
      </c>
      <c r="H213" s="6">
        <f t="shared" si="57"/>
        <v>5933.5976964445454</v>
      </c>
      <c r="I213" s="7">
        <f t="shared" si="58"/>
        <v>-4.0413044014740978</v>
      </c>
      <c r="J213" s="7">
        <f t="shared" si="59"/>
        <v>-99.000572520156823</v>
      </c>
      <c r="K213" s="8">
        <f t="shared" si="48"/>
        <v>155.87888405685806</v>
      </c>
      <c r="L213" s="8">
        <f t="shared" si="49"/>
        <v>-6.5469131303880372</v>
      </c>
      <c r="M213" s="8">
        <f t="shared" si="46"/>
        <v>160.38092748265402</v>
      </c>
      <c r="N213" s="8">
        <f t="shared" si="50"/>
        <v>24.999999999999986</v>
      </c>
      <c r="O213" s="8">
        <f t="shared" si="51"/>
        <v>26.020525512782065</v>
      </c>
    </row>
    <row r="214" spans="1:15" x14ac:dyDescent="0.3">
      <c r="A214" s="5">
        <f t="shared" si="52"/>
        <v>2.06</v>
      </c>
      <c r="B214" s="5">
        <f t="shared" si="47"/>
        <v>166.88742756902732</v>
      </c>
      <c r="C214" s="6">
        <f t="shared" si="45"/>
        <v>6437.0864919481965</v>
      </c>
      <c r="D214" s="6">
        <f t="shared" si="53"/>
        <v>41436082.504821941</v>
      </c>
      <c r="E214" s="7">
        <f t="shared" si="54"/>
        <v>6248571.4285714282</v>
      </c>
      <c r="F214" s="7">
        <f t="shared" si="55"/>
        <v>124.97142857142855</v>
      </c>
      <c r="G214" s="7">
        <f t="shared" si="56"/>
        <v>35187511.076250516</v>
      </c>
      <c r="H214" s="6">
        <f t="shared" si="57"/>
        <v>5931.9061924688694</v>
      </c>
      <c r="I214" s="7">
        <f t="shared" si="58"/>
        <v>-4.0423663652895403</v>
      </c>
      <c r="J214" s="7">
        <f t="shared" si="59"/>
        <v>-98.974564232875494</v>
      </c>
      <c r="K214" s="8">
        <f t="shared" si="48"/>
        <v>155.91984551831084</v>
      </c>
      <c r="L214" s="8">
        <f t="shared" si="49"/>
        <v>-6.5486335117690544</v>
      </c>
      <c r="M214" s="8">
        <f t="shared" si="46"/>
        <v>160.33879405725827</v>
      </c>
      <c r="N214" s="8">
        <f t="shared" si="50"/>
        <v>24.999999999999964</v>
      </c>
      <c r="O214" s="8">
        <f t="shared" si="51"/>
        <v>26.021061925511027</v>
      </c>
    </row>
    <row r="215" spans="1:15" x14ac:dyDescent="0.3">
      <c r="A215" s="5">
        <f t="shared" si="52"/>
        <v>2.0699999999999998</v>
      </c>
      <c r="B215" s="5">
        <f t="shared" si="47"/>
        <v>166.84700390537444</v>
      </c>
      <c r="C215" s="6">
        <f t="shared" si="45"/>
        <v>6435.5272934930135</v>
      </c>
      <c r="D215" s="6">
        <f t="shared" si="53"/>
        <v>41416011.54529351</v>
      </c>
      <c r="E215" s="7">
        <f t="shared" si="54"/>
        <v>6248571.4285714282</v>
      </c>
      <c r="F215" s="7">
        <f t="shared" si="55"/>
        <v>124.97142857142855</v>
      </c>
      <c r="G215" s="7">
        <f t="shared" si="56"/>
        <v>35167440.116722085</v>
      </c>
      <c r="H215" s="6">
        <f t="shared" si="57"/>
        <v>5930.2141712354778</v>
      </c>
      <c r="I215" s="7">
        <f t="shared" si="58"/>
        <v>-4.0434291904466741</v>
      </c>
      <c r="J215" s="7">
        <f t="shared" si="59"/>
        <v>-98.94854852892027</v>
      </c>
      <c r="K215" s="8">
        <f t="shared" si="48"/>
        <v>155.96084020294313</v>
      </c>
      <c r="L215" s="8">
        <f t="shared" si="49"/>
        <v>-6.5503552885236109</v>
      </c>
      <c r="M215" s="8">
        <f t="shared" si="46"/>
        <v>160.29664861685083</v>
      </c>
      <c r="N215" s="8">
        <f t="shared" si="50"/>
        <v>24.999999999999996</v>
      </c>
      <c r="O215" s="8">
        <f t="shared" si="51"/>
        <v>26.02159891442593</v>
      </c>
    </row>
    <row r="216" spans="1:15" x14ac:dyDescent="0.3">
      <c r="A216" s="5">
        <f t="shared" si="52"/>
        <v>2.0799999999999996</v>
      </c>
      <c r="B216" s="5">
        <f t="shared" si="47"/>
        <v>166.80656961346997</v>
      </c>
      <c r="C216" s="6">
        <f t="shared" si="45"/>
        <v>6433.9676850909846</v>
      </c>
      <c r="D216" s="6">
        <f t="shared" si="53"/>
        <v>41395940.172795042</v>
      </c>
      <c r="E216" s="7">
        <f t="shared" si="54"/>
        <v>6248571.4285714282</v>
      </c>
      <c r="F216" s="7">
        <f t="shared" si="55"/>
        <v>124.97142857142855</v>
      </c>
      <c r="G216" s="7">
        <f t="shared" si="56"/>
        <v>35147368.744223617</v>
      </c>
      <c r="H216" s="6">
        <f t="shared" si="57"/>
        <v>5928.521632264119</v>
      </c>
      <c r="I216" s="7">
        <f t="shared" si="58"/>
        <v>-4.0444928781299261</v>
      </c>
      <c r="J216" s="7">
        <f t="shared" si="59"/>
        <v>-98.922525401789827</v>
      </c>
      <c r="K216" s="8">
        <f t="shared" si="48"/>
        <v>156.00186815644</v>
      </c>
      <c r="L216" s="8">
        <f t="shared" si="49"/>
        <v>-6.5520784625704795</v>
      </c>
      <c r="M216" s="8">
        <f t="shared" si="46"/>
        <v>160.2544911508995</v>
      </c>
      <c r="N216" s="8">
        <f t="shared" si="50"/>
        <v>25.000000000000004</v>
      </c>
      <c r="O216" s="8">
        <f t="shared" si="51"/>
        <v>26.022136480468571</v>
      </c>
    </row>
    <row r="217" spans="1:15" x14ac:dyDescent="0.3">
      <c r="A217" s="5">
        <f t="shared" si="52"/>
        <v>2.0899999999999994</v>
      </c>
      <c r="B217" s="5">
        <f t="shared" si="47"/>
        <v>166.76612468468866</v>
      </c>
      <c r="C217" s="6">
        <f t="shared" si="45"/>
        <v>6432.4076664094191</v>
      </c>
      <c r="D217" s="6">
        <f t="shared" si="53"/>
        <v>41375868.38688267</v>
      </c>
      <c r="E217" s="7">
        <f t="shared" si="54"/>
        <v>6248571.4285714282</v>
      </c>
      <c r="F217" s="7">
        <f t="shared" si="55"/>
        <v>124.97142857142855</v>
      </c>
      <c r="G217" s="7">
        <f t="shared" si="56"/>
        <v>35127296.958311245</v>
      </c>
      <c r="H217" s="6">
        <f t="shared" si="57"/>
        <v>5926.8285750737932</v>
      </c>
      <c r="I217" s="7">
        <f t="shared" si="58"/>
        <v>-4.0455574295260428</v>
      </c>
      <c r="J217" s="7">
        <f t="shared" si="59"/>
        <v>-98.896494844973148</v>
      </c>
      <c r="K217" s="8">
        <f t="shared" si="48"/>
        <v>156.04292942457593</v>
      </c>
      <c r="L217" s="8">
        <f t="shared" si="49"/>
        <v>-6.5538030358321882</v>
      </c>
      <c r="M217" s="8">
        <f t="shared" si="46"/>
        <v>160.21232164885649</v>
      </c>
      <c r="N217" s="8">
        <f t="shared" si="50"/>
        <v>24.999999999999972</v>
      </c>
      <c r="O217" s="8">
        <f t="shared" si="51"/>
        <v>26.022674624582901</v>
      </c>
    </row>
    <row r="218" spans="1:15" x14ac:dyDescent="0.3">
      <c r="A218" s="5">
        <f t="shared" si="52"/>
        <v>2.0999999999999992</v>
      </c>
      <c r="B218" s="5">
        <f t="shared" si="47"/>
        <v>166.7256691103934</v>
      </c>
      <c r="C218" s="6">
        <f t="shared" si="45"/>
        <v>6430.8472371151738</v>
      </c>
      <c r="D218" s="6">
        <f t="shared" si="53"/>
        <v>41355796.187111862</v>
      </c>
      <c r="E218" s="7">
        <f t="shared" si="54"/>
        <v>6248571.4285714282</v>
      </c>
      <c r="F218" s="7">
        <f t="shared" si="55"/>
        <v>124.97142857142855</v>
      </c>
      <c r="G218" s="7">
        <f t="shared" si="56"/>
        <v>35107224.758540437</v>
      </c>
      <c r="H218" s="6">
        <f t="shared" si="57"/>
        <v>5925.1349991827556</v>
      </c>
      <c r="I218" s="7">
        <f t="shared" si="58"/>
        <v>-4.0466228458241069</v>
      </c>
      <c r="J218" s="7">
        <f t="shared" si="59"/>
        <v>-98.870456851949612</v>
      </c>
      <c r="K218" s="8">
        <f t="shared" si="48"/>
        <v>156.08402405321556</v>
      </c>
      <c r="L218" s="8">
        <f t="shared" si="49"/>
        <v>-6.5555290102350527</v>
      </c>
      <c r="M218" s="8">
        <f t="shared" si="46"/>
        <v>160.17014010015833</v>
      </c>
      <c r="N218" s="8">
        <f t="shared" si="50"/>
        <v>25.000000000000018</v>
      </c>
      <c r="O218" s="8">
        <f t="shared" si="51"/>
        <v>26.0232133477151</v>
      </c>
    </row>
    <row r="219" spans="1:15" x14ac:dyDescent="0.3">
      <c r="A219" s="5">
        <f t="shared" si="52"/>
        <v>2.109999999999999</v>
      </c>
      <c r="B219" s="5">
        <f t="shared" si="47"/>
        <v>166.68520288193517</v>
      </c>
      <c r="C219" s="6">
        <f t="shared" si="45"/>
        <v>6429.2863968746415</v>
      </c>
      <c r="D219" s="6">
        <f t="shared" si="53"/>
        <v>41335723.573037311</v>
      </c>
      <c r="E219" s="7">
        <f t="shared" si="54"/>
        <v>6248571.4285714282</v>
      </c>
      <c r="F219" s="7">
        <f t="shared" si="55"/>
        <v>124.97142857142855</v>
      </c>
      <c r="G219" s="7">
        <f t="shared" si="56"/>
        <v>35087152.144465886</v>
      </c>
      <c r="H219" s="6">
        <f t="shared" si="57"/>
        <v>5923.4409041085137</v>
      </c>
      <c r="I219" s="7">
        <f t="shared" si="58"/>
        <v>-4.0476891282154721</v>
      </c>
      <c r="J219" s="7">
        <f t="shared" si="59"/>
        <v>-98.844411416188962</v>
      </c>
      <c r="K219" s="8">
        <f t="shared" si="48"/>
        <v>156.12515208831107</v>
      </c>
      <c r="L219" s="8">
        <f t="shared" si="49"/>
        <v>-6.5572563877090646</v>
      </c>
      <c r="M219" s="8">
        <f t="shared" si="46"/>
        <v>160.12794649422611</v>
      </c>
      <c r="N219" s="8">
        <f t="shared" si="50"/>
        <v>24.999999999999989</v>
      </c>
      <c r="O219" s="8">
        <f t="shared" si="51"/>
        <v>26.023752650813115</v>
      </c>
    </row>
    <row r="220" spans="1:15" x14ac:dyDescent="0.3">
      <c r="A220" s="5">
        <f t="shared" si="52"/>
        <v>2.1199999999999988</v>
      </c>
      <c r="B220" s="5">
        <f t="shared" si="47"/>
        <v>166.644725990653</v>
      </c>
      <c r="C220" s="6">
        <f t="shared" si="45"/>
        <v>6427.7251453537583</v>
      </c>
      <c r="D220" s="6">
        <f t="shared" si="53"/>
        <v>41315650.544212997</v>
      </c>
      <c r="E220" s="7">
        <f t="shared" si="54"/>
        <v>6248571.4285714282</v>
      </c>
      <c r="F220" s="7">
        <f t="shared" si="55"/>
        <v>124.97142857142855</v>
      </c>
      <c r="G220" s="7">
        <f t="shared" si="56"/>
        <v>35067079.115641572</v>
      </c>
      <c r="H220" s="6">
        <f t="shared" si="57"/>
        <v>5921.7462893678221</v>
      </c>
      <c r="I220" s="7">
        <f t="shared" si="58"/>
        <v>-4.0487562778938662</v>
      </c>
      <c r="J220" s="7">
        <f t="shared" si="59"/>
        <v>-98.818358531151219</v>
      </c>
      <c r="K220" s="8">
        <f t="shared" si="48"/>
        <v>156.16631357590626</v>
      </c>
      <c r="L220" s="8">
        <f t="shared" si="49"/>
        <v>-6.5589851701880626</v>
      </c>
      <c r="M220" s="8">
        <f t="shared" si="46"/>
        <v>160.08574082046493</v>
      </c>
      <c r="N220" s="8">
        <f t="shared" si="50"/>
        <v>24.999999999999986</v>
      </c>
      <c r="O220" s="8">
        <f t="shared" si="51"/>
        <v>26.024292534827293</v>
      </c>
    </row>
    <row r="221" spans="1:15" x14ac:dyDescent="0.3">
      <c r="A221" s="5">
        <f t="shared" si="52"/>
        <v>2.1299999999999986</v>
      </c>
      <c r="B221" s="5">
        <f t="shared" si="47"/>
        <v>166.60423842787407</v>
      </c>
      <c r="C221" s="6">
        <f t="shared" si="45"/>
        <v>6426.1634822179994</v>
      </c>
      <c r="D221" s="6">
        <f t="shared" si="53"/>
        <v>41295577.100192167</v>
      </c>
      <c r="E221" s="7">
        <f t="shared" si="54"/>
        <v>6248571.4285714282</v>
      </c>
      <c r="F221" s="7">
        <f t="shared" si="55"/>
        <v>124.97142857142855</v>
      </c>
      <c r="G221" s="7">
        <f t="shared" si="56"/>
        <v>35047005.671620741</v>
      </c>
      <c r="H221" s="6">
        <f t="shared" si="57"/>
        <v>5920.051154476686</v>
      </c>
      <c r="I221" s="7">
        <f t="shared" si="58"/>
        <v>-4.0498242960553217</v>
      </c>
      <c r="J221" s="7">
        <f t="shared" si="59"/>
        <v>-98.792298190286715</v>
      </c>
      <c r="K221" s="8">
        <f t="shared" si="48"/>
        <v>156.20750856213382</v>
      </c>
      <c r="L221" s="8">
        <f t="shared" si="49"/>
        <v>-6.5607153596096204</v>
      </c>
      <c r="M221" s="8">
        <f t="shared" si="46"/>
        <v>160.04352306826445</v>
      </c>
      <c r="N221" s="8">
        <f t="shared" si="50"/>
        <v>24.999999999999982</v>
      </c>
      <c r="O221" s="8">
        <f t="shared" si="51"/>
        <v>26.024833000709926</v>
      </c>
    </row>
    <row r="222" spans="1:15" x14ac:dyDescent="0.3">
      <c r="A222" s="5">
        <f t="shared" si="52"/>
        <v>2.1399999999999983</v>
      </c>
      <c r="B222" s="5">
        <f t="shared" si="47"/>
        <v>166.56374018491351</v>
      </c>
      <c r="C222" s="6">
        <f t="shared" si="45"/>
        <v>6424.601407132378</v>
      </c>
      <c r="D222" s="6">
        <f t="shared" si="53"/>
        <v>41275503.240527332</v>
      </c>
      <c r="E222" s="7">
        <f t="shared" si="54"/>
        <v>6248571.4285714282</v>
      </c>
      <c r="F222" s="7">
        <f t="shared" si="55"/>
        <v>124.97142857142855</v>
      </c>
      <c r="G222" s="7">
        <f t="shared" si="56"/>
        <v>35026931.811955906</v>
      </c>
      <c r="H222" s="6">
        <f t="shared" si="57"/>
        <v>5918.3554989503555</v>
      </c>
      <c r="I222" s="7">
        <f t="shared" si="58"/>
        <v>-4.0508931838982143</v>
      </c>
      <c r="J222" s="7">
        <f t="shared" si="59"/>
        <v>-98.766230387036074</v>
      </c>
      <c r="K222" s="8">
        <f t="shared" si="48"/>
        <v>156.24873709321682</v>
      </c>
      <c r="L222" s="8">
        <f t="shared" si="49"/>
        <v>-6.5624469579151059</v>
      </c>
      <c r="M222" s="8">
        <f t="shared" si="46"/>
        <v>160.0012932269984</v>
      </c>
      <c r="N222" s="8">
        <f t="shared" si="50"/>
        <v>24.999999999999968</v>
      </c>
      <c r="O222" s="8">
        <f t="shared" si="51"/>
        <v>26.025374049415426</v>
      </c>
    </row>
    <row r="223" spans="1:15" x14ac:dyDescent="0.3">
      <c r="A223" s="5">
        <f t="shared" si="52"/>
        <v>2.1499999999999981</v>
      </c>
      <c r="B223" s="5">
        <f t="shared" si="47"/>
        <v>166.52323125307453</v>
      </c>
      <c r="C223" s="6">
        <f t="shared" si="45"/>
        <v>6423.0389197614459</v>
      </c>
      <c r="D223" s="6">
        <f t="shared" si="53"/>
        <v>41255428.96477028</v>
      </c>
      <c r="E223" s="7">
        <f t="shared" si="54"/>
        <v>6248571.4285714282</v>
      </c>
      <c r="F223" s="7">
        <f t="shared" si="55"/>
        <v>124.97142857142855</v>
      </c>
      <c r="G223" s="7">
        <f t="shared" si="56"/>
        <v>35006857.536198854</v>
      </c>
      <c r="H223" s="6">
        <f t="shared" si="57"/>
        <v>5916.659322303326</v>
      </c>
      <c r="I223" s="7">
        <f t="shared" si="58"/>
        <v>-4.0519629426232733</v>
      </c>
      <c r="J223" s="7">
        <f t="shared" si="59"/>
        <v>-98.740155114830159</v>
      </c>
      <c r="K223" s="8">
        <f t="shared" si="48"/>
        <v>156.28999921546909</v>
      </c>
      <c r="L223" s="8">
        <f t="shared" si="49"/>
        <v>-6.564179967049701</v>
      </c>
      <c r="M223" s="8">
        <f t="shared" si="46"/>
        <v>159.95905128602482</v>
      </c>
      <c r="N223" s="8">
        <f t="shared" si="50"/>
        <v>25</v>
      </c>
      <c r="O223" s="8">
        <f t="shared" si="51"/>
        <v>26.025915681900397</v>
      </c>
    </row>
    <row r="224" spans="1:15" x14ac:dyDescent="0.3">
      <c r="A224" s="5">
        <f t="shared" si="52"/>
        <v>2.1599999999999979</v>
      </c>
      <c r="B224" s="5">
        <f t="shared" si="47"/>
        <v>166.4827116236483</v>
      </c>
      <c r="C224" s="6">
        <f t="shared" si="45"/>
        <v>6421.4760197692913</v>
      </c>
      <c r="D224" s="6">
        <f t="shared" si="53"/>
        <v>41235354.272472061</v>
      </c>
      <c r="E224" s="7">
        <f t="shared" si="54"/>
        <v>6248571.4285714282</v>
      </c>
      <c r="F224" s="7">
        <f t="shared" si="55"/>
        <v>124.97142857142855</v>
      </c>
      <c r="G224" s="7">
        <f t="shared" si="56"/>
        <v>34986782.843900636</v>
      </c>
      <c r="H224" s="6">
        <f t="shared" si="57"/>
        <v>5914.962624049338</v>
      </c>
      <c r="I224" s="7">
        <f t="shared" si="58"/>
        <v>-4.0530335734335541</v>
      </c>
      <c r="J224" s="7">
        <f t="shared" si="59"/>
        <v>-98.714072367090111</v>
      </c>
      <c r="K224" s="8">
        <f t="shared" si="48"/>
        <v>156.33129497529421</v>
      </c>
      <c r="L224" s="8">
        <f t="shared" si="49"/>
        <v>-6.5659143889623559</v>
      </c>
      <c r="M224" s="8">
        <f t="shared" si="46"/>
        <v>159.91679723468593</v>
      </c>
      <c r="N224" s="8">
        <f t="shared" si="50"/>
        <v>25</v>
      </c>
      <c r="O224" s="8">
        <f t="shared" si="51"/>
        <v>26.026457899123404</v>
      </c>
    </row>
    <row r="225" spans="1:15" x14ac:dyDescent="0.3">
      <c r="A225" s="5">
        <f t="shared" si="52"/>
        <v>2.1699999999999977</v>
      </c>
      <c r="B225" s="5">
        <f t="shared" si="47"/>
        <v>166.44218128791397</v>
      </c>
      <c r="C225" s="6">
        <f t="shared" si="45"/>
        <v>6419.9127068195385</v>
      </c>
      <c r="D225" s="6">
        <f t="shared" si="53"/>
        <v>41215279.163182974</v>
      </c>
      <c r="E225" s="7">
        <f t="shared" si="54"/>
        <v>6248571.4285714282</v>
      </c>
      <c r="F225" s="7">
        <f t="shared" si="55"/>
        <v>124.97142857142855</v>
      </c>
      <c r="G225" s="7">
        <f t="shared" si="56"/>
        <v>34966707.734611548</v>
      </c>
      <c r="H225" s="6">
        <f t="shared" si="57"/>
        <v>5913.2654037013717</v>
      </c>
      <c r="I225" s="7">
        <f t="shared" si="58"/>
        <v>-4.0541050775344853</v>
      </c>
      <c r="J225" s="7">
        <f t="shared" si="59"/>
        <v>-98.687982137227237</v>
      </c>
      <c r="K225" s="8">
        <f t="shared" si="48"/>
        <v>156.37262441918728</v>
      </c>
      <c r="L225" s="8">
        <f t="shared" si="49"/>
        <v>-6.5676502256058651</v>
      </c>
      <c r="M225" s="8">
        <f t="shared" si="46"/>
        <v>159.87453106230811</v>
      </c>
      <c r="N225" s="8">
        <f t="shared" si="50"/>
        <v>24.999999999999996</v>
      </c>
      <c r="O225" s="8">
        <f t="shared" si="51"/>
        <v>26.02700070204525</v>
      </c>
    </row>
    <row r="226" spans="1:15" x14ac:dyDescent="0.3">
      <c r="A226" s="5">
        <f t="shared" si="52"/>
        <v>2.1799999999999975</v>
      </c>
      <c r="B226" s="5">
        <f t="shared" si="47"/>
        <v>166.40164023713862</v>
      </c>
      <c r="C226" s="6">
        <f t="shared" si="45"/>
        <v>6418.3489805753461</v>
      </c>
      <c r="D226" s="6">
        <f t="shared" si="53"/>
        <v>41195203.636452585</v>
      </c>
      <c r="E226" s="7">
        <f t="shared" si="54"/>
        <v>6248571.4285714282</v>
      </c>
      <c r="F226" s="7">
        <f t="shared" si="55"/>
        <v>124.97142857142855</v>
      </c>
      <c r="G226" s="7">
        <f t="shared" si="56"/>
        <v>34946632.20788116</v>
      </c>
      <c r="H226" s="6">
        <f t="shared" si="57"/>
        <v>5911.5676607716468</v>
      </c>
      <c r="I226" s="7">
        <f t="shared" si="58"/>
        <v>-4.0551774561338538</v>
      </c>
      <c r="J226" s="7">
        <f t="shared" si="59"/>
        <v>-98.661884418643083</v>
      </c>
      <c r="K226" s="8">
        <f t="shared" si="48"/>
        <v>156.41398759373436</v>
      </c>
      <c r="L226" s="8">
        <f t="shared" si="49"/>
        <v>-6.5693874789368429</v>
      </c>
      <c r="M226" s="8">
        <f t="shared" si="46"/>
        <v>159.83225275820178</v>
      </c>
      <c r="N226" s="8">
        <f t="shared" si="50"/>
        <v>24.999999999999986</v>
      </c>
      <c r="O226" s="8">
        <f t="shared" si="51"/>
        <v>26.027544091628851</v>
      </c>
    </row>
    <row r="227" spans="1:15" x14ac:dyDescent="0.3">
      <c r="A227" s="5">
        <f t="shared" si="52"/>
        <v>2.1899999999999973</v>
      </c>
      <c r="B227" s="5">
        <f t="shared" si="47"/>
        <v>166.36108846257727</v>
      </c>
      <c r="C227" s="6">
        <f t="shared" si="45"/>
        <v>6416.784840699409</v>
      </c>
      <c r="D227" s="6">
        <f t="shared" si="53"/>
        <v>41175127.691829741</v>
      </c>
      <c r="E227" s="7">
        <f t="shared" si="54"/>
        <v>6248571.4285714282</v>
      </c>
      <c r="F227" s="7">
        <f t="shared" si="55"/>
        <v>124.97142857142855</v>
      </c>
      <c r="G227" s="7">
        <f t="shared" si="56"/>
        <v>34926556.263258316</v>
      </c>
      <c r="H227" s="6">
        <f t="shared" si="57"/>
        <v>5909.8693947716238</v>
      </c>
      <c r="I227" s="7">
        <f t="shared" si="58"/>
        <v>-4.0562507104418115</v>
      </c>
      <c r="J227" s="7">
        <f t="shared" si="59"/>
        <v>-98.63577920472936</v>
      </c>
      <c r="K227" s="8">
        <f t="shared" si="48"/>
        <v>156.45538454561273</v>
      </c>
      <c r="L227" s="8">
        <f t="shared" si="49"/>
        <v>-6.5711261509157337</v>
      </c>
      <c r="M227" s="8">
        <f t="shared" si="46"/>
        <v>159.78996231166153</v>
      </c>
      <c r="N227" s="8">
        <f t="shared" si="50"/>
        <v>24.999999999999972</v>
      </c>
      <c r="O227" s="8">
        <f t="shared" si="51"/>
        <v>26.028088068839224</v>
      </c>
    </row>
    <row r="228" spans="1:15" x14ac:dyDescent="0.3">
      <c r="A228" s="5">
        <f t="shared" si="52"/>
        <v>2.1999999999999971</v>
      </c>
      <c r="B228" s="5">
        <f t="shared" si="47"/>
        <v>166.32052595547285</v>
      </c>
      <c r="C228" s="6">
        <f t="shared" si="45"/>
        <v>6415.2202868539525</v>
      </c>
      <c r="D228" s="6">
        <f t="shared" si="53"/>
        <v>41155051.328862511</v>
      </c>
      <c r="E228" s="7">
        <f t="shared" si="54"/>
        <v>6248571.4285714282</v>
      </c>
      <c r="F228" s="7">
        <f t="shared" si="55"/>
        <v>124.97142857142855</v>
      </c>
      <c r="G228" s="7">
        <f t="shared" si="56"/>
        <v>34906479.900291085</v>
      </c>
      <c r="H228" s="6">
        <f t="shared" si="57"/>
        <v>5908.1706052119962</v>
      </c>
      <c r="I228" s="7">
        <f t="shared" si="58"/>
        <v>-4.0573248416708907</v>
      </c>
      <c r="J228" s="7">
        <f t="shared" si="59"/>
        <v>-98.609666488867916</v>
      </c>
      <c r="K228" s="8">
        <f t="shared" si="48"/>
        <v>156.4968153215915</v>
      </c>
      <c r="L228" s="8">
        <f t="shared" si="49"/>
        <v>-6.5728662435068426</v>
      </c>
      <c r="M228" s="8">
        <f t="shared" si="46"/>
        <v>159.74765971196601</v>
      </c>
      <c r="N228" s="8">
        <f t="shared" si="50"/>
        <v>24.999999999999986</v>
      </c>
      <c r="O228" s="8">
        <f t="shared" si="51"/>
        <v>26.0286326346436</v>
      </c>
    </row>
    <row r="229" spans="1:15" x14ac:dyDescent="0.3">
      <c r="A229" s="5">
        <f t="shared" si="52"/>
        <v>2.2099999999999969</v>
      </c>
      <c r="B229" s="5">
        <f t="shared" si="47"/>
        <v>166.27995270705614</v>
      </c>
      <c r="C229" s="6">
        <f t="shared" si="45"/>
        <v>6413.6553187007366</v>
      </c>
      <c r="D229" s="6">
        <f t="shared" si="53"/>
        <v>41134974.547098249</v>
      </c>
      <c r="E229" s="7">
        <f t="shared" si="54"/>
        <v>6248571.4285714282</v>
      </c>
      <c r="F229" s="7">
        <f t="shared" si="55"/>
        <v>124.97142857142855</v>
      </c>
      <c r="G229" s="7">
        <f t="shared" si="56"/>
        <v>34886403.118526824</v>
      </c>
      <c r="H229" s="6">
        <f t="shared" si="57"/>
        <v>5906.4712916026965</v>
      </c>
      <c r="I229" s="7">
        <f t="shared" si="58"/>
        <v>-4.0583998510359871</v>
      </c>
      <c r="J229" s="7">
        <f t="shared" si="59"/>
        <v>-98.58354626443078</v>
      </c>
      <c r="K229" s="8">
        <f t="shared" si="48"/>
        <v>156.53827996853093</v>
      </c>
      <c r="L229" s="8">
        <f t="shared" si="49"/>
        <v>-6.5746077586782983</v>
      </c>
      <c r="M229" s="8">
        <f t="shared" si="46"/>
        <v>159.70534494837784</v>
      </c>
      <c r="N229" s="8">
        <f t="shared" si="50"/>
        <v>24.999999999999979</v>
      </c>
      <c r="O229" s="8">
        <f t="shared" si="51"/>
        <v>26.029177790011236</v>
      </c>
    </row>
    <row r="230" spans="1:15" x14ac:dyDescent="0.3">
      <c r="A230" s="5">
        <f t="shared" si="52"/>
        <v>2.2199999999999966</v>
      </c>
      <c r="B230" s="5">
        <f t="shared" si="47"/>
        <v>166.23936870854578</v>
      </c>
      <c r="C230" s="6">
        <f t="shared" si="45"/>
        <v>6412.0899359010509</v>
      </c>
      <c r="D230" s="6">
        <f t="shared" si="53"/>
        <v>41114897.346083544</v>
      </c>
      <c r="E230" s="7">
        <f t="shared" si="54"/>
        <v>6248571.4285714282</v>
      </c>
      <c r="F230" s="7">
        <f t="shared" si="55"/>
        <v>124.97142857142855</v>
      </c>
      <c r="G230" s="7">
        <f t="shared" si="56"/>
        <v>34866325.917512119</v>
      </c>
      <c r="H230" s="6">
        <f t="shared" si="57"/>
        <v>5904.7714534528868</v>
      </c>
      <c r="I230" s="7">
        <f t="shared" si="58"/>
        <v>-4.0594757397544008</v>
      </c>
      <c r="J230" s="7">
        <f t="shared" si="59"/>
        <v>-98.557418524780033</v>
      </c>
      <c r="K230" s="8">
        <f t="shared" si="48"/>
        <v>156.57977853338403</v>
      </c>
      <c r="L230" s="8">
        <f t="shared" si="49"/>
        <v>-6.5763506984021287</v>
      </c>
      <c r="M230" s="8">
        <f t="shared" si="46"/>
        <v>159.66301801014365</v>
      </c>
      <c r="N230" s="8">
        <f t="shared" si="50"/>
        <v>24.999999999999996</v>
      </c>
      <c r="O230" s="8">
        <f t="shared" si="51"/>
        <v>26.029723535913668</v>
      </c>
    </row>
    <row r="231" spans="1:15" x14ac:dyDescent="0.3">
      <c r="A231" s="5">
        <f t="shared" si="52"/>
        <v>2.2299999999999964</v>
      </c>
      <c r="B231" s="5">
        <f t="shared" si="47"/>
        <v>166.19877395114824</v>
      </c>
      <c r="C231" s="6">
        <f t="shared" si="45"/>
        <v>6410.5241381157175</v>
      </c>
      <c r="D231" s="6">
        <f t="shared" si="53"/>
        <v>41094819.72536426</v>
      </c>
      <c r="E231" s="7">
        <f t="shared" si="54"/>
        <v>6248571.4285714282</v>
      </c>
      <c r="F231" s="7">
        <f t="shared" si="55"/>
        <v>124.97142857142855</v>
      </c>
      <c r="G231" s="7">
        <f t="shared" si="56"/>
        <v>34846248.296792835</v>
      </c>
      <c r="H231" s="6">
        <f t="shared" si="57"/>
        <v>5903.0710902709643</v>
      </c>
      <c r="I231" s="7">
        <f t="shared" si="58"/>
        <v>-4.0605525090458086</v>
      </c>
      <c r="J231" s="7">
        <f t="shared" si="59"/>
        <v>-98.531283263267937</v>
      </c>
      <c r="K231" s="8">
        <f t="shared" si="48"/>
        <v>156.62131106319546</v>
      </c>
      <c r="L231" s="8">
        <f t="shared" si="49"/>
        <v>-6.5780950646542085</v>
      </c>
      <c r="M231" s="8">
        <f t="shared" si="46"/>
        <v>159.62067888649403</v>
      </c>
      <c r="N231" s="8">
        <f t="shared" si="50"/>
        <v>25.000000000000018</v>
      </c>
      <c r="O231" s="8">
        <f t="shared" si="51"/>
        <v>26.030269873324496</v>
      </c>
    </row>
    <row r="232" spans="1:15" x14ac:dyDescent="0.3">
      <c r="A232" s="5">
        <f t="shared" si="52"/>
        <v>2.2399999999999962</v>
      </c>
      <c r="B232" s="5">
        <f t="shared" si="47"/>
        <v>166.15816842605778</v>
      </c>
      <c r="C232" s="6">
        <f t="shared" si="45"/>
        <v>6408.9579250050856</v>
      </c>
      <c r="D232" s="6">
        <f t="shared" si="53"/>
        <v>41074741.684485495</v>
      </c>
      <c r="E232" s="7">
        <f t="shared" si="54"/>
        <v>6248571.4285714282</v>
      </c>
      <c r="F232" s="7">
        <f t="shared" si="55"/>
        <v>124.97142857142855</v>
      </c>
      <c r="G232" s="7">
        <f t="shared" si="56"/>
        <v>34826170.25591407</v>
      </c>
      <c r="H232" s="6">
        <f t="shared" si="57"/>
        <v>5901.370201564554</v>
      </c>
      <c r="I232" s="7">
        <f t="shared" si="58"/>
        <v>-4.0616301601322835</v>
      </c>
      <c r="J232" s="7">
        <f t="shared" si="59"/>
        <v>-98.505140473236722</v>
      </c>
      <c r="K232" s="8">
        <f t="shared" si="48"/>
        <v>156.66287760510235</v>
      </c>
      <c r="L232" s="8">
        <f t="shared" si="49"/>
        <v>-6.5798408594142979</v>
      </c>
      <c r="M232" s="8">
        <f t="shared" si="46"/>
        <v>159.57832756664348</v>
      </c>
      <c r="N232" s="8">
        <f t="shared" si="50"/>
        <v>25</v>
      </c>
      <c r="O232" s="8">
        <f t="shared" si="51"/>
        <v>26.030816803219473</v>
      </c>
    </row>
    <row r="233" spans="1:15" x14ac:dyDescent="0.3">
      <c r="A233" s="5">
        <f t="shared" si="52"/>
        <v>2.249999999999996</v>
      </c>
      <c r="B233" s="5">
        <f t="shared" si="47"/>
        <v>166.11755212445647</v>
      </c>
      <c r="C233" s="6">
        <f t="shared" si="45"/>
        <v>6407.3912962290351</v>
      </c>
      <c r="D233" s="6">
        <f t="shared" si="53"/>
        <v>41054663.222991593</v>
      </c>
      <c r="E233" s="7">
        <f t="shared" si="54"/>
        <v>6248571.4285714282</v>
      </c>
      <c r="F233" s="7">
        <f t="shared" si="55"/>
        <v>124.97142857142855</v>
      </c>
      <c r="G233" s="7">
        <f t="shared" si="56"/>
        <v>34806091.794420168</v>
      </c>
      <c r="H233" s="6">
        <f t="shared" si="57"/>
        <v>5899.6687868405097</v>
      </c>
      <c r="I233" s="7">
        <f t="shared" si="58"/>
        <v>-4.0627086942383155</v>
      </c>
      <c r="J233" s="7">
        <f t="shared" si="59"/>
        <v>-98.478990148018781</v>
      </c>
      <c r="K233" s="8">
        <f t="shared" si="48"/>
        <v>156.70447820633501</v>
      </c>
      <c r="L233" s="8">
        <f t="shared" si="49"/>
        <v>-6.5815880846660697</v>
      </c>
      <c r="M233" s="8">
        <f t="shared" si="46"/>
        <v>159.5359640397904</v>
      </c>
      <c r="N233" s="8">
        <f t="shared" si="50"/>
        <v>24.999999999999982</v>
      </c>
      <c r="O233" s="8">
        <f t="shared" si="51"/>
        <v>26.031364326576607</v>
      </c>
    </row>
    <row r="234" spans="1:15" x14ac:dyDescent="0.3">
      <c r="A234" s="5">
        <f t="shared" si="52"/>
        <v>2.2599999999999958</v>
      </c>
      <c r="B234" s="5">
        <f t="shared" si="47"/>
        <v>166.07692503751409</v>
      </c>
      <c r="C234" s="6">
        <f t="shared" si="45"/>
        <v>6405.8242514469712</v>
      </c>
      <c r="D234" s="6">
        <f t="shared" si="53"/>
        <v>41034584.340426147</v>
      </c>
      <c r="E234" s="7">
        <f t="shared" si="54"/>
        <v>6248571.4285714282</v>
      </c>
      <c r="F234" s="7">
        <f t="shared" si="55"/>
        <v>124.97142857142855</v>
      </c>
      <c r="G234" s="7">
        <f t="shared" si="56"/>
        <v>34786012.911854722</v>
      </c>
      <c r="H234" s="6">
        <f t="shared" si="57"/>
        <v>5897.9668456049094</v>
      </c>
      <c r="I234" s="7">
        <f t="shared" si="58"/>
        <v>-4.0637881125908013</v>
      </c>
      <c r="J234" s="7">
        <f t="shared" si="59"/>
        <v>-98.45283228093642</v>
      </c>
      <c r="K234" s="8">
        <f t="shared" si="48"/>
        <v>156.74611291421661</v>
      </c>
      <c r="L234" s="8">
        <f t="shared" si="49"/>
        <v>-6.5833367423970968</v>
      </c>
      <c r="M234" s="8">
        <f t="shared" si="46"/>
        <v>159.49358829511698</v>
      </c>
      <c r="N234" s="8">
        <f t="shared" si="50"/>
        <v>24.999999999999982</v>
      </c>
      <c r="O234" s="8">
        <f t="shared" si="51"/>
        <v>26.031912444376069</v>
      </c>
    </row>
    <row r="235" spans="1:15" x14ac:dyDescent="0.3">
      <c r="A235" s="5">
        <f t="shared" si="52"/>
        <v>2.2699999999999956</v>
      </c>
      <c r="B235" s="5">
        <f t="shared" si="47"/>
        <v>166.03628715638817</v>
      </c>
      <c r="C235" s="6">
        <f t="shared" si="45"/>
        <v>6404.2567903178287</v>
      </c>
      <c r="D235" s="6">
        <f t="shared" si="53"/>
        <v>41014505.036332019</v>
      </c>
      <c r="E235" s="7">
        <f t="shared" si="54"/>
        <v>6248571.4285714282</v>
      </c>
      <c r="F235" s="7">
        <f t="shared" si="55"/>
        <v>124.97142857142855</v>
      </c>
      <c r="G235" s="7">
        <f t="shared" si="56"/>
        <v>34765933.607760593</v>
      </c>
      <c r="H235" s="6">
        <f t="shared" si="57"/>
        <v>5896.2643773630598</v>
      </c>
      <c r="I235" s="7">
        <f t="shared" si="58"/>
        <v>-4.0648684164190483</v>
      </c>
      <c r="J235" s="7">
        <f t="shared" si="59"/>
        <v>-98.426666865302053</v>
      </c>
      <c r="K235" s="8">
        <f t="shared" si="48"/>
        <v>156.78778177616329</v>
      </c>
      <c r="L235" s="8">
        <f t="shared" si="49"/>
        <v>-6.5850868345988571</v>
      </c>
      <c r="M235" s="8">
        <f t="shared" si="46"/>
        <v>159.45120032178932</v>
      </c>
      <c r="N235" s="8">
        <f t="shared" si="50"/>
        <v>25</v>
      </c>
      <c r="O235" s="8">
        <f t="shared" si="51"/>
        <v>26.032461157600171</v>
      </c>
    </row>
    <row r="236" spans="1:15" x14ac:dyDescent="0.3">
      <c r="A236" s="5">
        <f t="shared" si="52"/>
        <v>2.2799999999999954</v>
      </c>
      <c r="B236" s="5">
        <f t="shared" si="47"/>
        <v>165.99563847222399</v>
      </c>
      <c r="C236" s="6">
        <f t="shared" si="45"/>
        <v>6402.688912500068</v>
      </c>
      <c r="D236" s="6">
        <f t="shared" si="53"/>
        <v>40994425.310251303</v>
      </c>
      <c r="E236" s="7">
        <f t="shared" si="54"/>
        <v>6248571.4285714282</v>
      </c>
      <c r="F236" s="7">
        <f t="shared" si="55"/>
        <v>124.97142857142855</v>
      </c>
      <c r="G236" s="7">
        <f t="shared" si="56"/>
        <v>34745853.881679878</v>
      </c>
      <c r="H236" s="6">
        <f t="shared" si="57"/>
        <v>5894.5613816194909</v>
      </c>
      <c r="I236" s="7">
        <f t="shared" si="58"/>
        <v>-4.0659496069547787</v>
      </c>
      <c r="J236" s="7">
        <f t="shared" si="59"/>
        <v>-98.400493894418076</v>
      </c>
      <c r="K236" s="8">
        <f t="shared" si="48"/>
        <v>156.82948483968431</v>
      </c>
      <c r="L236" s="8">
        <f t="shared" si="49"/>
        <v>-6.5868383632667404</v>
      </c>
      <c r="M236" s="8">
        <f t="shared" si="46"/>
        <v>159.40880010895725</v>
      </c>
      <c r="N236" s="8">
        <f t="shared" si="50"/>
        <v>24.999999999999979</v>
      </c>
      <c r="O236" s="8">
        <f t="shared" si="51"/>
        <v>26.033010467233368</v>
      </c>
    </row>
    <row r="237" spans="1:15" x14ac:dyDescent="0.3">
      <c r="A237" s="5">
        <f t="shared" si="52"/>
        <v>2.2899999999999952</v>
      </c>
      <c r="B237" s="5">
        <f t="shared" si="47"/>
        <v>165.95497897615445</v>
      </c>
      <c r="C237" s="6">
        <f t="shared" si="45"/>
        <v>6401.1206176516716</v>
      </c>
      <c r="D237" s="6">
        <f t="shared" si="53"/>
        <v>40974345.16172532</v>
      </c>
      <c r="E237" s="7">
        <f t="shared" si="54"/>
        <v>6248571.4285714282</v>
      </c>
      <c r="F237" s="7">
        <f t="shared" si="55"/>
        <v>124.97142857142855</v>
      </c>
      <c r="G237" s="7">
        <f t="shared" si="56"/>
        <v>34725773.733153895</v>
      </c>
      <c r="H237" s="6">
        <f t="shared" si="57"/>
        <v>5892.8578578779498</v>
      </c>
      <c r="I237" s="7">
        <f t="shared" si="58"/>
        <v>-4.06703168543216</v>
      </c>
      <c r="J237" s="7">
        <f t="shared" si="59"/>
        <v>-98.374313361576768</v>
      </c>
      <c r="K237" s="8">
        <f t="shared" si="48"/>
        <v>156.8712221523833</v>
      </c>
      <c r="L237" s="8">
        <f t="shared" si="49"/>
        <v>-6.5885913304000976</v>
      </c>
      <c r="M237" s="8">
        <f t="shared" si="46"/>
        <v>159.36638764575434</v>
      </c>
      <c r="N237" s="8">
        <f t="shared" si="50"/>
        <v>24.999999999999964</v>
      </c>
      <c r="O237" s="8">
        <f t="shared" si="51"/>
        <v>26.033560374262422</v>
      </c>
    </row>
    <row r="238" spans="1:15" x14ac:dyDescent="0.3">
      <c r="A238" s="5">
        <f t="shared" si="52"/>
        <v>2.2999999999999949</v>
      </c>
      <c r="B238" s="5">
        <f t="shared" si="47"/>
        <v>165.91430865930013</v>
      </c>
      <c r="C238" s="6">
        <f t="shared" si="45"/>
        <v>6399.5519054301476</v>
      </c>
      <c r="D238" s="6">
        <f t="shared" si="53"/>
        <v>40954264.590294629</v>
      </c>
      <c r="E238" s="7">
        <f t="shared" si="54"/>
        <v>6248571.4285714282</v>
      </c>
      <c r="F238" s="7">
        <f t="shared" si="55"/>
        <v>124.97142857142855</v>
      </c>
      <c r="G238" s="7">
        <f t="shared" si="56"/>
        <v>34705693.161723204</v>
      </c>
      <c r="H238" s="6">
        <f t="shared" si="57"/>
        <v>5891.1538056414047</v>
      </c>
      <c r="I238" s="7">
        <f t="shared" si="58"/>
        <v>-4.0681146530877923</v>
      </c>
      <c r="J238" s="7">
        <f t="shared" si="59"/>
        <v>-98.348125260060456</v>
      </c>
      <c r="K238" s="8">
        <f t="shared" si="48"/>
        <v>156.91299376195769</v>
      </c>
      <c r="L238" s="8">
        <f t="shared" si="49"/>
        <v>-6.5903457380022221</v>
      </c>
      <c r="M238" s="8">
        <f t="shared" si="46"/>
        <v>159.32396292129792</v>
      </c>
      <c r="N238" s="8">
        <f t="shared" si="50"/>
        <v>25</v>
      </c>
      <c r="O238" s="8">
        <f t="shared" si="51"/>
        <v>26.034110879676284</v>
      </c>
    </row>
    <row r="239" spans="1:15" x14ac:dyDescent="0.3">
      <c r="A239" s="5">
        <f t="shared" si="52"/>
        <v>2.3099999999999947</v>
      </c>
      <c r="B239" s="5">
        <f t="shared" si="47"/>
        <v>165.87362751276925</v>
      </c>
      <c r="C239" s="6">
        <f t="shared" si="45"/>
        <v>6397.9827754925282</v>
      </c>
      <c r="D239" s="6">
        <f t="shared" si="53"/>
        <v>40934183.595499076</v>
      </c>
      <c r="E239" s="7">
        <f t="shared" si="54"/>
        <v>6248571.4285714282</v>
      </c>
      <c r="F239" s="7">
        <f t="shared" si="55"/>
        <v>124.97142857142855</v>
      </c>
      <c r="G239" s="7">
        <f t="shared" si="56"/>
        <v>34685612.166927651</v>
      </c>
      <c r="H239" s="6">
        <f t="shared" si="57"/>
        <v>5889.4492244120456</v>
      </c>
      <c r="I239" s="7">
        <f t="shared" si="58"/>
        <v>-4.0691985111606979</v>
      </c>
      <c r="J239" s="7">
        <f t="shared" si="59"/>
        <v>-98.321929583141326</v>
      </c>
      <c r="K239" s="8">
        <f t="shared" si="48"/>
        <v>156.95479971619835</v>
      </c>
      <c r="L239" s="8">
        <f t="shared" si="49"/>
        <v>-6.5921015880803298</v>
      </c>
      <c r="M239" s="8">
        <f t="shared" si="46"/>
        <v>159.28152592468891</v>
      </c>
      <c r="N239" s="8">
        <f t="shared" si="50"/>
        <v>25.000000000000004</v>
      </c>
      <c r="O239" s="8">
        <f t="shared" si="51"/>
        <v>26.034661984465988</v>
      </c>
    </row>
    <row r="240" spans="1:15" x14ac:dyDescent="0.3">
      <c r="A240" s="5">
        <f t="shared" si="52"/>
        <v>2.3199999999999945</v>
      </c>
      <c r="B240" s="5">
        <f t="shared" si="47"/>
        <v>165.83293552765764</v>
      </c>
      <c r="C240" s="6">
        <f t="shared" si="45"/>
        <v>6396.4132274953654</v>
      </c>
      <c r="D240" s="6">
        <f t="shared" si="53"/>
        <v>40914102.176877677</v>
      </c>
      <c r="E240" s="7">
        <f t="shared" si="54"/>
        <v>6248571.4285714282</v>
      </c>
      <c r="F240" s="7">
        <f t="shared" si="55"/>
        <v>124.97142857142855</v>
      </c>
      <c r="G240" s="7">
        <f t="shared" si="56"/>
        <v>34665530.748306252</v>
      </c>
      <c r="H240" s="6">
        <f t="shared" si="57"/>
        <v>5887.7441136912748</v>
      </c>
      <c r="I240" s="7">
        <f t="shared" si="58"/>
        <v>-4.0702832608923574</v>
      </c>
      <c r="J240" s="7">
        <f t="shared" si="59"/>
        <v>-98.295726324081514</v>
      </c>
      <c r="K240" s="8">
        <f t="shared" si="48"/>
        <v>156.99664006299091</v>
      </c>
      <c r="L240" s="8">
        <f t="shared" si="49"/>
        <v>-6.593858882645617</v>
      </c>
      <c r="M240" s="8">
        <f t="shared" si="46"/>
        <v>159.23907664501203</v>
      </c>
      <c r="N240" s="8">
        <f t="shared" si="50"/>
        <v>24.999999999999975</v>
      </c>
      <c r="O240" s="8">
        <f t="shared" si="51"/>
        <v>26.035213689624843</v>
      </c>
    </row>
    <row r="241" spans="1:15" x14ac:dyDescent="0.3">
      <c r="A241" s="5">
        <f t="shared" si="52"/>
        <v>2.3299999999999943</v>
      </c>
      <c r="B241" s="5">
        <f t="shared" si="47"/>
        <v>165.79223269504871</v>
      </c>
      <c r="C241" s="6">
        <f t="shared" si="45"/>
        <v>6394.8432610947357</v>
      </c>
      <c r="D241" s="6">
        <f t="shared" si="53"/>
        <v>40894020.333968751</v>
      </c>
      <c r="E241" s="7">
        <f t="shared" si="54"/>
        <v>6248571.4285714282</v>
      </c>
      <c r="F241" s="7">
        <f t="shared" si="55"/>
        <v>124.97142857142855</v>
      </c>
      <c r="G241" s="7">
        <f t="shared" si="56"/>
        <v>34645448.905397326</v>
      </c>
      <c r="H241" s="6">
        <f t="shared" si="57"/>
        <v>5886.0384729797106</v>
      </c>
      <c r="I241" s="7">
        <f t="shared" si="58"/>
        <v>-4.0713689035267215</v>
      </c>
      <c r="J241" s="7">
        <f t="shared" si="59"/>
        <v>-98.269515476132995</v>
      </c>
      <c r="K241" s="8">
        <f t="shared" si="48"/>
        <v>157.0385148503164</v>
      </c>
      <c r="L241" s="8">
        <f t="shared" si="49"/>
        <v>-6.595617623713288</v>
      </c>
      <c r="M241" s="8">
        <f t="shared" si="46"/>
        <v>159.19661507133543</v>
      </c>
      <c r="N241" s="8">
        <f t="shared" si="50"/>
        <v>25.000000000000014</v>
      </c>
      <c r="O241" s="8">
        <f t="shared" si="51"/>
        <v>26.03576599614852</v>
      </c>
    </row>
    <row r="242" spans="1:15" x14ac:dyDescent="0.3">
      <c r="A242" s="5">
        <f t="shared" si="52"/>
        <v>2.3399999999999941</v>
      </c>
      <c r="B242" s="5">
        <f t="shared" si="47"/>
        <v>165.75151900601344</v>
      </c>
      <c r="C242" s="6">
        <f t="shared" si="45"/>
        <v>6393.2728759462325</v>
      </c>
      <c r="D242" s="6">
        <f t="shared" si="53"/>
        <v>40873938.06630981</v>
      </c>
      <c r="E242" s="7">
        <f t="shared" si="54"/>
        <v>6248571.4285714282</v>
      </c>
      <c r="F242" s="7">
        <f t="shared" si="55"/>
        <v>124.97142857142855</v>
      </c>
      <c r="G242" s="7">
        <f t="shared" si="56"/>
        <v>34625366.637738384</v>
      </c>
      <c r="H242" s="6">
        <f t="shared" si="57"/>
        <v>5884.3323017771854</v>
      </c>
      <c r="I242" s="7">
        <f t="shared" si="58"/>
        <v>-4.0724554403101623</v>
      </c>
      <c r="J242" s="7">
        <f t="shared" si="59"/>
        <v>-98.243297032537654</v>
      </c>
      <c r="K242" s="8">
        <f t="shared" si="48"/>
        <v>157.08042412624911</v>
      </c>
      <c r="L242" s="8">
        <f t="shared" si="49"/>
        <v>-6.5973778133024616</v>
      </c>
      <c r="M242" s="8">
        <f t="shared" si="46"/>
        <v>159.15414119271097</v>
      </c>
      <c r="N242" s="8">
        <f t="shared" si="50"/>
        <v>24.999999999999975</v>
      </c>
      <c r="O242" s="8">
        <f t="shared" si="51"/>
        <v>26.03631890503463</v>
      </c>
    </row>
    <row r="243" spans="1:15" x14ac:dyDescent="0.3">
      <c r="A243" s="5">
        <f t="shared" si="52"/>
        <v>2.3499999999999939</v>
      </c>
      <c r="B243" s="5">
        <f t="shared" si="47"/>
        <v>165.71079445161033</v>
      </c>
      <c r="C243" s="6">
        <f t="shared" si="45"/>
        <v>6391.7020717049691</v>
      </c>
      <c r="D243" s="6">
        <f t="shared" si="53"/>
        <v>40853855.373437591</v>
      </c>
      <c r="E243" s="7">
        <f t="shared" si="54"/>
        <v>6248571.4285714282</v>
      </c>
      <c r="F243" s="7">
        <f t="shared" si="55"/>
        <v>124.97142857142855</v>
      </c>
      <c r="G243" s="7">
        <f t="shared" si="56"/>
        <v>34605283.944866166</v>
      </c>
      <c r="H243" s="6">
        <f t="shared" si="57"/>
        <v>5882.6255995827378</v>
      </c>
      <c r="I243" s="7">
        <f t="shared" si="58"/>
        <v>-4.0735428724915632</v>
      </c>
      <c r="J243" s="7">
        <f t="shared" si="59"/>
        <v>-98.217070986527162</v>
      </c>
      <c r="K243" s="8">
        <f t="shared" si="48"/>
        <v>157.12236793896028</v>
      </c>
      <c r="L243" s="8">
        <f t="shared" si="49"/>
        <v>-6.5991394534363312</v>
      </c>
      <c r="M243" s="8">
        <f t="shared" si="46"/>
        <v>159.111654998174</v>
      </c>
      <c r="N243" s="8">
        <f t="shared" si="50"/>
        <v>25.000000000000004</v>
      </c>
      <c r="O243" s="8">
        <f t="shared" si="51"/>
        <v>26.036872417283334</v>
      </c>
    </row>
    <row r="244" spans="1:15" x14ac:dyDescent="0.3">
      <c r="A244" s="5">
        <f t="shared" si="52"/>
        <v>2.3599999999999937</v>
      </c>
      <c r="B244" s="5">
        <f t="shared" si="47"/>
        <v>165.6700590228854</v>
      </c>
      <c r="C244" s="6">
        <f t="shared" si="45"/>
        <v>6390.1308480255793</v>
      </c>
      <c r="D244" s="6">
        <f t="shared" si="53"/>
        <v>40833772.25488811</v>
      </c>
      <c r="E244" s="7">
        <f t="shared" si="54"/>
        <v>6248571.4285714282</v>
      </c>
      <c r="F244" s="7">
        <f t="shared" si="55"/>
        <v>124.97142857142855</v>
      </c>
      <c r="G244" s="7">
        <f t="shared" si="56"/>
        <v>34585200.826316684</v>
      </c>
      <c r="H244" s="6">
        <f t="shared" si="57"/>
        <v>5880.9183658946231</v>
      </c>
      <c r="I244" s="7">
        <f t="shared" si="58"/>
        <v>-4.074631201322239</v>
      </c>
      <c r="J244" s="7">
        <f t="shared" si="59"/>
        <v>-98.190837331323095</v>
      </c>
      <c r="K244" s="8">
        <f t="shared" si="48"/>
        <v>157.16434633671491</v>
      </c>
      <c r="L244" s="8">
        <f t="shared" si="49"/>
        <v>-6.6009025461420254</v>
      </c>
      <c r="M244" s="8">
        <f t="shared" si="46"/>
        <v>159.06915647674336</v>
      </c>
      <c r="N244" s="8">
        <f t="shared" si="50"/>
        <v>24.999999999999993</v>
      </c>
      <c r="O244" s="8">
        <f t="shared" si="51"/>
        <v>26.037426533896763</v>
      </c>
    </row>
    <row r="245" spans="1:15" x14ac:dyDescent="0.3">
      <c r="A245" s="5">
        <f t="shared" si="52"/>
        <v>2.3699999999999934</v>
      </c>
      <c r="B245" s="5">
        <f t="shared" si="47"/>
        <v>165.62931271087217</v>
      </c>
      <c r="C245" s="6">
        <f t="shared" si="45"/>
        <v>6388.5592045622116</v>
      </c>
      <c r="D245" s="6">
        <f t="shared" si="53"/>
        <v>40813688.710196555</v>
      </c>
      <c r="E245" s="7">
        <f t="shared" si="54"/>
        <v>6248571.4285714282</v>
      </c>
      <c r="F245" s="7">
        <f t="shared" si="55"/>
        <v>124.97142857142855</v>
      </c>
      <c r="G245" s="7">
        <f t="shared" si="56"/>
        <v>34565117.281625129</v>
      </c>
      <c r="H245" s="6">
        <f t="shared" si="57"/>
        <v>5879.2106002102973</v>
      </c>
      <c r="I245" s="7">
        <f t="shared" si="58"/>
        <v>-4.0757204280560133</v>
      </c>
      <c r="J245" s="7">
        <f t="shared" si="59"/>
        <v>-98.164596060136702</v>
      </c>
      <c r="K245" s="8">
        <f t="shared" si="48"/>
        <v>157.2063593678748</v>
      </c>
      <c r="L245" s="8">
        <f t="shared" si="49"/>
        <v>-6.6026670934507408</v>
      </c>
      <c r="M245" s="8">
        <f t="shared" si="46"/>
        <v>159.02664561742142</v>
      </c>
      <c r="N245" s="8">
        <f t="shared" si="50"/>
        <v>25.000000000000025</v>
      </c>
      <c r="O245" s="8">
        <f t="shared" si="51"/>
        <v>26.037981255879483</v>
      </c>
    </row>
    <row r="246" spans="1:15" x14ac:dyDescent="0.3">
      <c r="A246" s="5">
        <f t="shared" si="52"/>
        <v>2.3799999999999932</v>
      </c>
      <c r="B246" s="5">
        <f t="shared" si="47"/>
        <v>165.5885555065916</v>
      </c>
      <c r="C246" s="6">
        <f t="shared" si="45"/>
        <v>6386.9871409685329</v>
      </c>
      <c r="D246" s="6">
        <f t="shared" si="53"/>
        <v>40793604.738897391</v>
      </c>
      <c r="E246" s="7">
        <f t="shared" si="54"/>
        <v>6248571.4285714282</v>
      </c>
      <c r="F246" s="7">
        <f t="shared" si="55"/>
        <v>124.97142857142855</v>
      </c>
      <c r="G246" s="7">
        <f t="shared" si="56"/>
        <v>34545033.310325965</v>
      </c>
      <c r="H246" s="6">
        <f t="shared" si="57"/>
        <v>5877.502302026428</v>
      </c>
      <c r="I246" s="7">
        <f t="shared" si="58"/>
        <v>-4.0768105539491719</v>
      </c>
      <c r="J246" s="7">
        <f t="shared" si="59"/>
        <v>-98.138347166169112</v>
      </c>
      <c r="K246" s="8">
        <f t="shared" si="48"/>
        <v>157.24840708089661</v>
      </c>
      <c r="L246" s="8">
        <f t="shared" si="49"/>
        <v>-6.6044330973976573</v>
      </c>
      <c r="M246" s="8">
        <f t="shared" si="46"/>
        <v>158.98412240919396</v>
      </c>
      <c r="N246" s="8">
        <f t="shared" si="50"/>
        <v>25.000000000000028</v>
      </c>
      <c r="O246" s="8">
        <f t="shared" si="51"/>
        <v>26.038536584238162</v>
      </c>
    </row>
    <row r="247" spans="1:15" x14ac:dyDescent="0.3">
      <c r="A247" s="5">
        <f t="shared" si="52"/>
        <v>2.389999999999993</v>
      </c>
      <c r="B247" s="5">
        <f t="shared" si="47"/>
        <v>165.54778740105212</v>
      </c>
      <c r="C247" s="6">
        <f t="shared" si="45"/>
        <v>6385.4146568977239</v>
      </c>
      <c r="D247" s="6">
        <f t="shared" si="53"/>
        <v>40773520.340524279</v>
      </c>
      <c r="E247" s="7">
        <f t="shared" si="54"/>
        <v>6248571.4285714282</v>
      </c>
      <c r="F247" s="7">
        <f t="shared" si="55"/>
        <v>124.97142857142855</v>
      </c>
      <c r="G247" s="7">
        <f t="shared" si="56"/>
        <v>34524948.911952853</v>
      </c>
      <c r="H247" s="6">
        <f t="shared" si="57"/>
        <v>5875.7934708388839</v>
      </c>
      <c r="I247" s="7">
        <f t="shared" si="58"/>
        <v>-4.0779015802604954</v>
      </c>
      <c r="J247" s="7">
        <f t="shared" si="59"/>
        <v>-98.112090642611207</v>
      </c>
      <c r="K247" s="8">
        <f t="shared" si="48"/>
        <v>157.2904895243334</v>
      </c>
      <c r="L247" s="8">
        <f t="shared" si="49"/>
        <v>-6.6062005600220015</v>
      </c>
      <c r="M247" s="8">
        <f t="shared" si="46"/>
        <v>158.94158684103013</v>
      </c>
      <c r="N247" s="8">
        <f t="shared" si="50"/>
        <v>24.999999999999975</v>
      </c>
      <c r="O247" s="8">
        <f t="shared" si="51"/>
        <v>26.039092519981761</v>
      </c>
    </row>
    <row r="248" spans="1:15" x14ac:dyDescent="0.3">
      <c r="A248" s="5">
        <f t="shared" si="52"/>
        <v>2.3999999999999928</v>
      </c>
      <c r="B248" s="5">
        <f t="shared" si="47"/>
        <v>165.50700838524952</v>
      </c>
      <c r="C248" s="6">
        <f t="shared" si="45"/>
        <v>6383.8417520024814</v>
      </c>
      <c r="D248" s="6">
        <f t="shared" si="53"/>
        <v>40753435.514610112</v>
      </c>
      <c r="E248" s="7">
        <f t="shared" si="54"/>
        <v>6248571.4285714282</v>
      </c>
      <c r="F248" s="7">
        <f t="shared" si="55"/>
        <v>124.97142857142855</v>
      </c>
      <c r="G248" s="7">
        <f t="shared" si="56"/>
        <v>34504864.086038686</v>
      </c>
      <c r="H248" s="6">
        <f t="shared" si="57"/>
        <v>5874.0841061427345</v>
      </c>
      <c r="I248" s="7">
        <f t="shared" si="58"/>
        <v>-4.0789935082512905</v>
      </c>
      <c r="J248" s="7">
        <f t="shared" si="59"/>
        <v>-98.085826482643498</v>
      </c>
      <c r="K248" s="8">
        <f t="shared" si="48"/>
        <v>157.33260674683549</v>
      </c>
      <c r="L248" s="8">
        <f t="shared" si="49"/>
        <v>-6.6079694833670901</v>
      </c>
      <c r="M248" s="8">
        <f t="shared" si="46"/>
        <v>158.89903890188242</v>
      </c>
      <c r="N248" s="8">
        <f t="shared" si="50"/>
        <v>24.999999999999982</v>
      </c>
      <c r="O248" s="8">
        <f t="shared" si="51"/>
        <v>26.039649064121665</v>
      </c>
    </row>
    <row r="249" spans="1:15" x14ac:dyDescent="0.3">
      <c r="A249" s="5">
        <f t="shared" si="52"/>
        <v>2.4099999999999926</v>
      </c>
      <c r="B249" s="5">
        <f t="shared" si="47"/>
        <v>165.46621845016702</v>
      </c>
      <c r="C249" s="6">
        <f t="shared" si="45"/>
        <v>6382.2684259350135</v>
      </c>
      <c r="D249" s="6">
        <f t="shared" si="53"/>
        <v>40733350.260686994</v>
      </c>
      <c r="E249" s="7">
        <f t="shared" si="54"/>
        <v>6248571.4285714282</v>
      </c>
      <c r="F249" s="7">
        <f t="shared" si="55"/>
        <v>124.97142857142855</v>
      </c>
      <c r="G249" s="7">
        <f t="shared" si="56"/>
        <v>34484778.832115568</v>
      </c>
      <c r="H249" s="6">
        <f t="shared" si="57"/>
        <v>5872.3742074322518</v>
      </c>
      <c r="I249" s="7">
        <f t="shared" si="58"/>
        <v>-4.0800863391853373</v>
      </c>
      <c r="J249" s="7">
        <f t="shared" si="59"/>
        <v>-98.059554679436289</v>
      </c>
      <c r="K249" s="8">
        <f t="shared" si="48"/>
        <v>157.3747587971487</v>
      </c>
      <c r="L249" s="8">
        <f t="shared" si="49"/>
        <v>-6.6097398694802445</v>
      </c>
      <c r="M249" s="8">
        <f t="shared" si="46"/>
        <v>158.85647858068677</v>
      </c>
      <c r="N249" s="8">
        <f t="shared" si="50"/>
        <v>25</v>
      </c>
      <c r="O249" s="8">
        <f t="shared" si="51"/>
        <v>26.040206217671351</v>
      </c>
    </row>
    <row r="250" spans="1:15" x14ac:dyDescent="0.3">
      <c r="A250" s="5">
        <f t="shared" si="52"/>
        <v>2.4199999999999924</v>
      </c>
      <c r="B250" s="5">
        <f t="shared" si="47"/>
        <v>165.42541758677515</v>
      </c>
      <c r="C250" s="6">
        <f t="shared" si="45"/>
        <v>6380.6946783470412</v>
      </c>
      <c r="D250" s="6">
        <f t="shared" si="53"/>
        <v>40713264.578286253</v>
      </c>
      <c r="E250" s="7">
        <f t="shared" si="54"/>
        <v>6248571.4285714282</v>
      </c>
      <c r="F250" s="7">
        <f t="shared" si="55"/>
        <v>124.97142857142855</v>
      </c>
      <c r="G250" s="7">
        <f t="shared" si="56"/>
        <v>34464693.149714828</v>
      </c>
      <c r="H250" s="6">
        <f t="shared" si="57"/>
        <v>5870.6637742009061</v>
      </c>
      <c r="I250" s="7">
        <f t="shared" si="58"/>
        <v>-4.0811800743289277</v>
      </c>
      <c r="J250" s="7">
        <f t="shared" si="59"/>
        <v>-98.03327522614957</v>
      </c>
      <c r="K250" s="8">
        <f t="shared" si="48"/>
        <v>157.41694572411578</v>
      </c>
      <c r="L250" s="8">
        <f t="shared" si="49"/>
        <v>-6.6115117204128619</v>
      </c>
      <c r="M250" s="8">
        <f t="shared" si="46"/>
        <v>158.81390586636229</v>
      </c>
      <c r="N250" s="8">
        <f t="shared" si="50"/>
        <v>24.999999999999986</v>
      </c>
      <c r="O250" s="8">
        <f t="shared" si="51"/>
        <v>26.04076398164657</v>
      </c>
    </row>
    <row r="251" spans="1:15" x14ac:dyDescent="0.3">
      <c r="A251" s="5">
        <f t="shared" si="52"/>
        <v>2.4299999999999922</v>
      </c>
      <c r="B251" s="5">
        <f t="shared" si="47"/>
        <v>165.38460578603187</v>
      </c>
      <c r="C251" s="6">
        <f t="shared" si="45"/>
        <v>6379.1205088898005</v>
      </c>
      <c r="D251" s="6">
        <f t="shared" si="53"/>
        <v>40693178.466938466</v>
      </c>
      <c r="E251" s="7">
        <f t="shared" si="54"/>
        <v>6248571.4285714282</v>
      </c>
      <c r="F251" s="7">
        <f t="shared" si="55"/>
        <v>124.97142857142855</v>
      </c>
      <c r="G251" s="7">
        <f t="shared" si="56"/>
        <v>34444607.03836704</v>
      </c>
      <c r="H251" s="6">
        <f t="shared" si="57"/>
        <v>5868.9528059413669</v>
      </c>
      <c r="I251" s="7">
        <f t="shared" si="58"/>
        <v>-4.0822747149508869</v>
      </c>
      <c r="J251" s="7">
        <f t="shared" si="59"/>
        <v>-98.006988115932998</v>
      </c>
      <c r="K251" s="8">
        <f t="shared" si="48"/>
        <v>157.45916757667706</v>
      </c>
      <c r="L251" s="8">
        <f t="shared" si="49"/>
        <v>-6.613285038220436</v>
      </c>
      <c r="M251" s="8">
        <f t="shared" si="46"/>
        <v>158.77132074781144</v>
      </c>
      <c r="N251" s="8">
        <f t="shared" si="50"/>
        <v>24.999999999999986</v>
      </c>
      <c r="O251" s="8">
        <f t="shared" si="51"/>
        <v>26.041322357065468</v>
      </c>
    </row>
    <row r="252" spans="1:15" x14ac:dyDescent="0.3">
      <c r="A252" s="5">
        <f t="shared" si="52"/>
        <v>2.439999999999992</v>
      </c>
      <c r="B252" s="5">
        <f t="shared" si="47"/>
        <v>165.34378303888235</v>
      </c>
      <c r="C252" s="6">
        <f t="shared" si="45"/>
        <v>6377.5459172140336</v>
      </c>
      <c r="D252" s="6">
        <f t="shared" si="53"/>
        <v>40673091.926173389</v>
      </c>
      <c r="E252" s="7">
        <f t="shared" si="54"/>
        <v>6248571.4285714282</v>
      </c>
      <c r="F252" s="7">
        <f t="shared" si="55"/>
        <v>124.97142857142855</v>
      </c>
      <c r="G252" s="7">
        <f t="shared" si="56"/>
        <v>34424520.497601964</v>
      </c>
      <c r="H252" s="6">
        <f t="shared" si="57"/>
        <v>5867.241302145495</v>
      </c>
      <c r="I252" s="7">
        <f t="shared" si="58"/>
        <v>-4.0833702623225552</v>
      </c>
      <c r="J252" s="7">
        <f t="shared" si="59"/>
        <v>-97.980693341925829</v>
      </c>
      <c r="K252" s="8">
        <f t="shared" si="48"/>
        <v>157.50142440386998</v>
      </c>
      <c r="L252" s="8">
        <f t="shared" si="49"/>
        <v>-6.6150598249625379</v>
      </c>
      <c r="M252" s="8">
        <f t="shared" si="46"/>
        <v>158.72872321391981</v>
      </c>
      <c r="N252" s="8">
        <f t="shared" si="50"/>
        <v>24.999999999999993</v>
      </c>
      <c r="O252" s="8">
        <f t="shared" si="51"/>
        <v>26.041881344948408</v>
      </c>
    </row>
    <row r="253" spans="1:15" x14ac:dyDescent="0.3">
      <c r="A253" s="5">
        <f t="shared" si="52"/>
        <v>2.4499999999999917</v>
      </c>
      <c r="B253" s="5">
        <f t="shared" si="47"/>
        <v>165.30294933625913</v>
      </c>
      <c r="C253" s="6">
        <f t="shared" si="45"/>
        <v>6375.9709029699952</v>
      </c>
      <c r="D253" s="6">
        <f t="shared" si="53"/>
        <v>40653004.955520019</v>
      </c>
      <c r="E253" s="7">
        <f t="shared" si="54"/>
        <v>6248571.4285714282</v>
      </c>
      <c r="F253" s="7">
        <f t="shared" si="55"/>
        <v>124.97142857142855</v>
      </c>
      <c r="G253" s="7">
        <f t="shared" si="56"/>
        <v>34404433.526948594</v>
      </c>
      <c r="H253" s="6">
        <f t="shared" si="57"/>
        <v>5865.5292623043488</v>
      </c>
      <c r="I253" s="7">
        <f t="shared" si="58"/>
        <v>-4.0844667177177936</v>
      </c>
      <c r="J253" s="7">
        <f t="shared" si="59"/>
        <v>-97.954390897257014</v>
      </c>
      <c r="K253" s="8">
        <f t="shared" si="48"/>
        <v>157.54371625482918</v>
      </c>
      <c r="L253" s="8">
        <f t="shared" si="49"/>
        <v>-6.6168360827028252</v>
      </c>
      <c r="M253" s="8">
        <f t="shared" si="46"/>
        <v>158.6861132535563</v>
      </c>
      <c r="N253" s="8">
        <f t="shared" si="50"/>
        <v>24.999999999999961</v>
      </c>
      <c r="O253" s="8">
        <f t="shared" si="51"/>
        <v>26.042440946318013</v>
      </c>
    </row>
    <row r="254" spans="1:15" x14ac:dyDescent="0.3">
      <c r="A254" s="5">
        <f t="shared" si="52"/>
        <v>2.4599999999999915</v>
      </c>
      <c r="B254" s="5">
        <f t="shared" si="47"/>
        <v>165.26210466908196</v>
      </c>
      <c r="C254" s="6">
        <f t="shared" si="45"/>
        <v>6374.3954658074472</v>
      </c>
      <c r="D254" s="6">
        <f t="shared" si="53"/>
        <v>40632917.55450654</v>
      </c>
      <c r="E254" s="7">
        <f t="shared" si="54"/>
        <v>6248571.4285714282</v>
      </c>
      <c r="F254" s="7">
        <f t="shared" si="55"/>
        <v>124.97142857142855</v>
      </c>
      <c r="G254" s="7">
        <f t="shared" si="56"/>
        <v>34384346.125935115</v>
      </c>
      <c r="H254" s="6">
        <f t="shared" si="57"/>
        <v>5863.8166859081739</v>
      </c>
      <c r="I254" s="7">
        <f t="shared" si="58"/>
        <v>-4.0855640824130246</v>
      </c>
      <c r="J254" s="7">
        <f t="shared" si="59"/>
        <v>-97.928080775045004</v>
      </c>
      <c r="K254" s="8">
        <f t="shared" si="48"/>
        <v>157.58604317878809</v>
      </c>
      <c r="L254" s="8">
        <f t="shared" si="49"/>
        <v>-6.6186138135090991</v>
      </c>
      <c r="M254" s="8">
        <f t="shared" si="46"/>
        <v>158.64349085557288</v>
      </c>
      <c r="N254" s="8">
        <f t="shared" si="50"/>
        <v>24.999999999999982</v>
      </c>
      <c r="O254" s="8">
        <f t="shared" si="51"/>
        <v>26.043001162199346</v>
      </c>
    </row>
    <row r="255" spans="1:15" x14ac:dyDescent="0.3">
      <c r="A255" s="5">
        <f t="shared" si="52"/>
        <v>2.4699999999999913</v>
      </c>
      <c r="B255" s="5">
        <f t="shared" si="47"/>
        <v>165.22124902825783</v>
      </c>
      <c r="C255" s="6">
        <f t="shared" si="45"/>
        <v>6372.8196053756592</v>
      </c>
      <c r="D255" s="6">
        <f t="shared" si="53"/>
        <v>40612829.72266037</v>
      </c>
      <c r="E255" s="7">
        <f t="shared" si="54"/>
        <v>6248571.4285714282</v>
      </c>
      <c r="F255" s="7">
        <f t="shared" si="55"/>
        <v>124.97142857142855</v>
      </c>
      <c r="G255" s="7">
        <f t="shared" si="56"/>
        <v>34364258.294088945</v>
      </c>
      <c r="H255" s="6">
        <f t="shared" si="57"/>
        <v>5862.1035724464082</v>
      </c>
      <c r="I255" s="7">
        <f t="shared" si="58"/>
        <v>-4.086662357687195</v>
      </c>
      <c r="J255" s="7">
        <f t="shared" si="59"/>
        <v>-97.901762968397904</v>
      </c>
      <c r="K255" s="8">
        <f t="shared" si="48"/>
        <v>157.6284052250775</v>
      </c>
      <c r="L255" s="8">
        <f t="shared" si="49"/>
        <v>-6.6203930194532541</v>
      </c>
      <c r="M255" s="8">
        <f t="shared" si="46"/>
        <v>158.60085600880458</v>
      </c>
      <c r="N255" s="8">
        <f t="shared" si="50"/>
        <v>25.000000000000018</v>
      </c>
      <c r="O255" s="8">
        <f t="shared" si="51"/>
        <v>26.043561993619669</v>
      </c>
    </row>
    <row r="256" spans="1:15" x14ac:dyDescent="0.3">
      <c r="A256" s="5">
        <f t="shared" si="52"/>
        <v>2.4799999999999911</v>
      </c>
      <c r="B256" s="5">
        <f t="shared" si="47"/>
        <v>165.18038240468096</v>
      </c>
      <c r="C256" s="6">
        <f t="shared" si="45"/>
        <v>6371.2433213234081</v>
      </c>
      <c r="D256" s="6">
        <f t="shared" si="53"/>
        <v>40592741.459508128</v>
      </c>
      <c r="E256" s="7">
        <f t="shared" si="54"/>
        <v>6248571.4285714282</v>
      </c>
      <c r="F256" s="7">
        <f t="shared" si="55"/>
        <v>124.97142857142855</v>
      </c>
      <c r="G256" s="7">
        <f t="shared" si="56"/>
        <v>34344170.030936703</v>
      </c>
      <c r="H256" s="6">
        <f t="shared" si="57"/>
        <v>5860.3899214076791</v>
      </c>
      <c r="I256" s="7">
        <f t="shared" si="58"/>
        <v>-4.0877615448217917</v>
      </c>
      <c r="J256" s="7">
        <f t="shared" si="59"/>
        <v>-97.875437470413388</v>
      </c>
      <c r="K256" s="8">
        <f t="shared" si="48"/>
        <v>157.67080244312623</v>
      </c>
      <c r="L256" s="8">
        <f t="shared" si="49"/>
        <v>-6.6221737026113008</v>
      </c>
      <c r="M256" s="8">
        <f t="shared" si="46"/>
        <v>158.55820870206966</v>
      </c>
      <c r="N256" s="8">
        <f t="shared" si="50"/>
        <v>25.000000000000004</v>
      </c>
      <c r="O256" s="8">
        <f t="shared" si="51"/>
        <v>26.044123441608495</v>
      </c>
    </row>
    <row r="257" spans="1:15" x14ac:dyDescent="0.3">
      <c r="A257" s="5">
        <f t="shared" si="52"/>
        <v>2.4899999999999909</v>
      </c>
      <c r="B257" s="5">
        <f t="shared" si="47"/>
        <v>165.13950478923275</v>
      </c>
      <c r="C257" s="6">
        <f t="shared" si="45"/>
        <v>6369.6666132989767</v>
      </c>
      <c r="D257" s="6">
        <f t="shared" si="53"/>
        <v>40572652.764575653</v>
      </c>
      <c r="E257" s="7">
        <f t="shared" si="54"/>
        <v>6248571.4285714282</v>
      </c>
      <c r="F257" s="7">
        <f t="shared" si="55"/>
        <v>124.97142857142855</v>
      </c>
      <c r="G257" s="7">
        <f t="shared" si="56"/>
        <v>34324081.336004227</v>
      </c>
      <c r="H257" s="6">
        <f t="shared" si="57"/>
        <v>5858.6757322797976</v>
      </c>
      <c r="I257" s="7">
        <f t="shared" si="58"/>
        <v>-4.0888616451008852</v>
      </c>
      <c r="J257" s="7">
        <f t="shared" si="59"/>
        <v>-97.8491042741786</v>
      </c>
      <c r="K257" s="8">
        <f t="shared" si="48"/>
        <v>157.7132348824627</v>
      </c>
      <c r="L257" s="8">
        <f t="shared" si="49"/>
        <v>-6.6239558650634329</v>
      </c>
      <c r="M257" s="8">
        <f t="shared" si="46"/>
        <v>158.51554892416931</v>
      </c>
      <c r="N257" s="8">
        <f t="shared" si="50"/>
        <v>25.000000000000021</v>
      </c>
      <c r="O257" s="8">
        <f t="shared" si="51"/>
        <v>26.04468550719784</v>
      </c>
    </row>
    <row r="258" spans="1:15" x14ac:dyDescent="0.3">
      <c r="A258" s="5">
        <f t="shared" si="52"/>
        <v>2.4999999999999907</v>
      </c>
      <c r="B258" s="5">
        <f t="shared" si="47"/>
        <v>165.09861617278173</v>
      </c>
      <c r="C258" s="6">
        <f t="shared" si="45"/>
        <v>6368.0894809501524</v>
      </c>
      <c r="D258" s="6">
        <f t="shared" si="53"/>
        <v>40552563.637387984</v>
      </c>
      <c r="E258" s="7">
        <f t="shared" si="54"/>
        <v>6248571.4285714282</v>
      </c>
      <c r="F258" s="7">
        <f t="shared" si="55"/>
        <v>124.97142857142855</v>
      </c>
      <c r="G258" s="7">
        <f t="shared" si="56"/>
        <v>34303992.208816558</v>
      </c>
      <c r="H258" s="6">
        <f t="shared" si="57"/>
        <v>5856.961004549762</v>
      </c>
      <c r="I258" s="7">
        <f t="shared" si="58"/>
        <v>-4.0899626598110803</v>
      </c>
      <c r="J258" s="7">
        <f t="shared" si="59"/>
        <v>-97.822763372770254</v>
      </c>
      <c r="K258" s="8">
        <f t="shared" si="48"/>
        <v>157.75570259271308</v>
      </c>
      <c r="L258" s="8">
        <f t="shared" si="49"/>
        <v>-6.6257395088939486</v>
      </c>
      <c r="M258" s="8">
        <f t="shared" si="46"/>
        <v>158.47287666388777</v>
      </c>
      <c r="N258" s="8">
        <f t="shared" si="50"/>
        <v>24.999999999999982</v>
      </c>
      <c r="O258" s="8">
        <f t="shared" si="51"/>
        <v>26.045248191421845</v>
      </c>
    </row>
    <row r="259" spans="1:15" x14ac:dyDescent="0.3">
      <c r="A259" s="5">
        <f t="shared" si="52"/>
        <v>2.5099999999999905</v>
      </c>
      <c r="B259" s="5">
        <f t="shared" si="47"/>
        <v>165.05771654618363</v>
      </c>
      <c r="C259" s="6">
        <f t="shared" si="45"/>
        <v>6366.5119239242249</v>
      </c>
      <c r="D259" s="6">
        <f t="shared" si="53"/>
        <v>40532474.077469334</v>
      </c>
      <c r="E259" s="7">
        <f t="shared" si="54"/>
        <v>6248571.4285714282</v>
      </c>
      <c r="F259" s="7">
        <f t="shared" si="55"/>
        <v>124.97142857142855</v>
      </c>
      <c r="G259" s="7">
        <f t="shared" si="56"/>
        <v>34283902.648897909</v>
      </c>
      <c r="H259" s="6">
        <f t="shared" si="57"/>
        <v>5855.2457377037481</v>
      </c>
      <c r="I259" s="7">
        <f t="shared" si="58"/>
        <v>-4.0910645902415848</v>
      </c>
      <c r="J259" s="7">
        <f t="shared" si="59"/>
        <v>-97.796414759254489</v>
      </c>
      <c r="K259" s="8">
        <f t="shared" si="48"/>
        <v>157.79820562360396</v>
      </c>
      <c r="L259" s="8">
        <f t="shared" si="49"/>
        <v>-6.6275246361913656</v>
      </c>
      <c r="M259" s="8">
        <f t="shared" si="46"/>
        <v>158.43019190999226</v>
      </c>
      <c r="N259" s="8">
        <f t="shared" si="50"/>
        <v>24.999999999999996</v>
      </c>
      <c r="O259" s="8">
        <f t="shared" si="51"/>
        <v>26.045811495317224</v>
      </c>
    </row>
    <row r="260" spans="1:15" x14ac:dyDescent="0.3">
      <c r="A260" s="5">
        <f t="shared" si="52"/>
        <v>2.5199999999999902</v>
      </c>
      <c r="B260" s="5">
        <f t="shared" si="47"/>
        <v>165.01680590028121</v>
      </c>
      <c r="C260" s="6">
        <f t="shared" si="45"/>
        <v>6364.9339418679892</v>
      </c>
      <c r="D260" s="6">
        <f t="shared" si="53"/>
        <v>40512384.08434318</v>
      </c>
      <c r="E260" s="7">
        <f t="shared" si="54"/>
        <v>6248571.4285714282</v>
      </c>
      <c r="F260" s="7">
        <f t="shared" si="55"/>
        <v>124.97142857142855</v>
      </c>
      <c r="G260" s="7">
        <f t="shared" si="56"/>
        <v>34263812.655771755</v>
      </c>
      <c r="H260" s="6">
        <f t="shared" si="57"/>
        <v>5853.5299312271181</v>
      </c>
      <c r="I260" s="7">
        <f t="shared" si="58"/>
        <v>-4.0921674376841546</v>
      </c>
      <c r="J260" s="7">
        <f t="shared" si="59"/>
        <v>-97.770058426686987</v>
      </c>
      <c r="K260" s="8">
        <f t="shared" si="48"/>
        <v>157.84074402496023</v>
      </c>
      <c r="L260" s="8">
        <f t="shared" si="49"/>
        <v>-6.629311249048329</v>
      </c>
      <c r="M260" s="8">
        <f t="shared" si="46"/>
        <v>158.38749465123288</v>
      </c>
      <c r="N260" s="8">
        <f t="shared" si="50"/>
        <v>25.000000000000007</v>
      </c>
      <c r="O260" s="8">
        <f t="shared" si="51"/>
        <v>26.046375419922835</v>
      </c>
    </row>
    <row r="261" spans="1:15" x14ac:dyDescent="0.3">
      <c r="A261" s="5">
        <f t="shared" si="52"/>
        <v>2.52999999999999</v>
      </c>
      <c r="B261" s="5">
        <f t="shared" si="47"/>
        <v>164.97588422590437</v>
      </c>
      <c r="C261" s="6">
        <f t="shared" si="45"/>
        <v>6363.3555344277393</v>
      </c>
      <c r="D261" s="6">
        <f t="shared" si="53"/>
        <v>40492293.657532141</v>
      </c>
      <c r="E261" s="7">
        <f t="shared" si="54"/>
        <v>6248571.4285714282</v>
      </c>
      <c r="F261" s="7">
        <f t="shared" si="55"/>
        <v>124.97142857142855</v>
      </c>
      <c r="G261" s="7">
        <f t="shared" si="56"/>
        <v>34243722.228960715</v>
      </c>
      <c r="H261" s="6">
        <f t="shared" si="57"/>
        <v>5851.8135846044097</v>
      </c>
      <c r="I261" s="7">
        <f t="shared" si="58"/>
        <v>-4.0932712034331367</v>
      </c>
      <c r="J261" s="7">
        <f t="shared" si="59"/>
        <v>-97.743694368112784</v>
      </c>
      <c r="K261" s="8">
        <f t="shared" si="48"/>
        <v>157.88331784670669</v>
      </c>
      <c r="L261" s="8">
        <f t="shared" si="49"/>
        <v>-6.6310993495616799</v>
      </c>
      <c r="M261" s="8">
        <f t="shared" si="46"/>
        <v>158.34478487634269</v>
      </c>
      <c r="N261" s="8">
        <f t="shared" si="50"/>
        <v>25.000000000000007</v>
      </c>
      <c r="O261" s="8">
        <f t="shared" si="51"/>
        <v>26.046939966279943</v>
      </c>
    </row>
    <row r="262" spans="1:15" x14ac:dyDescent="0.3">
      <c r="A262" s="5">
        <f t="shared" si="52"/>
        <v>2.5399999999999898</v>
      </c>
      <c r="B262" s="5">
        <f t="shared" si="47"/>
        <v>164.93495151387003</v>
      </c>
      <c r="C262" s="6">
        <f t="shared" si="45"/>
        <v>6361.7767012492723</v>
      </c>
      <c r="D262" s="6">
        <f t="shared" si="53"/>
        <v>40472202.796558075</v>
      </c>
      <c r="E262" s="7">
        <f t="shared" si="54"/>
        <v>6248571.4285714282</v>
      </c>
      <c r="F262" s="7">
        <f t="shared" si="55"/>
        <v>124.97142857142855</v>
      </c>
      <c r="G262" s="7">
        <f t="shared" si="56"/>
        <v>34223631.367986649</v>
      </c>
      <c r="H262" s="6">
        <f t="shared" si="57"/>
        <v>5850.0966973193399</v>
      </c>
      <c r="I262" s="7">
        <f t="shared" si="58"/>
        <v>-4.0943758887854678</v>
      </c>
      <c r="J262" s="7">
        <f t="shared" si="59"/>
        <v>-97.717322576566417</v>
      </c>
      <c r="K262" s="8">
        <f t="shared" si="48"/>
        <v>157.92592713886805</v>
      </c>
      <c r="L262" s="8">
        <f t="shared" si="49"/>
        <v>-6.6328889398324575</v>
      </c>
      <c r="M262" s="8">
        <f t="shared" si="46"/>
        <v>158.30206257403756</v>
      </c>
      <c r="N262" s="8">
        <f t="shared" si="50"/>
        <v>24.999999999999986</v>
      </c>
      <c r="O262" s="8">
        <f t="shared" si="51"/>
        <v>26.047505135432171</v>
      </c>
    </row>
    <row r="263" spans="1:15" x14ac:dyDescent="0.3">
      <c r="A263" s="5">
        <f t="shared" si="52"/>
        <v>2.5499999999999896</v>
      </c>
      <c r="B263" s="5">
        <f t="shared" si="47"/>
        <v>164.89400775498217</v>
      </c>
      <c r="C263" s="6">
        <f t="shared" si="45"/>
        <v>6360.1974419778835</v>
      </c>
      <c r="D263" s="6">
        <f t="shared" si="53"/>
        <v>40452111.500942014</v>
      </c>
      <c r="E263" s="7">
        <f t="shared" si="54"/>
        <v>6248571.4285714282</v>
      </c>
      <c r="F263" s="7">
        <f t="shared" si="55"/>
        <v>124.97142857142855</v>
      </c>
      <c r="G263" s="7">
        <f t="shared" si="56"/>
        <v>34203540.072370589</v>
      </c>
      <c r="H263" s="6">
        <f t="shared" si="57"/>
        <v>5848.3792688547983</v>
      </c>
      <c r="I263" s="7">
        <f t="shared" si="58"/>
        <v>-4.0954814950406915</v>
      </c>
      <c r="J263" s="7">
        <f t="shared" si="59"/>
        <v>-97.690943045071776</v>
      </c>
      <c r="K263" s="8">
        <f t="shared" si="48"/>
        <v>157.96857195156952</v>
      </c>
      <c r="L263" s="8">
        <f t="shared" si="49"/>
        <v>-6.6346800219659192</v>
      </c>
      <c r="M263" s="8">
        <f t="shared" si="46"/>
        <v>158.25932773301625</v>
      </c>
      <c r="N263" s="8">
        <f t="shared" si="50"/>
        <v>25</v>
      </c>
      <c r="O263" s="8">
        <f t="shared" si="51"/>
        <v>26.04807092842556</v>
      </c>
    </row>
    <row r="264" spans="1:15" x14ac:dyDescent="0.3">
      <c r="A264" s="5">
        <f t="shared" si="52"/>
        <v>2.5599999999999894</v>
      </c>
      <c r="B264" s="5">
        <f t="shared" si="47"/>
        <v>164.85305294003177</v>
      </c>
      <c r="C264" s="6">
        <f t="shared" ref="C264:C327" si="60">$B$1*B264</f>
        <v>6358.617756258368</v>
      </c>
      <c r="D264" s="6">
        <f t="shared" si="53"/>
        <v>40432019.770204201</v>
      </c>
      <c r="E264" s="7">
        <f t="shared" si="54"/>
        <v>6248571.4285714282</v>
      </c>
      <c r="F264" s="7">
        <f t="shared" si="55"/>
        <v>124.97142857142855</v>
      </c>
      <c r="G264" s="7">
        <f t="shared" si="56"/>
        <v>34183448.341632776</v>
      </c>
      <c r="H264" s="6">
        <f t="shared" si="57"/>
        <v>5846.6612986928512</v>
      </c>
      <c r="I264" s="7">
        <f t="shared" si="58"/>
        <v>-4.0965880235009351</v>
      </c>
      <c r="J264" s="7">
        <f t="shared" si="59"/>
        <v>-97.664555766642152</v>
      </c>
      <c r="K264" s="8">
        <f t="shared" si="48"/>
        <v>158.01125233503606</v>
      </c>
      <c r="L264" s="8">
        <f t="shared" si="49"/>
        <v>-6.6364725980715136</v>
      </c>
      <c r="M264" s="8">
        <f t="shared" ref="M264:M327" si="61">B264+L264</f>
        <v>158.21658034196025</v>
      </c>
      <c r="N264" s="8">
        <f t="shared" si="50"/>
        <v>24.999999999999989</v>
      </c>
      <c r="O264" s="8">
        <f t="shared" si="51"/>
        <v>26.048637346308421</v>
      </c>
    </row>
    <row r="265" spans="1:15" x14ac:dyDescent="0.3">
      <c r="A265" s="5">
        <f t="shared" si="52"/>
        <v>2.5699999999999892</v>
      </c>
      <c r="B265" s="5">
        <f t="shared" ref="B265:B328" si="62">I264*$B$5+B264</f>
        <v>164.81208705979677</v>
      </c>
      <c r="C265" s="6">
        <f t="shared" si="60"/>
        <v>6357.0376437350178</v>
      </c>
      <c r="D265" s="6">
        <f t="shared" si="53"/>
        <v>40411927.603864066</v>
      </c>
      <c r="E265" s="7">
        <f t="shared" si="54"/>
        <v>6248571.4285714282</v>
      </c>
      <c r="F265" s="7">
        <f t="shared" si="55"/>
        <v>124.97142857142855</v>
      </c>
      <c r="G265" s="7">
        <f t="shared" si="56"/>
        <v>34163356.175292641</v>
      </c>
      <c r="H265" s="6">
        <f t="shared" si="57"/>
        <v>5844.9427863147339</v>
      </c>
      <c r="I265" s="7">
        <f t="shared" si="58"/>
        <v>-4.0976954754709514</v>
      </c>
      <c r="J265" s="7">
        <f t="shared" si="59"/>
        <v>-97.638160734280163</v>
      </c>
      <c r="K265" s="8">
        <f t="shared" ref="K265:K328" si="63">-$B$1*I265</f>
        <v>158.05396833959384</v>
      </c>
      <c r="L265" s="8">
        <f t="shared" ref="L265:L328" si="64">-$B$2*K265</f>
        <v>-6.63826667026294</v>
      </c>
      <c r="M265" s="8">
        <f t="shared" si="61"/>
        <v>158.17382038953383</v>
      </c>
      <c r="N265" s="8">
        <f t="shared" ref="N265:N328" si="65">K265*M265/1000</f>
        <v>24.999999999999982</v>
      </c>
      <c r="O265" s="8">
        <f t="shared" ref="O265:O328" si="66">B265*K265/1000</f>
        <v>26.0492043901315</v>
      </c>
    </row>
    <row r="266" spans="1:15" x14ac:dyDescent="0.3">
      <c r="A266" s="5">
        <f t="shared" ref="A266:A329" si="67">A265+$B$5</f>
        <v>2.579999999999989</v>
      </c>
      <c r="B266" s="5">
        <f t="shared" si="62"/>
        <v>164.77111010504206</v>
      </c>
      <c r="C266" s="6">
        <f t="shared" si="60"/>
        <v>6355.4571040516221</v>
      </c>
      <c r="D266" s="6">
        <f t="shared" ref="D266:D329" si="68">POWER(C266,2)</f>
        <v>40391835.001440227</v>
      </c>
      <c r="E266" s="7">
        <f t="shared" ref="E266:E329" si="69">4*$B$2*$B$3*POWER($B$1,2)</f>
        <v>6248571.4285714282</v>
      </c>
      <c r="F266" s="7">
        <f t="shared" ref="F266:F329" si="70">POWER($B$1,2)*2*$B$2</f>
        <v>124.97142857142855</v>
      </c>
      <c r="G266" s="7">
        <f t="shared" ref="G266:G329" si="71">D266-E266</f>
        <v>34143263.572868802</v>
      </c>
      <c r="H266" s="6">
        <f t="shared" ref="H266:H329" si="72">SQRT(G266)</f>
        <v>5843.2237312008519</v>
      </c>
      <c r="I266" s="7">
        <f t="shared" ref="I266:I329" si="73">(-C266+H266)/F266</f>
        <v>-4.098803852258107</v>
      </c>
      <c r="J266" s="7">
        <f t="shared" ref="J266:J329" si="74">(-C266-H266)/F266</f>
        <v>-97.611757940977753</v>
      </c>
      <c r="K266" s="8">
        <f t="shared" si="63"/>
        <v>158.09672001566983</v>
      </c>
      <c r="L266" s="8">
        <f t="shared" si="64"/>
        <v>-6.640062240658132</v>
      </c>
      <c r="M266" s="8">
        <f t="shared" si="61"/>
        <v>158.13104786438393</v>
      </c>
      <c r="N266" s="8">
        <f t="shared" si="65"/>
        <v>24.999999999999993</v>
      </c>
      <c r="O266" s="8">
        <f t="shared" si="66"/>
        <v>26.049772060947941</v>
      </c>
    </row>
    <row r="267" spans="1:15" x14ac:dyDescent="0.3">
      <c r="A267" s="5">
        <f t="shared" si="67"/>
        <v>2.5899999999999888</v>
      </c>
      <c r="B267" s="5">
        <f t="shared" si="62"/>
        <v>164.73012206651947</v>
      </c>
      <c r="C267" s="6">
        <f t="shared" si="60"/>
        <v>6353.8761368514652</v>
      </c>
      <c r="D267" s="6">
        <f t="shared" si="68"/>
        <v>40371741.962450497</v>
      </c>
      <c r="E267" s="7">
        <f t="shared" si="69"/>
        <v>6248571.4285714282</v>
      </c>
      <c r="F267" s="7">
        <f t="shared" si="70"/>
        <v>124.97142857142855</v>
      </c>
      <c r="G267" s="7">
        <f t="shared" si="71"/>
        <v>34123170.533879071</v>
      </c>
      <c r="H267" s="6">
        <f t="shared" si="72"/>
        <v>5841.5041328307789</v>
      </c>
      <c r="I267" s="7">
        <f t="shared" si="73"/>
        <v>-4.0999131551723877</v>
      </c>
      <c r="J267" s="7">
        <f t="shared" si="74"/>
        <v>-97.585347379716197</v>
      </c>
      <c r="K267" s="8">
        <f t="shared" si="63"/>
        <v>158.1395074137921</v>
      </c>
      <c r="L267" s="8">
        <f t="shared" si="64"/>
        <v>-6.6418593113792674</v>
      </c>
      <c r="M267" s="8">
        <f t="shared" si="61"/>
        <v>158.08826275514019</v>
      </c>
      <c r="N267" s="8">
        <f t="shared" si="65"/>
        <v>25.000000000000007</v>
      </c>
      <c r="O267" s="8">
        <f t="shared" si="66"/>
        <v>26.050340359813234</v>
      </c>
    </row>
    <row r="268" spans="1:15" x14ac:dyDescent="0.3">
      <c r="A268" s="5">
        <f t="shared" si="67"/>
        <v>2.5999999999999885</v>
      </c>
      <c r="B268" s="5">
        <f t="shared" si="62"/>
        <v>164.68912293496774</v>
      </c>
      <c r="C268" s="6">
        <f t="shared" si="60"/>
        <v>6352.2947417773266</v>
      </c>
      <c r="D268" s="6">
        <f t="shared" si="68"/>
        <v>40351648.48641187</v>
      </c>
      <c r="E268" s="7">
        <f t="shared" si="69"/>
        <v>6248571.4285714282</v>
      </c>
      <c r="F268" s="7">
        <f t="shared" si="70"/>
        <v>124.97142857142855</v>
      </c>
      <c r="G268" s="7">
        <f t="shared" si="71"/>
        <v>34103077.057840444</v>
      </c>
      <c r="H268" s="6">
        <f t="shared" si="72"/>
        <v>5839.7839906832551</v>
      </c>
      <c r="I268" s="7">
        <f t="shared" si="73"/>
        <v>-4.1010233855264078</v>
      </c>
      <c r="J268" s="7">
        <f t="shared" si="74"/>
        <v>-97.558929043466023</v>
      </c>
      <c r="K268" s="8">
        <f t="shared" si="63"/>
        <v>158.18233058459001</v>
      </c>
      <c r="L268" s="8">
        <f t="shared" si="64"/>
        <v>-6.6436578845527796</v>
      </c>
      <c r="M268" s="8">
        <f t="shared" si="61"/>
        <v>158.04546505041498</v>
      </c>
      <c r="N268" s="8">
        <f t="shared" si="65"/>
        <v>25.000000000000007</v>
      </c>
      <c r="O268" s="8">
        <f t="shared" si="66"/>
        <v>26.050909287785252</v>
      </c>
    </row>
    <row r="269" spans="1:15" x14ac:dyDescent="0.3">
      <c r="A269" s="5">
        <f t="shared" si="67"/>
        <v>2.6099999999999883</v>
      </c>
      <c r="B269" s="5">
        <f t="shared" si="62"/>
        <v>164.64811270111247</v>
      </c>
      <c r="C269" s="6">
        <f t="shared" si="60"/>
        <v>6350.7129184714804</v>
      </c>
      <c r="D269" s="6">
        <f t="shared" si="68"/>
        <v>40331554.572840549</v>
      </c>
      <c r="E269" s="7">
        <f t="shared" si="69"/>
        <v>6248571.4285714282</v>
      </c>
      <c r="F269" s="7">
        <f t="shared" si="70"/>
        <v>124.97142857142855</v>
      </c>
      <c r="G269" s="7">
        <f t="shared" si="71"/>
        <v>34082983.144269124</v>
      </c>
      <c r="H269" s="6">
        <f t="shared" si="72"/>
        <v>5838.0633042361851</v>
      </c>
      <c r="I269" s="7">
        <f t="shared" si="73"/>
        <v>-4.1021345446354225</v>
      </c>
      <c r="J269" s="7">
        <f t="shared" si="74"/>
        <v>-97.532502925187103</v>
      </c>
      <c r="K269" s="8">
        <f t="shared" si="63"/>
        <v>158.22518957879487</v>
      </c>
      <c r="L269" s="8">
        <f t="shared" si="64"/>
        <v>-6.6454579623093837</v>
      </c>
      <c r="M269" s="8">
        <f t="shared" si="61"/>
        <v>158.00265473880307</v>
      </c>
      <c r="N269" s="8">
        <f t="shared" si="65"/>
        <v>24.999999999999989</v>
      </c>
      <c r="O269" s="8">
        <f t="shared" si="66"/>
        <v>26.051478845924304</v>
      </c>
    </row>
    <row r="270" spans="1:15" x14ac:dyDescent="0.3">
      <c r="A270" s="5">
        <f t="shared" si="67"/>
        <v>2.6199999999999881</v>
      </c>
      <c r="B270" s="5">
        <f t="shared" si="62"/>
        <v>164.60709135566611</v>
      </c>
      <c r="C270" s="6">
        <f t="shared" si="60"/>
        <v>6349.1306665756929</v>
      </c>
      <c r="D270" s="6">
        <f t="shared" si="68"/>
        <v>40311460.221251905</v>
      </c>
      <c r="E270" s="7">
        <f t="shared" si="69"/>
        <v>6248571.4285714282</v>
      </c>
      <c r="F270" s="7">
        <f t="shared" si="70"/>
        <v>124.97142857142855</v>
      </c>
      <c r="G270" s="7">
        <f t="shared" si="71"/>
        <v>34062888.79268048</v>
      </c>
      <c r="H270" s="6">
        <f t="shared" si="72"/>
        <v>5836.342072966635</v>
      </c>
      <c r="I270" s="7">
        <f t="shared" si="73"/>
        <v>-4.1032466338173368</v>
      </c>
      <c r="J270" s="7">
        <f t="shared" si="74"/>
        <v>-97.506069017828437</v>
      </c>
      <c r="K270" s="8">
        <f t="shared" si="63"/>
        <v>158.26808444724011</v>
      </c>
      <c r="L270" s="8">
        <f t="shared" si="64"/>
        <v>-6.6472595467840838</v>
      </c>
      <c r="M270" s="8">
        <f t="shared" si="61"/>
        <v>157.95983180888203</v>
      </c>
      <c r="N270" s="8">
        <f t="shared" si="65"/>
        <v>24.999999999999986</v>
      </c>
      <c r="O270" s="8">
        <f t="shared" si="66"/>
        <v>26.052049035293134</v>
      </c>
    </row>
    <row r="271" spans="1:15" x14ac:dyDescent="0.3">
      <c r="A271" s="5">
        <f t="shared" si="67"/>
        <v>2.6299999999999879</v>
      </c>
      <c r="B271" s="5">
        <f t="shared" si="62"/>
        <v>164.56605888932793</v>
      </c>
      <c r="C271" s="6">
        <f t="shared" si="60"/>
        <v>6347.5479857312203</v>
      </c>
      <c r="D271" s="6">
        <f t="shared" si="68"/>
        <v>40291365.431160472</v>
      </c>
      <c r="E271" s="7">
        <f t="shared" si="69"/>
        <v>6248571.4285714282</v>
      </c>
      <c r="F271" s="7">
        <f t="shared" si="70"/>
        <v>124.97142857142855</v>
      </c>
      <c r="G271" s="7">
        <f t="shared" si="71"/>
        <v>34042794.002589047</v>
      </c>
      <c r="H271" s="6">
        <f t="shared" si="72"/>
        <v>5834.6202963508304</v>
      </c>
      <c r="I271" s="7">
        <f t="shared" si="73"/>
        <v>-4.1043596543926952</v>
      </c>
      <c r="J271" s="7">
        <f t="shared" si="74"/>
        <v>-97.479627314328269</v>
      </c>
      <c r="K271" s="8">
        <f t="shared" si="63"/>
        <v>158.31101524086108</v>
      </c>
      <c r="L271" s="8">
        <f t="shared" si="64"/>
        <v>-6.6490626401161643</v>
      </c>
      <c r="M271" s="8">
        <f t="shared" si="61"/>
        <v>157.91699624921176</v>
      </c>
      <c r="N271" s="8">
        <f t="shared" si="65"/>
        <v>24.999999999999968</v>
      </c>
      <c r="O271" s="8">
        <f t="shared" si="66"/>
        <v>26.052619856956838</v>
      </c>
    </row>
    <row r="272" spans="1:15" x14ac:dyDescent="0.3">
      <c r="A272" s="5">
        <f t="shared" si="67"/>
        <v>2.6399999999999877</v>
      </c>
      <c r="B272" s="5">
        <f t="shared" si="62"/>
        <v>164.52501529278402</v>
      </c>
      <c r="C272" s="6">
        <f t="shared" si="60"/>
        <v>6345.9648755788121</v>
      </c>
      <c r="D272" s="6">
        <f t="shared" si="68"/>
        <v>40271270.202080011</v>
      </c>
      <c r="E272" s="7">
        <f t="shared" si="69"/>
        <v>6248571.4285714282</v>
      </c>
      <c r="F272" s="7">
        <f t="shared" si="70"/>
        <v>124.97142857142855</v>
      </c>
      <c r="G272" s="7">
        <f t="shared" si="71"/>
        <v>34022698.773508586</v>
      </c>
      <c r="H272" s="6">
        <f t="shared" si="72"/>
        <v>5832.8979738641565</v>
      </c>
      <c r="I272" s="7">
        <f t="shared" si="73"/>
        <v>-4.1054736076847167</v>
      </c>
      <c r="J272" s="7">
        <f t="shared" si="74"/>
        <v>-97.453177807614082</v>
      </c>
      <c r="K272" s="8">
        <f t="shared" si="63"/>
        <v>158.3539820106962</v>
      </c>
      <c r="L272" s="8">
        <f t="shared" si="64"/>
        <v>-6.6508672444492394</v>
      </c>
      <c r="M272" s="8">
        <f t="shared" si="61"/>
        <v>157.87414804833477</v>
      </c>
      <c r="N272" s="8">
        <f t="shared" si="65"/>
        <v>24.999999999999993</v>
      </c>
      <c r="O272" s="8">
        <f t="shared" si="66"/>
        <v>26.053191311983039</v>
      </c>
    </row>
    <row r="273" spans="1:15" x14ac:dyDescent="0.3">
      <c r="A273" s="5">
        <f t="shared" si="67"/>
        <v>2.6499999999999875</v>
      </c>
      <c r="B273" s="5">
        <f t="shared" si="62"/>
        <v>164.48396055670716</v>
      </c>
      <c r="C273" s="6">
        <f t="shared" si="60"/>
        <v>6344.3813357587042</v>
      </c>
      <c r="D273" s="6">
        <f t="shared" si="68"/>
        <v>40251174.533523396</v>
      </c>
      <c r="E273" s="7">
        <f t="shared" si="69"/>
        <v>6248571.4285714282</v>
      </c>
      <c r="F273" s="7">
        <f t="shared" si="70"/>
        <v>124.97142857142855</v>
      </c>
      <c r="G273" s="7">
        <f t="shared" si="71"/>
        <v>34002603.10495197</v>
      </c>
      <c r="H273" s="6">
        <f t="shared" si="72"/>
        <v>5831.1751049811537</v>
      </c>
      <c r="I273" s="7">
        <f t="shared" si="73"/>
        <v>-4.1065884950192659</v>
      </c>
      <c r="J273" s="7">
        <f t="shared" si="74"/>
        <v>-97.426720490602449</v>
      </c>
      <c r="K273" s="8">
        <f t="shared" si="63"/>
        <v>158.39698480788596</v>
      </c>
      <c r="L273" s="8">
        <f t="shared" si="64"/>
        <v>-6.6526733619312095</v>
      </c>
      <c r="M273" s="8">
        <f t="shared" si="61"/>
        <v>157.83128719477594</v>
      </c>
      <c r="N273" s="8">
        <f t="shared" si="65"/>
        <v>25.000000000000011</v>
      </c>
      <c r="O273" s="8">
        <f t="shared" si="66"/>
        <v>26.053763401441657</v>
      </c>
    </row>
    <row r="274" spans="1:15" x14ac:dyDescent="0.3">
      <c r="A274" s="5">
        <f t="shared" si="67"/>
        <v>2.6599999999999873</v>
      </c>
      <c r="B274" s="5">
        <f t="shared" si="62"/>
        <v>164.44289467175696</v>
      </c>
      <c r="C274" s="6">
        <f t="shared" si="60"/>
        <v>6342.7973659106256</v>
      </c>
      <c r="D274" s="6">
        <f t="shared" si="68"/>
        <v>40231078.425002769</v>
      </c>
      <c r="E274" s="7">
        <f t="shared" si="69"/>
        <v>6248571.4285714282</v>
      </c>
      <c r="F274" s="7">
        <f t="shared" si="70"/>
        <v>124.97142857142855</v>
      </c>
      <c r="G274" s="7">
        <f t="shared" si="71"/>
        <v>33982506.996431343</v>
      </c>
      <c r="H274" s="6">
        <f t="shared" si="72"/>
        <v>5829.451689175522</v>
      </c>
      <c r="I274" s="7">
        <f t="shared" si="73"/>
        <v>-4.1077043177248802</v>
      </c>
      <c r="J274" s="7">
        <f t="shared" si="74"/>
        <v>-97.400255356199182</v>
      </c>
      <c r="K274" s="8">
        <f t="shared" si="63"/>
        <v>158.44002368367396</v>
      </c>
      <c r="L274" s="8">
        <f t="shared" si="64"/>
        <v>-6.6544809947143051</v>
      </c>
      <c r="M274" s="8">
        <f t="shared" si="61"/>
        <v>157.78841367704266</v>
      </c>
      <c r="N274" s="8">
        <f t="shared" si="65"/>
        <v>24.999999999999982</v>
      </c>
      <c r="O274" s="8">
        <f t="shared" si="66"/>
        <v>26.054336126405076</v>
      </c>
    </row>
    <row r="275" spans="1:15" x14ac:dyDescent="0.3">
      <c r="A275" s="5">
        <f t="shared" si="67"/>
        <v>2.6699999999999871</v>
      </c>
      <c r="B275" s="5">
        <f t="shared" si="62"/>
        <v>164.40181762857972</v>
      </c>
      <c r="C275" s="6">
        <f t="shared" si="60"/>
        <v>6341.2129656737889</v>
      </c>
      <c r="D275" s="6">
        <f t="shared" si="68"/>
        <v>40210981.876029372</v>
      </c>
      <c r="E275" s="7">
        <f t="shared" si="69"/>
        <v>6248571.4285714282</v>
      </c>
      <c r="F275" s="7">
        <f t="shared" si="70"/>
        <v>124.97142857142855</v>
      </c>
      <c r="G275" s="7">
        <f t="shared" si="71"/>
        <v>33962410.447457947</v>
      </c>
      <c r="H275" s="6">
        <f t="shared" si="72"/>
        <v>5827.7277259201073</v>
      </c>
      <c r="I275" s="7">
        <f t="shared" si="73"/>
        <v>-4.1088210771327978</v>
      </c>
      <c r="J275" s="7">
        <f t="shared" si="74"/>
        <v>-97.373782397299138</v>
      </c>
      <c r="K275" s="8">
        <f t="shared" si="63"/>
        <v>158.48309868940791</v>
      </c>
      <c r="L275" s="8">
        <f t="shared" si="64"/>
        <v>-6.6562901449551317</v>
      </c>
      <c r="M275" s="8">
        <f t="shared" si="61"/>
        <v>157.74552748362458</v>
      </c>
      <c r="N275" s="8">
        <f t="shared" si="65"/>
        <v>24.999999999999982</v>
      </c>
      <c r="O275" s="8">
        <f t="shared" si="66"/>
        <v>26.05490948794824</v>
      </c>
    </row>
    <row r="276" spans="1:15" x14ac:dyDescent="0.3">
      <c r="A276" s="5">
        <f t="shared" si="67"/>
        <v>2.6799999999999868</v>
      </c>
      <c r="B276" s="5">
        <f t="shared" si="62"/>
        <v>164.36072941780839</v>
      </c>
      <c r="C276" s="6">
        <f t="shared" si="60"/>
        <v>6339.6281346868946</v>
      </c>
      <c r="D276" s="6">
        <f t="shared" si="68"/>
        <v>40190884.886113636</v>
      </c>
      <c r="E276" s="7">
        <f t="shared" si="69"/>
        <v>6248571.4285714282</v>
      </c>
      <c r="F276" s="7">
        <f t="shared" si="70"/>
        <v>124.97142857142855</v>
      </c>
      <c r="G276" s="7">
        <f t="shared" si="71"/>
        <v>33942313.457542211</v>
      </c>
      <c r="H276" s="6">
        <f t="shared" si="72"/>
        <v>5826.0032146869098</v>
      </c>
      <c r="I276" s="7">
        <f t="shared" si="73"/>
        <v>-4.1099387745769249</v>
      </c>
      <c r="J276" s="7">
        <f t="shared" si="74"/>
        <v>-97.347301606786303</v>
      </c>
      <c r="K276" s="8">
        <f t="shared" si="63"/>
        <v>158.52620987653853</v>
      </c>
      <c r="L276" s="8">
        <f t="shared" si="64"/>
        <v>-6.6581008148146177</v>
      </c>
      <c r="M276" s="8">
        <f t="shared" si="61"/>
        <v>157.70262860299377</v>
      </c>
      <c r="N276" s="8">
        <f t="shared" si="65"/>
        <v>25</v>
      </c>
      <c r="O276" s="8">
        <f t="shared" si="66"/>
        <v>26.055483487148454</v>
      </c>
    </row>
    <row r="277" spans="1:15" x14ac:dyDescent="0.3">
      <c r="A277" s="5">
        <f t="shared" si="67"/>
        <v>2.6899999999999866</v>
      </c>
      <c r="B277" s="5">
        <f t="shared" si="62"/>
        <v>164.31963003006263</v>
      </c>
      <c r="C277" s="6">
        <f t="shared" si="60"/>
        <v>6338.0428725881293</v>
      </c>
      <c r="D277" s="6">
        <f t="shared" si="68"/>
        <v>40170787.454765186</v>
      </c>
      <c r="E277" s="7">
        <f t="shared" si="69"/>
        <v>6248571.4285714282</v>
      </c>
      <c r="F277" s="7">
        <f t="shared" si="70"/>
        <v>124.97142857142855</v>
      </c>
      <c r="G277" s="7">
        <f t="shared" si="71"/>
        <v>33922216.02619376</v>
      </c>
      <c r="H277" s="6">
        <f t="shared" si="72"/>
        <v>5824.2781549470801</v>
      </c>
      <c r="I277" s="7">
        <f t="shared" si="73"/>
        <v>-4.1110574113938556</v>
      </c>
      <c r="J277" s="7">
        <f t="shared" si="74"/>
        <v>-97.320812977533706</v>
      </c>
      <c r="K277" s="8">
        <f t="shared" si="63"/>
        <v>158.56935729662013</v>
      </c>
      <c r="L277" s="8">
        <f t="shared" si="64"/>
        <v>-6.6599130064580443</v>
      </c>
      <c r="M277" s="8">
        <f t="shared" si="61"/>
        <v>157.65971702360457</v>
      </c>
      <c r="N277" s="8">
        <f t="shared" si="65"/>
        <v>24.999999999999975</v>
      </c>
      <c r="O277" s="8">
        <f t="shared" si="66"/>
        <v>26.056058125085432</v>
      </c>
    </row>
    <row r="278" spans="1:15" x14ac:dyDescent="0.3">
      <c r="A278" s="5">
        <f t="shared" si="67"/>
        <v>2.6999999999999864</v>
      </c>
      <c r="B278" s="5">
        <f t="shared" si="62"/>
        <v>164.2785194559487</v>
      </c>
      <c r="C278" s="6">
        <f t="shared" si="60"/>
        <v>6336.457179015164</v>
      </c>
      <c r="D278" s="6">
        <f t="shared" si="68"/>
        <v>40150689.581492811</v>
      </c>
      <c r="E278" s="7">
        <f t="shared" si="69"/>
        <v>6248571.4285714282</v>
      </c>
      <c r="F278" s="7">
        <f t="shared" si="70"/>
        <v>124.97142857142855</v>
      </c>
      <c r="G278" s="7">
        <f t="shared" si="71"/>
        <v>33902118.152921386</v>
      </c>
      <c r="H278" s="6">
        <f t="shared" si="72"/>
        <v>5822.552546170913</v>
      </c>
      <c r="I278" s="7">
        <f t="shared" si="73"/>
        <v>-4.1121769889229052</v>
      </c>
      <c r="J278" s="7">
        <f t="shared" si="74"/>
        <v>-97.294316502403476</v>
      </c>
      <c r="K278" s="8">
        <f t="shared" si="63"/>
        <v>158.61254100131205</v>
      </c>
      <c r="L278" s="8">
        <f t="shared" si="64"/>
        <v>-6.6617267220551053</v>
      </c>
      <c r="M278" s="8">
        <f t="shared" si="61"/>
        <v>157.61679273389359</v>
      </c>
      <c r="N278" s="8">
        <f t="shared" si="65"/>
        <v>25</v>
      </c>
      <c r="O278" s="8">
        <f t="shared" si="66"/>
        <v>26.056633402841506</v>
      </c>
    </row>
    <row r="279" spans="1:15" x14ac:dyDescent="0.3">
      <c r="A279" s="5">
        <f t="shared" si="67"/>
        <v>2.7099999999999862</v>
      </c>
      <c r="B279" s="5">
        <f t="shared" si="62"/>
        <v>164.23739768605947</v>
      </c>
      <c r="C279" s="6">
        <f t="shared" si="60"/>
        <v>6334.8710536051503</v>
      </c>
      <c r="D279" s="6">
        <f t="shared" si="68"/>
        <v>40130591.265804425</v>
      </c>
      <c r="E279" s="7">
        <f t="shared" si="69"/>
        <v>6248571.4285714282</v>
      </c>
      <c r="F279" s="7">
        <f t="shared" si="70"/>
        <v>124.97142857142855</v>
      </c>
      <c r="G279" s="7">
        <f t="shared" si="71"/>
        <v>33882019.837233</v>
      </c>
      <c r="H279" s="6">
        <f t="shared" si="72"/>
        <v>5820.8263878278485</v>
      </c>
      <c r="I279" s="7">
        <f t="shared" si="73"/>
        <v>-4.1132975085060739</v>
      </c>
      <c r="J279" s="7">
        <f t="shared" si="74"/>
        <v>-97.2678121742467</v>
      </c>
      <c r="K279" s="8">
        <f t="shared" si="63"/>
        <v>158.65576104237712</v>
      </c>
      <c r="L279" s="8">
        <f t="shared" si="64"/>
        <v>-6.6635419637798385</v>
      </c>
      <c r="M279" s="8">
        <f t="shared" si="61"/>
        <v>157.57385572227963</v>
      </c>
      <c r="N279" s="8">
        <f t="shared" si="65"/>
        <v>25.000000000000007</v>
      </c>
      <c r="O279" s="8">
        <f t="shared" si="66"/>
        <v>26.057209321501311</v>
      </c>
    </row>
    <row r="280" spans="1:15" x14ac:dyDescent="0.3">
      <c r="A280" s="5">
        <f t="shared" si="67"/>
        <v>2.719999999999986</v>
      </c>
      <c r="B280" s="5">
        <f t="shared" si="62"/>
        <v>164.19626471097442</v>
      </c>
      <c r="C280" s="6">
        <f t="shared" si="60"/>
        <v>6333.284495994727</v>
      </c>
      <c r="D280" s="6">
        <f t="shared" si="68"/>
        <v>40110492.507207185</v>
      </c>
      <c r="E280" s="7">
        <f t="shared" si="69"/>
        <v>6248571.4285714282</v>
      </c>
      <c r="F280" s="7">
        <f t="shared" si="70"/>
        <v>124.97142857142855</v>
      </c>
      <c r="G280" s="7">
        <f t="shared" si="71"/>
        <v>33861921.07863576</v>
      </c>
      <c r="H280" s="6">
        <f t="shared" si="72"/>
        <v>5819.0996793864733</v>
      </c>
      <c r="I280" s="7">
        <f t="shared" si="73"/>
        <v>-4.1144189714880843</v>
      </c>
      <c r="J280" s="7">
        <f t="shared" si="74"/>
        <v>-97.241299985903552</v>
      </c>
      <c r="K280" s="8">
        <f t="shared" si="63"/>
        <v>158.69901747168325</v>
      </c>
      <c r="L280" s="8">
        <f t="shared" si="64"/>
        <v>-6.6653587338106961</v>
      </c>
      <c r="M280" s="8">
        <f t="shared" si="61"/>
        <v>157.53090597716371</v>
      </c>
      <c r="N280" s="8">
        <f t="shared" si="65"/>
        <v>24.999999999999996</v>
      </c>
      <c r="O280" s="8">
        <f t="shared" si="66"/>
        <v>26.057785882152057</v>
      </c>
    </row>
    <row r="281" spans="1:15" x14ac:dyDescent="0.3">
      <c r="A281" s="5">
        <f t="shared" si="67"/>
        <v>2.7299999999999858</v>
      </c>
      <c r="B281" s="5">
        <f t="shared" si="62"/>
        <v>164.15512052125953</v>
      </c>
      <c r="C281" s="6">
        <f t="shared" si="60"/>
        <v>6331.6975058200105</v>
      </c>
      <c r="D281" s="6">
        <f t="shared" si="68"/>
        <v>40090393.305207342</v>
      </c>
      <c r="E281" s="7">
        <f t="shared" si="69"/>
        <v>6248571.4285714282</v>
      </c>
      <c r="F281" s="7">
        <f t="shared" si="70"/>
        <v>124.97142857142855</v>
      </c>
      <c r="G281" s="7">
        <f t="shared" si="71"/>
        <v>33841821.876635917</v>
      </c>
      <c r="H281" s="6">
        <f t="shared" si="72"/>
        <v>5817.3724203145111</v>
      </c>
      <c r="I281" s="7">
        <f t="shared" si="73"/>
        <v>-4.1155413792163884</v>
      </c>
      <c r="J281" s="7">
        <f t="shared" si="74"/>
        <v>-97.214779930203093</v>
      </c>
      <c r="K281" s="8">
        <f t="shared" si="63"/>
        <v>158.74231034120353</v>
      </c>
      <c r="L281" s="8">
        <f t="shared" si="64"/>
        <v>-6.6671770343305479</v>
      </c>
      <c r="M281" s="8">
        <f t="shared" si="61"/>
        <v>157.487943486929</v>
      </c>
      <c r="N281" s="8">
        <f t="shared" si="65"/>
        <v>25.000000000000007</v>
      </c>
      <c r="O281" s="8">
        <f t="shared" si="66"/>
        <v>26.05836308588345</v>
      </c>
    </row>
    <row r="282" spans="1:15" x14ac:dyDescent="0.3">
      <c r="A282" s="5">
        <f t="shared" si="67"/>
        <v>2.7399999999999856</v>
      </c>
      <c r="B282" s="5">
        <f t="shared" si="62"/>
        <v>164.11396510746738</v>
      </c>
      <c r="C282" s="6">
        <f t="shared" si="60"/>
        <v>6330.1100827165983</v>
      </c>
      <c r="D282" s="6">
        <f t="shared" si="68"/>
        <v>40070293.659310341</v>
      </c>
      <c r="E282" s="7">
        <f t="shared" si="69"/>
        <v>6248571.4285714282</v>
      </c>
      <c r="F282" s="7">
        <f t="shared" si="70"/>
        <v>124.97142857142855</v>
      </c>
      <c r="G282" s="7">
        <f t="shared" si="71"/>
        <v>33821722.230738916</v>
      </c>
      <c r="H282" s="6">
        <f t="shared" si="72"/>
        <v>5815.6446100788271</v>
      </c>
      <c r="I282" s="7">
        <f t="shared" si="73"/>
        <v>-4.1166647330411514</v>
      </c>
      <c r="J282" s="7">
        <f t="shared" si="74"/>
        <v>-97.188251999963413</v>
      </c>
      <c r="K282" s="8">
        <f t="shared" si="63"/>
        <v>158.78563970301585</v>
      </c>
      <c r="L282" s="8">
        <f t="shared" si="64"/>
        <v>-6.6689968675266647</v>
      </c>
      <c r="M282" s="8">
        <f t="shared" si="61"/>
        <v>157.44496823994072</v>
      </c>
      <c r="N282" s="8">
        <f t="shared" si="65"/>
        <v>25</v>
      </c>
      <c r="O282" s="8">
        <f t="shared" si="66"/>
        <v>26.058940933787628</v>
      </c>
    </row>
    <row r="283" spans="1:15" x14ac:dyDescent="0.3">
      <c r="A283" s="5">
        <f t="shared" si="67"/>
        <v>2.7499999999999853</v>
      </c>
      <c r="B283" s="5">
        <f t="shared" si="62"/>
        <v>164.07279846013697</v>
      </c>
      <c r="C283" s="6">
        <f t="shared" si="60"/>
        <v>6328.5222263195683</v>
      </c>
      <c r="D283" s="6">
        <f t="shared" si="68"/>
        <v>40050193.569020785</v>
      </c>
      <c r="E283" s="7">
        <f t="shared" si="69"/>
        <v>6248571.4285714282</v>
      </c>
      <c r="F283" s="7">
        <f t="shared" si="70"/>
        <v>124.97142857142855</v>
      </c>
      <c r="G283" s="7">
        <f t="shared" si="71"/>
        <v>33801622.14044936</v>
      </c>
      <c r="H283" s="6">
        <f t="shared" si="72"/>
        <v>5813.9162481454241</v>
      </c>
      <c r="I283" s="7">
        <f t="shared" si="73"/>
        <v>-4.1177890343152832</v>
      </c>
      <c r="J283" s="7">
        <f t="shared" si="74"/>
        <v>-97.161716187991502</v>
      </c>
      <c r="K283" s="8">
        <f t="shared" si="63"/>
        <v>158.82900560930378</v>
      </c>
      <c r="L283" s="8">
        <f t="shared" si="64"/>
        <v>-6.6708182355907581</v>
      </c>
      <c r="M283" s="8">
        <f t="shared" si="61"/>
        <v>157.40198022454621</v>
      </c>
      <c r="N283" s="8">
        <f t="shared" si="65"/>
        <v>24.999999999999972</v>
      </c>
      <c r="O283" s="8">
        <f t="shared" si="66"/>
        <v>26.059519426959262</v>
      </c>
    </row>
    <row r="284" spans="1:15" x14ac:dyDescent="0.3">
      <c r="A284" s="5">
        <f t="shared" si="67"/>
        <v>2.7599999999999851</v>
      </c>
      <c r="B284" s="5">
        <f t="shared" si="62"/>
        <v>164.0316205697938</v>
      </c>
      <c r="C284" s="6">
        <f t="shared" si="60"/>
        <v>6326.9339362634746</v>
      </c>
      <c r="D284" s="6">
        <f t="shared" si="68"/>
        <v>40030093.033842422</v>
      </c>
      <c r="E284" s="7">
        <f t="shared" si="69"/>
        <v>6248571.4285714282</v>
      </c>
      <c r="F284" s="7">
        <f t="shared" si="70"/>
        <v>124.97142857142855</v>
      </c>
      <c r="G284" s="7">
        <f t="shared" si="71"/>
        <v>33781521.605270997</v>
      </c>
      <c r="H284" s="6">
        <f t="shared" si="72"/>
        <v>5812.1873339794374</v>
      </c>
      <c r="I284" s="7">
        <f t="shared" si="73"/>
        <v>-4.118914284394446</v>
      </c>
      <c r="J284" s="7">
        <f t="shared" si="74"/>
        <v>-97.13517248708321</v>
      </c>
      <c r="K284" s="8">
        <f t="shared" si="63"/>
        <v>158.87240811235719</v>
      </c>
      <c r="L284" s="8">
        <f t="shared" si="64"/>
        <v>-6.6726411407190014</v>
      </c>
      <c r="M284" s="8">
        <f t="shared" si="61"/>
        <v>157.35897942907479</v>
      </c>
      <c r="N284" s="8">
        <f t="shared" si="65"/>
        <v>24.999999999999989</v>
      </c>
      <c r="O284" s="8">
        <f t="shared" si="66"/>
        <v>26.060098566495608</v>
      </c>
    </row>
    <row r="285" spans="1:15" x14ac:dyDescent="0.3">
      <c r="A285" s="5">
        <f t="shared" si="67"/>
        <v>2.7699999999999849</v>
      </c>
      <c r="B285" s="5">
        <f t="shared" si="62"/>
        <v>163.99043142694987</v>
      </c>
      <c r="C285" s="6">
        <f t="shared" si="60"/>
        <v>6325.345212182352</v>
      </c>
      <c r="D285" s="6">
        <f t="shared" si="68"/>
        <v>40009992.053278208</v>
      </c>
      <c r="E285" s="7">
        <f t="shared" si="69"/>
        <v>6248571.4285714282</v>
      </c>
      <c r="F285" s="7">
        <f t="shared" si="70"/>
        <v>124.97142857142855</v>
      </c>
      <c r="G285" s="7">
        <f t="shared" si="71"/>
        <v>33761420.624706782</v>
      </c>
      <c r="H285" s="6">
        <f t="shared" si="72"/>
        <v>5810.4578670451419</v>
      </c>
      <c r="I285" s="7">
        <f t="shared" si="73"/>
        <v>-4.1200404846370269</v>
      </c>
      <c r="J285" s="7">
        <f t="shared" si="74"/>
        <v>-97.108620890023417</v>
      </c>
      <c r="K285" s="8">
        <f t="shared" si="63"/>
        <v>158.91584726457103</v>
      </c>
      <c r="L285" s="8">
        <f t="shared" si="64"/>
        <v>-6.6744655851119825</v>
      </c>
      <c r="M285" s="8">
        <f t="shared" si="61"/>
        <v>157.31596584183788</v>
      </c>
      <c r="N285" s="8">
        <f t="shared" si="65"/>
        <v>24.999999999999982</v>
      </c>
      <c r="O285" s="8">
        <f t="shared" si="66"/>
        <v>26.060678353496275</v>
      </c>
    </row>
    <row r="286" spans="1:15" x14ac:dyDescent="0.3">
      <c r="A286" s="5">
        <f t="shared" si="67"/>
        <v>2.7799999999999847</v>
      </c>
      <c r="B286" s="5">
        <f t="shared" si="62"/>
        <v>163.9492310221035</v>
      </c>
      <c r="C286" s="6">
        <f t="shared" si="60"/>
        <v>6323.7560537097061</v>
      </c>
      <c r="D286" s="6">
        <f t="shared" si="68"/>
        <v>39989890.626830153</v>
      </c>
      <c r="E286" s="7">
        <f t="shared" si="69"/>
        <v>6248571.4285714282</v>
      </c>
      <c r="F286" s="7">
        <f t="shared" si="70"/>
        <v>124.97142857142855</v>
      </c>
      <c r="G286" s="7">
        <f t="shared" si="71"/>
        <v>33741319.198258728</v>
      </c>
      <c r="H286" s="6">
        <f t="shared" si="72"/>
        <v>5808.7278468059358</v>
      </c>
      <c r="I286" s="7">
        <f t="shared" si="73"/>
        <v>-4.1211676364041985</v>
      </c>
      <c r="J286" s="7">
        <f t="shared" si="74"/>
        <v>-97.082061389585633</v>
      </c>
      <c r="K286" s="8">
        <f t="shared" si="63"/>
        <v>158.95932311844766</v>
      </c>
      <c r="L286" s="8">
        <f t="shared" si="64"/>
        <v>-6.6762915709748007</v>
      </c>
      <c r="M286" s="8">
        <f t="shared" si="61"/>
        <v>157.27293945112871</v>
      </c>
      <c r="N286" s="8">
        <f t="shared" si="65"/>
        <v>25.000000000000021</v>
      </c>
      <c r="O286" s="8">
        <f t="shared" si="66"/>
        <v>26.061258789063572</v>
      </c>
    </row>
    <row r="287" spans="1:15" x14ac:dyDescent="0.3">
      <c r="A287" s="5">
        <f t="shared" si="67"/>
        <v>2.7899999999999845</v>
      </c>
      <c r="B287" s="5">
        <f t="shared" si="62"/>
        <v>163.90801934573946</v>
      </c>
      <c r="C287" s="6">
        <f t="shared" si="60"/>
        <v>6322.1664604785219</v>
      </c>
      <c r="D287" s="6">
        <f t="shared" si="68"/>
        <v>39969788.753999524</v>
      </c>
      <c r="E287" s="7">
        <f t="shared" si="69"/>
        <v>6248571.4285714282</v>
      </c>
      <c r="F287" s="7">
        <f t="shared" si="70"/>
        <v>124.97142857142855</v>
      </c>
      <c r="G287" s="7">
        <f t="shared" si="71"/>
        <v>33721217.325428098</v>
      </c>
      <c r="H287" s="6">
        <f t="shared" si="72"/>
        <v>5806.9972727243548</v>
      </c>
      <c r="I287" s="7">
        <f t="shared" si="73"/>
        <v>-4.1222957410598653</v>
      </c>
      <c r="J287" s="7">
        <f t="shared" si="74"/>
        <v>-97.055493978532411</v>
      </c>
      <c r="K287" s="8">
        <f t="shared" si="63"/>
        <v>159.00283572659478</v>
      </c>
      <c r="L287" s="8">
        <f t="shared" si="64"/>
        <v>-6.6781191005169802</v>
      </c>
      <c r="M287" s="8">
        <f t="shared" si="61"/>
        <v>157.2299002452225</v>
      </c>
      <c r="N287" s="8">
        <f t="shared" si="65"/>
        <v>24.999999999999996</v>
      </c>
      <c r="O287" s="8">
        <f t="shared" si="66"/>
        <v>26.06183987430213</v>
      </c>
    </row>
    <row r="288" spans="1:15" x14ac:dyDescent="0.3">
      <c r="A288" s="5">
        <f t="shared" si="67"/>
        <v>2.7999999999999843</v>
      </c>
      <c r="B288" s="5">
        <f t="shared" si="62"/>
        <v>163.86679638832885</v>
      </c>
      <c r="C288" s="6">
        <f t="shared" si="60"/>
        <v>6320.5764321212555</v>
      </c>
      <c r="D288" s="6">
        <f t="shared" si="68"/>
        <v>39949686.434286661</v>
      </c>
      <c r="E288" s="7">
        <f t="shared" si="69"/>
        <v>6248571.4285714282</v>
      </c>
      <c r="F288" s="7">
        <f t="shared" si="70"/>
        <v>124.97142857142855</v>
      </c>
      <c r="G288" s="7">
        <f t="shared" si="71"/>
        <v>33701115.005715236</v>
      </c>
      <c r="H288" s="6">
        <f t="shared" si="72"/>
        <v>5805.2661442620556</v>
      </c>
      <c r="I288" s="7">
        <f t="shared" si="73"/>
        <v>-4.1234247999707359</v>
      </c>
      <c r="J288" s="7">
        <f t="shared" si="74"/>
        <v>-97.028918649614994</v>
      </c>
      <c r="K288" s="8">
        <f t="shared" si="63"/>
        <v>159.04638514172836</v>
      </c>
      <c r="L288" s="8">
        <f t="shared" si="64"/>
        <v>-6.6799481759525907</v>
      </c>
      <c r="M288" s="8">
        <f t="shared" si="61"/>
        <v>157.18684821237625</v>
      </c>
      <c r="N288" s="8">
        <f t="shared" si="65"/>
        <v>24.999999999999989</v>
      </c>
      <c r="O288" s="8">
        <f t="shared" si="66"/>
        <v>26.062421610319333</v>
      </c>
    </row>
    <row r="289" spans="1:15" x14ac:dyDescent="0.3">
      <c r="A289" s="5">
        <f t="shared" si="67"/>
        <v>2.8099999999999841</v>
      </c>
      <c r="B289" s="5">
        <f t="shared" si="62"/>
        <v>163.82556214032914</v>
      </c>
      <c r="C289" s="6">
        <f t="shared" si="60"/>
        <v>6318.9859682698379</v>
      </c>
      <c r="D289" s="6">
        <f t="shared" si="68"/>
        <v>39929583.667191103</v>
      </c>
      <c r="E289" s="7">
        <f t="shared" si="69"/>
        <v>6248571.4285714282</v>
      </c>
      <c r="F289" s="7">
        <f t="shared" si="70"/>
        <v>124.97142857142855</v>
      </c>
      <c r="G289" s="7">
        <f t="shared" si="71"/>
        <v>33681012.238619678</v>
      </c>
      <c r="H289" s="6">
        <f t="shared" si="72"/>
        <v>5803.534460879825</v>
      </c>
      <c r="I289" s="7">
        <f t="shared" si="73"/>
        <v>-4.1245548145062774</v>
      </c>
      <c r="J289" s="7">
        <f t="shared" si="74"/>
        <v>-97.002335395573454</v>
      </c>
      <c r="K289" s="8">
        <f t="shared" si="63"/>
        <v>159.08997141667069</v>
      </c>
      <c r="L289" s="8">
        <f t="shared" si="64"/>
        <v>-6.6817787995001687</v>
      </c>
      <c r="M289" s="8">
        <f t="shared" si="61"/>
        <v>157.14378334082897</v>
      </c>
      <c r="N289" s="8">
        <f t="shared" si="65"/>
        <v>24.999999999999975</v>
      </c>
      <c r="O289" s="8">
        <f t="shared" si="66"/>
        <v>26.063003998224971</v>
      </c>
    </row>
    <row r="290" spans="1:15" x14ac:dyDescent="0.3">
      <c r="A290" s="5">
        <f t="shared" si="67"/>
        <v>2.8199999999999839</v>
      </c>
      <c r="B290" s="5">
        <f t="shared" si="62"/>
        <v>163.78431659218407</v>
      </c>
      <c r="C290" s="6">
        <f t="shared" si="60"/>
        <v>6317.3950685556711</v>
      </c>
      <c r="D290" s="6">
        <f t="shared" si="68"/>
        <v>39909480.452211514</v>
      </c>
      <c r="E290" s="7">
        <f t="shared" si="69"/>
        <v>6248571.4285714282</v>
      </c>
      <c r="F290" s="7">
        <f t="shared" si="70"/>
        <v>124.97142857142855</v>
      </c>
      <c r="G290" s="7">
        <f t="shared" si="71"/>
        <v>33660909.023640089</v>
      </c>
      <c r="H290" s="6">
        <f t="shared" si="72"/>
        <v>5801.8022220375706</v>
      </c>
      <c r="I290" s="7">
        <f t="shared" si="73"/>
        <v>-4.1256857860387566</v>
      </c>
      <c r="J290" s="7">
        <f t="shared" si="74"/>
        <v>-96.975744209136607</v>
      </c>
      <c r="K290" s="8">
        <f t="shared" si="63"/>
        <v>159.13359460435203</v>
      </c>
      <c r="L290" s="8">
        <f t="shared" si="64"/>
        <v>-6.6836109733827849</v>
      </c>
      <c r="M290" s="8">
        <f t="shared" si="61"/>
        <v>157.10070561880127</v>
      </c>
      <c r="N290" s="8">
        <f t="shared" si="65"/>
        <v>24.999999999999972</v>
      </c>
      <c r="O290" s="8">
        <f t="shared" si="66"/>
        <v>26.063587039131466</v>
      </c>
    </row>
    <row r="291" spans="1:15" x14ac:dyDescent="0.3">
      <c r="A291" s="5">
        <f t="shared" si="67"/>
        <v>2.8299999999999836</v>
      </c>
      <c r="B291" s="5">
        <f t="shared" si="62"/>
        <v>163.74305973432368</v>
      </c>
      <c r="C291" s="6">
        <f t="shared" si="60"/>
        <v>6315.8037326096273</v>
      </c>
      <c r="D291" s="6">
        <f t="shared" si="68"/>
        <v>39889376.788845703</v>
      </c>
      <c r="E291" s="7">
        <f t="shared" si="69"/>
        <v>6248571.4285714282</v>
      </c>
      <c r="F291" s="7">
        <f t="shared" si="70"/>
        <v>124.97142857142855</v>
      </c>
      <c r="G291" s="7">
        <f t="shared" si="71"/>
        <v>33640805.360274278</v>
      </c>
      <c r="H291" s="6">
        <f t="shared" si="72"/>
        <v>5800.069427194323</v>
      </c>
      <c r="I291" s="7">
        <f t="shared" si="73"/>
        <v>-4.1268177159432229</v>
      </c>
      <c r="J291" s="7">
        <f t="shared" si="74"/>
        <v>-96.949145083022032</v>
      </c>
      <c r="K291" s="8">
        <f t="shared" si="63"/>
        <v>159.17725475781</v>
      </c>
      <c r="L291" s="8">
        <f t="shared" si="64"/>
        <v>-6.6854446998280199</v>
      </c>
      <c r="M291" s="8">
        <f t="shared" si="61"/>
        <v>157.05761503449565</v>
      </c>
      <c r="N291" s="8">
        <f t="shared" si="65"/>
        <v>24.999999999999968</v>
      </c>
      <c r="O291" s="8">
        <f t="shared" si="66"/>
        <v>26.064170734153741</v>
      </c>
    </row>
    <row r="292" spans="1:15" x14ac:dyDescent="0.3">
      <c r="A292" s="5">
        <f t="shared" si="67"/>
        <v>2.8399999999999834</v>
      </c>
      <c r="B292" s="5">
        <f t="shared" si="62"/>
        <v>163.70179155716426</v>
      </c>
      <c r="C292" s="6">
        <f t="shared" si="60"/>
        <v>6314.2119600620499</v>
      </c>
      <c r="D292" s="6">
        <f t="shared" si="68"/>
        <v>39869272.676590636</v>
      </c>
      <c r="E292" s="7">
        <f t="shared" si="69"/>
        <v>6248571.4285714282</v>
      </c>
      <c r="F292" s="7">
        <f t="shared" si="70"/>
        <v>124.97142857142855</v>
      </c>
      <c r="G292" s="7">
        <f t="shared" si="71"/>
        <v>33620701.248019211</v>
      </c>
      <c r="H292" s="6">
        <f t="shared" si="72"/>
        <v>5798.3360758082326</v>
      </c>
      <c r="I292" s="7">
        <f t="shared" si="73"/>
        <v>-4.1279506055975324</v>
      </c>
      <c r="J292" s="7">
        <f t="shared" si="74"/>
        <v>-96.922538009935977</v>
      </c>
      <c r="K292" s="8">
        <f t="shared" si="63"/>
        <v>159.22095193019052</v>
      </c>
      <c r="L292" s="8">
        <f t="shared" si="64"/>
        <v>-6.6872799810680013</v>
      </c>
      <c r="M292" s="8">
        <f t="shared" si="61"/>
        <v>157.01451157609625</v>
      </c>
      <c r="N292" s="8">
        <f t="shared" si="65"/>
        <v>24.999999999999964</v>
      </c>
      <c r="O292" s="8">
        <f t="shared" si="66"/>
        <v>26.06475508440932</v>
      </c>
    </row>
    <row r="293" spans="1:15" x14ac:dyDescent="0.3">
      <c r="A293" s="5">
        <f t="shared" si="67"/>
        <v>2.8499999999999832</v>
      </c>
      <c r="B293" s="5">
        <f t="shared" si="62"/>
        <v>163.66051205110827</v>
      </c>
      <c r="C293" s="6">
        <f t="shared" si="60"/>
        <v>6312.6197505427472</v>
      </c>
      <c r="D293" s="6">
        <f t="shared" si="68"/>
        <v>39849168.114942372</v>
      </c>
      <c r="E293" s="7">
        <f t="shared" si="69"/>
        <v>6248571.4285714282</v>
      </c>
      <c r="F293" s="7">
        <f t="shared" si="70"/>
        <v>124.97142857142855</v>
      </c>
      <c r="G293" s="7">
        <f t="shared" si="71"/>
        <v>33600596.686370946</v>
      </c>
      <c r="H293" s="6">
        <f t="shared" si="72"/>
        <v>5796.602167336564</v>
      </c>
      <c r="I293" s="7">
        <f t="shared" si="73"/>
        <v>-4.1290844563823539</v>
      </c>
      <c r="J293" s="7">
        <f t="shared" si="74"/>
        <v>-96.895922982573381</v>
      </c>
      <c r="K293" s="8">
        <f t="shared" si="63"/>
        <v>159.26468617474794</v>
      </c>
      <c r="L293" s="8">
        <f t="shared" si="64"/>
        <v>-6.6891168193394126</v>
      </c>
      <c r="M293" s="8">
        <f t="shared" si="61"/>
        <v>156.97139523176887</v>
      </c>
      <c r="N293" s="8">
        <f t="shared" si="65"/>
        <v>24.999999999999993</v>
      </c>
      <c r="O293" s="8">
        <f t="shared" si="66"/>
        <v>26.06534009101831</v>
      </c>
    </row>
    <row r="294" spans="1:15" x14ac:dyDescent="0.3">
      <c r="A294" s="5">
        <f t="shared" si="67"/>
        <v>2.859999999999983</v>
      </c>
      <c r="B294" s="5">
        <f t="shared" si="62"/>
        <v>163.61922120654444</v>
      </c>
      <c r="C294" s="6">
        <f t="shared" si="60"/>
        <v>6311.0271036809991</v>
      </c>
      <c r="D294" s="6">
        <f t="shared" si="68"/>
        <v>39829063.103396177</v>
      </c>
      <c r="E294" s="7">
        <f t="shared" si="69"/>
        <v>6248571.4285714282</v>
      </c>
      <c r="F294" s="7">
        <f t="shared" si="70"/>
        <v>124.97142857142855</v>
      </c>
      <c r="G294" s="7">
        <f t="shared" si="71"/>
        <v>33580491.674824752</v>
      </c>
      <c r="H294" s="6">
        <f t="shared" si="72"/>
        <v>5794.867701235702</v>
      </c>
      <c r="I294" s="7">
        <f t="shared" si="73"/>
        <v>-4.1302192696811613</v>
      </c>
      <c r="J294" s="7">
        <f t="shared" si="74"/>
        <v>-96.869299993617886</v>
      </c>
      <c r="K294" s="8">
        <f t="shared" si="63"/>
        <v>159.30845754484477</v>
      </c>
      <c r="L294" s="8">
        <f t="shared" si="64"/>
        <v>-6.6909552168834798</v>
      </c>
      <c r="M294" s="8">
        <f t="shared" si="61"/>
        <v>156.92826598966096</v>
      </c>
      <c r="N294" s="8">
        <f t="shared" si="65"/>
        <v>25.000000000000011</v>
      </c>
      <c r="O294" s="8">
        <f t="shared" si="66"/>
        <v>26.065925755103351</v>
      </c>
    </row>
    <row r="295" spans="1:15" x14ac:dyDescent="0.3">
      <c r="A295" s="5">
        <f t="shared" si="67"/>
        <v>2.8699999999999828</v>
      </c>
      <c r="B295" s="5">
        <f t="shared" si="62"/>
        <v>163.57791901384763</v>
      </c>
      <c r="C295" s="6">
        <f t="shared" si="60"/>
        <v>6309.4340191055517</v>
      </c>
      <c r="D295" s="6">
        <f t="shared" si="68"/>
        <v>39808957.641446434</v>
      </c>
      <c r="E295" s="7">
        <f t="shared" si="69"/>
        <v>6248571.4285714282</v>
      </c>
      <c r="F295" s="7">
        <f t="shared" si="70"/>
        <v>124.97142857142855</v>
      </c>
      <c r="G295" s="7">
        <f t="shared" si="71"/>
        <v>33560386.212875009</v>
      </c>
      <c r="H295" s="6">
        <f t="shared" si="72"/>
        <v>5793.132676961146</v>
      </c>
      <c r="I295" s="7">
        <f t="shared" si="73"/>
        <v>-4.1313550468802474</v>
      </c>
      <c r="J295" s="7">
        <f t="shared" si="74"/>
        <v>-96.842669035741764</v>
      </c>
      <c r="K295" s="8">
        <f t="shared" si="63"/>
        <v>159.35226609395238</v>
      </c>
      <c r="L295" s="8">
        <f t="shared" si="64"/>
        <v>-6.6927951759459994</v>
      </c>
      <c r="M295" s="8">
        <f t="shared" si="61"/>
        <v>156.88512383790163</v>
      </c>
      <c r="N295" s="8">
        <f t="shared" si="65"/>
        <v>24.999999999999972</v>
      </c>
      <c r="O295" s="8">
        <f t="shared" si="66"/>
        <v>26.066512077789643</v>
      </c>
    </row>
    <row r="296" spans="1:15" x14ac:dyDescent="0.3">
      <c r="A296" s="5">
        <f t="shared" si="67"/>
        <v>2.8799999999999826</v>
      </c>
      <c r="B296" s="5">
        <f t="shared" si="62"/>
        <v>163.53660546337883</v>
      </c>
      <c r="C296" s="6">
        <f t="shared" si="60"/>
        <v>6307.8404964446117</v>
      </c>
      <c r="D296" s="6">
        <f t="shared" si="68"/>
        <v>39788851.728586607</v>
      </c>
      <c r="E296" s="7">
        <f t="shared" si="69"/>
        <v>6248571.4285714282</v>
      </c>
      <c r="F296" s="7">
        <f t="shared" si="70"/>
        <v>124.97142857142855</v>
      </c>
      <c r="G296" s="7">
        <f t="shared" si="71"/>
        <v>33540280.300015178</v>
      </c>
      <c r="H296" s="6">
        <f t="shared" si="72"/>
        <v>5791.3970939674973</v>
      </c>
      <c r="I296" s="7">
        <f t="shared" si="73"/>
        <v>-4.132491789368772</v>
      </c>
      <c r="J296" s="7">
        <f t="shared" si="74"/>
        <v>-96.816030101605833</v>
      </c>
      <c r="K296" s="8">
        <f t="shared" si="63"/>
        <v>159.39611187565262</v>
      </c>
      <c r="L296" s="8">
        <f t="shared" si="64"/>
        <v>-6.6946366987774093</v>
      </c>
      <c r="M296" s="8">
        <f t="shared" si="61"/>
        <v>156.84196876460143</v>
      </c>
      <c r="N296" s="8">
        <f t="shared" si="65"/>
        <v>25.000000000000025</v>
      </c>
      <c r="O296" s="8">
        <f t="shared" si="66"/>
        <v>26.067099060205198</v>
      </c>
    </row>
    <row r="297" spans="1:15" x14ac:dyDescent="0.3">
      <c r="A297" s="5">
        <f t="shared" si="67"/>
        <v>2.8899999999999824</v>
      </c>
      <c r="B297" s="5">
        <f t="shared" si="62"/>
        <v>163.49528054548514</v>
      </c>
      <c r="C297" s="6">
        <f t="shared" si="60"/>
        <v>6306.2465353258549</v>
      </c>
      <c r="D297" s="6">
        <f t="shared" si="68"/>
        <v>39768745.364309348</v>
      </c>
      <c r="E297" s="7">
        <f t="shared" si="69"/>
        <v>6248571.4285714282</v>
      </c>
      <c r="F297" s="7">
        <f t="shared" si="70"/>
        <v>124.97142857142855</v>
      </c>
      <c r="G297" s="7">
        <f t="shared" si="71"/>
        <v>33520173.935737919</v>
      </c>
      <c r="H297" s="6">
        <f t="shared" si="72"/>
        <v>5789.660951708478</v>
      </c>
      <c r="I297" s="7">
        <f t="shared" si="73"/>
        <v>-4.1336294985386814</v>
      </c>
      <c r="J297" s="7">
        <f t="shared" si="74"/>
        <v>-96.789383183859556</v>
      </c>
      <c r="K297" s="8">
        <f t="shared" si="63"/>
        <v>159.43999494363484</v>
      </c>
      <c r="L297" s="8">
        <f t="shared" si="64"/>
        <v>-6.6964797876326632</v>
      </c>
      <c r="M297" s="8">
        <f t="shared" si="61"/>
        <v>156.79880075785249</v>
      </c>
      <c r="N297" s="8">
        <f t="shared" si="65"/>
        <v>25.000000000000007</v>
      </c>
      <c r="O297" s="8">
        <f t="shared" si="66"/>
        <v>26.067686703480312</v>
      </c>
    </row>
    <row r="298" spans="1:15" x14ac:dyDescent="0.3">
      <c r="A298" s="5">
        <f t="shared" si="67"/>
        <v>2.8999999999999821</v>
      </c>
      <c r="B298" s="5">
        <f t="shared" si="62"/>
        <v>163.45394425049975</v>
      </c>
      <c r="C298" s="6">
        <f t="shared" si="60"/>
        <v>6304.6521353764183</v>
      </c>
      <c r="D298" s="6">
        <f t="shared" si="68"/>
        <v>39748638.548106432</v>
      </c>
      <c r="E298" s="7">
        <f t="shared" si="69"/>
        <v>6248571.4285714282</v>
      </c>
      <c r="F298" s="7">
        <f t="shared" si="70"/>
        <v>124.97142857142855</v>
      </c>
      <c r="G298" s="7">
        <f t="shared" si="71"/>
        <v>33500067.119535003</v>
      </c>
      <c r="H298" s="6">
        <f t="shared" si="72"/>
        <v>5787.9242496369116</v>
      </c>
      <c r="I298" s="7">
        <f t="shared" si="73"/>
        <v>-4.1347681757848056</v>
      </c>
      <c r="J298" s="7">
        <f t="shared" si="74"/>
        <v>-96.762728275140972</v>
      </c>
      <c r="K298" s="8">
        <f t="shared" si="63"/>
        <v>159.48391535169964</v>
      </c>
      <c r="L298" s="8">
        <f t="shared" si="64"/>
        <v>-6.6983244447713837</v>
      </c>
      <c r="M298" s="8">
        <f t="shared" si="61"/>
        <v>156.75561980572837</v>
      </c>
      <c r="N298" s="8">
        <f t="shared" si="65"/>
        <v>24.999999999999996</v>
      </c>
      <c r="O298" s="8">
        <f t="shared" si="66"/>
        <v>26.068275008748131</v>
      </c>
    </row>
    <row r="299" spans="1:15" x14ac:dyDescent="0.3">
      <c r="A299" s="5">
        <f t="shared" si="67"/>
        <v>2.9099999999999819</v>
      </c>
      <c r="B299" s="5">
        <f t="shared" si="62"/>
        <v>163.41259656874189</v>
      </c>
      <c r="C299" s="6">
        <f t="shared" si="60"/>
        <v>6303.0572962229007</v>
      </c>
      <c r="D299" s="6">
        <f t="shared" si="68"/>
        <v>39728531.279468745</v>
      </c>
      <c r="E299" s="7">
        <f t="shared" si="69"/>
        <v>6248571.4285714282</v>
      </c>
      <c r="F299" s="7">
        <f t="shared" si="70"/>
        <v>124.97142857142855</v>
      </c>
      <c r="G299" s="7">
        <f t="shared" si="71"/>
        <v>33479959.850897316</v>
      </c>
      <c r="H299" s="6">
        <f t="shared" si="72"/>
        <v>5786.1869872047273</v>
      </c>
      <c r="I299" s="7">
        <f t="shared" si="73"/>
        <v>-4.1359078225048176</v>
      </c>
      <c r="J299" s="7">
        <f t="shared" si="74"/>
        <v>-96.736065368076609</v>
      </c>
      <c r="K299" s="8">
        <f t="shared" si="63"/>
        <v>159.52787315375724</v>
      </c>
      <c r="L299" s="8">
        <f t="shared" si="64"/>
        <v>-6.7001706724578032</v>
      </c>
      <c r="M299" s="8">
        <f t="shared" si="61"/>
        <v>156.71242589628409</v>
      </c>
      <c r="N299" s="8">
        <f t="shared" si="65"/>
        <v>24.999999999999989</v>
      </c>
      <c r="O299" s="8">
        <f t="shared" si="66"/>
        <v>26.068863977144364</v>
      </c>
    </row>
    <row r="300" spans="1:15" x14ac:dyDescent="0.3">
      <c r="A300" s="5">
        <f t="shared" si="67"/>
        <v>2.9199999999999817</v>
      </c>
      <c r="B300" s="5">
        <f t="shared" si="62"/>
        <v>163.37123749051685</v>
      </c>
      <c r="C300" s="6">
        <f t="shared" si="60"/>
        <v>6301.4620174913634</v>
      </c>
      <c r="D300" s="6">
        <f t="shared" si="68"/>
        <v>39708423.557886325</v>
      </c>
      <c r="E300" s="7">
        <f t="shared" si="69"/>
        <v>6248571.4285714282</v>
      </c>
      <c r="F300" s="7">
        <f t="shared" si="70"/>
        <v>124.97142857142855</v>
      </c>
      <c r="G300" s="7">
        <f t="shared" si="71"/>
        <v>33459852.129314896</v>
      </c>
      <c r="H300" s="6">
        <f t="shared" si="72"/>
        <v>5784.4491638629597</v>
      </c>
      <c r="I300" s="7">
        <f t="shared" si="73"/>
        <v>-4.1370484400992531</v>
      </c>
      <c r="J300" s="7">
        <f t="shared" si="74"/>
        <v>-96.70939445528154</v>
      </c>
      <c r="K300" s="8">
        <f t="shared" si="63"/>
        <v>159.57186840382832</v>
      </c>
      <c r="L300" s="8">
        <f t="shared" si="64"/>
        <v>-6.7020184729607886</v>
      </c>
      <c r="M300" s="8">
        <f t="shared" si="61"/>
        <v>156.66921901755606</v>
      </c>
      <c r="N300" s="8">
        <f t="shared" si="65"/>
        <v>25.000000000000011</v>
      </c>
      <c r="O300" s="8">
        <f t="shared" si="66"/>
        <v>26.069453609807336</v>
      </c>
    </row>
    <row r="301" spans="1:15" x14ac:dyDescent="0.3">
      <c r="A301" s="5">
        <f t="shared" si="67"/>
        <v>2.9299999999999815</v>
      </c>
      <c r="B301" s="5">
        <f t="shared" si="62"/>
        <v>163.32986700611585</v>
      </c>
      <c r="C301" s="6">
        <f t="shared" si="60"/>
        <v>6299.8662988073256</v>
      </c>
      <c r="D301" s="6">
        <f t="shared" si="68"/>
        <v>39688315.382848315</v>
      </c>
      <c r="E301" s="7">
        <f t="shared" si="69"/>
        <v>6248571.4285714282</v>
      </c>
      <c r="F301" s="7">
        <f t="shared" si="70"/>
        <v>124.97142857142855</v>
      </c>
      <c r="G301" s="7">
        <f t="shared" si="71"/>
        <v>33439743.954276886</v>
      </c>
      <c r="H301" s="6">
        <f t="shared" si="72"/>
        <v>5782.7107790617447</v>
      </c>
      <c r="I301" s="7">
        <f t="shared" si="73"/>
        <v>-4.1381900299714989</v>
      </c>
      <c r="J301" s="7">
        <f t="shared" si="74"/>
        <v>-96.682715529359299</v>
      </c>
      <c r="K301" s="8">
        <f t="shared" si="63"/>
        <v>159.61590115604352</v>
      </c>
      <c r="L301" s="8">
        <f t="shared" si="64"/>
        <v>-6.703867848553827</v>
      </c>
      <c r="M301" s="8">
        <f t="shared" si="61"/>
        <v>156.62599915756203</v>
      </c>
      <c r="N301" s="8">
        <f t="shared" si="65"/>
        <v>24.999999999999979</v>
      </c>
      <c r="O301" s="8">
        <f t="shared" si="66"/>
        <v>26.07004390787792</v>
      </c>
    </row>
    <row r="302" spans="1:15" x14ac:dyDescent="0.3">
      <c r="A302" s="5">
        <f t="shared" si="67"/>
        <v>2.9399999999999813</v>
      </c>
      <c r="B302" s="5">
        <f t="shared" si="62"/>
        <v>163.28848510581614</v>
      </c>
      <c r="C302" s="6">
        <f t="shared" si="60"/>
        <v>6298.2701397957653</v>
      </c>
      <c r="D302" s="6">
        <f t="shared" si="68"/>
        <v>39668206.753842972</v>
      </c>
      <c r="E302" s="7">
        <f t="shared" si="69"/>
        <v>6248571.4285714282</v>
      </c>
      <c r="F302" s="7">
        <f t="shared" si="70"/>
        <v>124.97142857142855</v>
      </c>
      <c r="G302" s="7">
        <f t="shared" si="71"/>
        <v>33419635.325271543</v>
      </c>
      <c r="H302" s="6">
        <f t="shared" si="72"/>
        <v>5780.9718322503131</v>
      </c>
      <c r="I302" s="7">
        <f t="shared" si="73"/>
        <v>-4.1393325935278531</v>
      </c>
      <c r="J302" s="7">
        <f t="shared" si="74"/>
        <v>-96.656028582901882</v>
      </c>
      <c r="K302" s="8">
        <f t="shared" si="63"/>
        <v>159.65997146464576</v>
      </c>
      <c r="L302" s="8">
        <f t="shared" si="64"/>
        <v>-6.705718801515121</v>
      </c>
      <c r="M302" s="8">
        <f t="shared" si="61"/>
        <v>156.582766304301</v>
      </c>
      <c r="N302" s="8">
        <f t="shared" si="65"/>
        <v>24.999999999999993</v>
      </c>
      <c r="O302" s="8">
        <f t="shared" si="66"/>
        <v>26.070634872499838</v>
      </c>
    </row>
    <row r="303" spans="1:15" x14ac:dyDescent="0.3">
      <c r="A303" s="5">
        <f t="shared" si="67"/>
        <v>2.9499999999999811</v>
      </c>
      <c r="B303" s="5">
        <f t="shared" si="62"/>
        <v>163.24709177988086</v>
      </c>
      <c r="C303" s="6">
        <f t="shared" si="60"/>
        <v>6296.6735400811185</v>
      </c>
      <c r="D303" s="6">
        <f t="shared" si="68"/>
        <v>39648097.670357682</v>
      </c>
      <c r="E303" s="7">
        <f t="shared" si="69"/>
        <v>6248571.4285714282</v>
      </c>
      <c r="F303" s="7">
        <f t="shared" si="70"/>
        <v>124.97142857142855</v>
      </c>
      <c r="G303" s="7">
        <f t="shared" si="71"/>
        <v>33399526.241786253</v>
      </c>
      <c r="H303" s="6">
        <f t="shared" si="72"/>
        <v>5779.2323228769974</v>
      </c>
      <c r="I303" s="7">
        <f t="shared" si="73"/>
        <v>-4.1404761321774677</v>
      </c>
      <c r="J303" s="7">
        <f t="shared" si="74"/>
        <v>-96.629333608489745</v>
      </c>
      <c r="K303" s="8">
        <f t="shared" si="63"/>
        <v>159.70407938398802</v>
      </c>
      <c r="L303" s="8">
        <f t="shared" si="64"/>
        <v>-6.7075713341274961</v>
      </c>
      <c r="M303" s="8">
        <f t="shared" si="61"/>
        <v>156.53952044575337</v>
      </c>
      <c r="N303" s="8">
        <f t="shared" si="65"/>
        <v>25.000000000000011</v>
      </c>
      <c r="O303" s="8">
        <f t="shared" si="66"/>
        <v>26.071226504819272</v>
      </c>
    </row>
    <row r="304" spans="1:15" x14ac:dyDescent="0.3">
      <c r="A304" s="5">
        <f t="shared" si="67"/>
        <v>2.9599999999999809</v>
      </c>
      <c r="B304" s="5">
        <f t="shared" si="62"/>
        <v>163.20568701855908</v>
      </c>
      <c r="C304" s="6">
        <f t="shared" si="60"/>
        <v>6295.0764992872782</v>
      </c>
      <c r="D304" s="6">
        <f t="shared" si="68"/>
        <v>39627988.131878972</v>
      </c>
      <c r="E304" s="7">
        <f t="shared" si="69"/>
        <v>6248571.4285714282</v>
      </c>
      <c r="F304" s="7">
        <f t="shared" si="70"/>
        <v>124.97142857142855</v>
      </c>
      <c r="G304" s="7">
        <f t="shared" si="71"/>
        <v>33379416.703307543</v>
      </c>
      <c r="H304" s="6">
        <f t="shared" si="72"/>
        <v>5777.492250389224</v>
      </c>
      <c r="I304" s="7">
        <f t="shared" si="73"/>
        <v>-4.1416206473323971</v>
      </c>
      <c r="J304" s="7">
        <f t="shared" si="74"/>
        <v>-96.602630598691732</v>
      </c>
      <c r="K304" s="8">
        <f t="shared" si="63"/>
        <v>159.74822496853531</v>
      </c>
      <c r="L304" s="8">
        <f t="shared" si="64"/>
        <v>-6.7094254486784823</v>
      </c>
      <c r="M304" s="8">
        <f t="shared" si="61"/>
        <v>156.4962615698806</v>
      </c>
      <c r="N304" s="8">
        <f t="shared" si="65"/>
        <v>25.000000000000032</v>
      </c>
      <c r="O304" s="8">
        <f t="shared" si="66"/>
        <v>26.071818805985139</v>
      </c>
    </row>
    <row r="305" spans="1:15" x14ac:dyDescent="0.3">
      <c r="A305" s="5">
        <f t="shared" si="67"/>
        <v>2.9699999999999807</v>
      </c>
      <c r="B305" s="5">
        <f t="shared" si="62"/>
        <v>163.16427081208576</v>
      </c>
      <c r="C305" s="6">
        <f t="shared" si="60"/>
        <v>6293.4790170375936</v>
      </c>
      <c r="D305" s="6">
        <f t="shared" si="68"/>
        <v>39607878.137892477</v>
      </c>
      <c r="E305" s="7">
        <f t="shared" si="69"/>
        <v>6248571.4285714282</v>
      </c>
      <c r="F305" s="7">
        <f t="shared" si="70"/>
        <v>124.97142857142855</v>
      </c>
      <c r="G305" s="7">
        <f t="shared" si="71"/>
        <v>33359306.709321048</v>
      </c>
      <c r="H305" s="6">
        <f t="shared" si="72"/>
        <v>5775.7516142335144</v>
      </c>
      <c r="I305" s="7">
        <f t="shared" si="73"/>
        <v>-4.1427661404075851</v>
      </c>
      <c r="J305" s="7">
        <f t="shared" si="74"/>
        <v>-96.575919546065123</v>
      </c>
      <c r="K305" s="8">
        <f t="shared" si="63"/>
        <v>159.79240827286398</v>
      </c>
      <c r="L305" s="8">
        <f t="shared" si="64"/>
        <v>-6.7112811474602863</v>
      </c>
      <c r="M305" s="8">
        <f t="shared" si="61"/>
        <v>156.45298966462548</v>
      </c>
      <c r="N305" s="8">
        <f t="shared" si="65"/>
        <v>25.000000000000004</v>
      </c>
      <c r="O305" s="8">
        <f t="shared" si="66"/>
        <v>26.07241177714895</v>
      </c>
    </row>
    <row r="306" spans="1:15" x14ac:dyDescent="0.3">
      <c r="A306" s="5">
        <f t="shared" si="67"/>
        <v>2.9799999999999804</v>
      </c>
      <c r="B306" s="5">
        <f t="shared" si="62"/>
        <v>163.12284315068169</v>
      </c>
      <c r="C306" s="6">
        <f t="shared" si="60"/>
        <v>6291.8810929548645</v>
      </c>
      <c r="D306" s="6">
        <f t="shared" si="68"/>
        <v>39587767.6878829</v>
      </c>
      <c r="E306" s="7">
        <f t="shared" si="69"/>
        <v>6248571.4285714282</v>
      </c>
      <c r="F306" s="7">
        <f t="shared" si="70"/>
        <v>124.97142857142855</v>
      </c>
      <c r="G306" s="7">
        <f t="shared" si="71"/>
        <v>33339196.259311471</v>
      </c>
      <c r="H306" s="6">
        <f t="shared" si="72"/>
        <v>5774.0104138554743</v>
      </c>
      <c r="I306" s="7">
        <f t="shared" si="73"/>
        <v>-4.1439126128209098</v>
      </c>
      <c r="J306" s="7">
        <f t="shared" si="74"/>
        <v>-96.549200443155442</v>
      </c>
      <c r="K306" s="8">
        <f t="shared" si="63"/>
        <v>159.83662935166365</v>
      </c>
      <c r="L306" s="8">
        <f t="shared" si="64"/>
        <v>-6.7131384327698722</v>
      </c>
      <c r="M306" s="8">
        <f t="shared" si="61"/>
        <v>156.40970471791181</v>
      </c>
      <c r="N306" s="8">
        <f t="shared" si="65"/>
        <v>25.000000000000025</v>
      </c>
      <c r="O306" s="8">
        <f t="shared" si="66"/>
        <v>26.073005419465073</v>
      </c>
    </row>
    <row r="307" spans="1:15" x14ac:dyDescent="0.3">
      <c r="A307" s="5">
        <f t="shared" si="67"/>
        <v>2.9899999999999802</v>
      </c>
      <c r="B307" s="5">
        <f t="shared" si="62"/>
        <v>163.08140402455348</v>
      </c>
      <c r="C307" s="6">
        <f t="shared" si="60"/>
        <v>6290.2827266613485</v>
      </c>
      <c r="D307" s="6">
        <f t="shared" si="68"/>
        <v>39567656.781334132</v>
      </c>
      <c r="E307" s="7">
        <f t="shared" si="69"/>
        <v>6248571.4285714282</v>
      </c>
      <c r="F307" s="7">
        <f t="shared" si="70"/>
        <v>124.97142857142855</v>
      </c>
      <c r="G307" s="7">
        <f t="shared" si="71"/>
        <v>33319085.352762703</v>
      </c>
      <c r="H307" s="6">
        <f t="shared" si="72"/>
        <v>5772.2686486998073</v>
      </c>
      <c r="I307" s="7">
        <f t="shared" si="73"/>
        <v>-4.1450600659931292</v>
      </c>
      <c r="J307" s="7">
        <f t="shared" si="74"/>
        <v>-96.522473282496691</v>
      </c>
      <c r="K307" s="8">
        <f t="shared" si="63"/>
        <v>159.88088825973497</v>
      </c>
      <c r="L307" s="8">
        <f t="shared" si="64"/>
        <v>-6.7149973069088684</v>
      </c>
      <c r="M307" s="8">
        <f t="shared" si="61"/>
        <v>156.36640671764462</v>
      </c>
      <c r="N307" s="8">
        <f t="shared" si="65"/>
        <v>25.000000000000011</v>
      </c>
      <c r="O307" s="8">
        <f t="shared" si="66"/>
        <v>26.073599734090326</v>
      </c>
    </row>
    <row r="308" spans="1:15" x14ac:dyDescent="0.3">
      <c r="A308" s="5">
        <f t="shared" si="67"/>
        <v>2.99999999999998</v>
      </c>
      <c r="B308" s="5">
        <f t="shared" si="62"/>
        <v>163.03995342389354</v>
      </c>
      <c r="C308" s="6">
        <f t="shared" si="60"/>
        <v>6288.6839177787506</v>
      </c>
      <c r="D308" s="6">
        <f t="shared" si="68"/>
        <v>39547545.417729095</v>
      </c>
      <c r="E308" s="7">
        <f t="shared" si="69"/>
        <v>6248571.4285714282</v>
      </c>
      <c r="F308" s="7">
        <f t="shared" si="70"/>
        <v>124.97142857142855</v>
      </c>
      <c r="G308" s="7">
        <f t="shared" si="71"/>
        <v>33298973.989157666</v>
      </c>
      <c r="H308" s="6">
        <f t="shared" si="72"/>
        <v>5770.5263182102954</v>
      </c>
      <c r="I308" s="7">
        <f t="shared" si="73"/>
        <v>-4.1462085013479504</v>
      </c>
      <c r="J308" s="7">
        <f t="shared" si="74"/>
        <v>-96.495738056611032</v>
      </c>
      <c r="K308" s="8">
        <f t="shared" si="63"/>
        <v>159.92518505199237</v>
      </c>
      <c r="L308" s="8">
        <f t="shared" si="64"/>
        <v>-6.7168577721836789</v>
      </c>
      <c r="M308" s="8">
        <f t="shared" si="61"/>
        <v>156.32309565170985</v>
      </c>
      <c r="N308" s="8">
        <f t="shared" si="65"/>
        <v>25</v>
      </c>
      <c r="O308" s="8">
        <f t="shared" si="66"/>
        <v>26.074194722184391</v>
      </c>
    </row>
    <row r="309" spans="1:15" x14ac:dyDescent="0.3">
      <c r="A309" s="5">
        <f t="shared" si="67"/>
        <v>3.0099999999999798</v>
      </c>
      <c r="B309" s="5">
        <f t="shared" si="62"/>
        <v>162.99849133888006</v>
      </c>
      <c r="C309" s="6">
        <f t="shared" si="60"/>
        <v>6287.0846659282306</v>
      </c>
      <c r="D309" s="6">
        <f t="shared" si="68"/>
        <v>39527433.596549891</v>
      </c>
      <c r="E309" s="7">
        <f t="shared" si="69"/>
        <v>6248571.4285714282</v>
      </c>
      <c r="F309" s="7">
        <f t="shared" si="70"/>
        <v>124.97142857142855</v>
      </c>
      <c r="G309" s="7">
        <f t="shared" si="71"/>
        <v>33278862.167978462</v>
      </c>
      <c r="H309" s="6">
        <f t="shared" si="72"/>
        <v>5768.7834218298112</v>
      </c>
      <c r="I309" s="7">
        <f t="shared" si="73"/>
        <v>-4.1473579203119986</v>
      </c>
      <c r="J309" s="7">
        <f t="shared" si="74"/>
        <v>-96.468994758009032</v>
      </c>
      <c r="K309" s="8">
        <f t="shared" si="63"/>
        <v>159.9695197834628</v>
      </c>
      <c r="L309" s="8">
        <f t="shared" si="64"/>
        <v>-6.718719830905437</v>
      </c>
      <c r="M309" s="8">
        <f t="shared" si="61"/>
        <v>156.27977150797463</v>
      </c>
      <c r="N309" s="8">
        <f t="shared" si="65"/>
        <v>24.999999999999993</v>
      </c>
      <c r="O309" s="8">
        <f t="shared" si="66"/>
        <v>26.074790384909562</v>
      </c>
    </row>
    <row r="310" spans="1:15" x14ac:dyDescent="0.3">
      <c r="A310" s="5">
        <f t="shared" si="67"/>
        <v>3.0199999999999796</v>
      </c>
      <c r="B310" s="5">
        <f t="shared" si="62"/>
        <v>162.95701775967694</v>
      </c>
      <c r="C310" s="6">
        <f t="shared" si="60"/>
        <v>6285.4849707303965</v>
      </c>
      <c r="D310" s="6">
        <f t="shared" si="68"/>
        <v>39507321.317277692</v>
      </c>
      <c r="E310" s="7">
        <f t="shared" si="69"/>
        <v>6248571.4285714282</v>
      </c>
      <c r="F310" s="7">
        <f t="shared" si="70"/>
        <v>124.97142857142855</v>
      </c>
      <c r="G310" s="7">
        <f t="shared" si="71"/>
        <v>33258749.888706263</v>
      </c>
      <c r="H310" s="6">
        <f t="shared" si="72"/>
        <v>5767.0399590003071</v>
      </c>
      <c r="I310" s="7">
        <f t="shared" si="73"/>
        <v>-4.1485083243148448</v>
      </c>
      <c r="J310" s="7">
        <f t="shared" si="74"/>
        <v>-96.442243379189463</v>
      </c>
      <c r="K310" s="8">
        <f t="shared" si="63"/>
        <v>160.01389250928688</v>
      </c>
      <c r="L310" s="8">
        <f t="shared" si="64"/>
        <v>-6.7205834853900477</v>
      </c>
      <c r="M310" s="8">
        <f t="shared" si="61"/>
        <v>156.23643427428689</v>
      </c>
      <c r="N310" s="8">
        <f t="shared" si="65"/>
        <v>25.000000000000007</v>
      </c>
      <c r="O310" s="8">
        <f t="shared" si="66"/>
        <v>26.075386723430899</v>
      </c>
    </row>
    <row r="311" spans="1:15" x14ac:dyDescent="0.3">
      <c r="A311" s="5">
        <f t="shared" si="67"/>
        <v>3.0299999999999794</v>
      </c>
      <c r="B311" s="5">
        <f t="shared" si="62"/>
        <v>162.9155326764338</v>
      </c>
      <c r="C311" s="6">
        <f t="shared" si="60"/>
        <v>6283.8848318053033</v>
      </c>
      <c r="D311" s="6">
        <f t="shared" si="68"/>
        <v>39487208.579392768</v>
      </c>
      <c r="E311" s="7">
        <f t="shared" si="69"/>
        <v>6248571.4285714282</v>
      </c>
      <c r="F311" s="7">
        <f t="shared" si="70"/>
        <v>124.97142857142855</v>
      </c>
      <c r="G311" s="7">
        <f t="shared" si="71"/>
        <v>33238637.150821339</v>
      </c>
      <c r="H311" s="6">
        <f t="shared" si="72"/>
        <v>5765.2959291628158</v>
      </c>
      <c r="I311" s="7">
        <f t="shared" si="73"/>
        <v>-4.1496597147889949</v>
      </c>
      <c r="J311" s="7">
        <f t="shared" si="74"/>
        <v>-96.415483912639303</v>
      </c>
      <c r="K311" s="8">
        <f t="shared" si="63"/>
        <v>160.05830328471836</v>
      </c>
      <c r="L311" s="8">
        <f t="shared" si="64"/>
        <v>-6.722448737958171</v>
      </c>
      <c r="M311" s="8">
        <f t="shared" si="61"/>
        <v>156.19308393847564</v>
      </c>
      <c r="N311" s="8">
        <f t="shared" si="65"/>
        <v>25.000000000000007</v>
      </c>
      <c r="O311" s="8">
        <f t="shared" si="66"/>
        <v>26.075983738916086</v>
      </c>
    </row>
    <row r="312" spans="1:15" x14ac:dyDescent="0.3">
      <c r="A312" s="5">
        <f t="shared" si="67"/>
        <v>3.0399999999999792</v>
      </c>
      <c r="B312" s="5">
        <f t="shared" si="62"/>
        <v>162.8740360792859</v>
      </c>
      <c r="C312" s="6">
        <f t="shared" si="60"/>
        <v>6282.2842487724556</v>
      </c>
      <c r="D312" s="6">
        <f t="shared" si="68"/>
        <v>39467095.382374495</v>
      </c>
      <c r="E312" s="7">
        <f t="shared" si="69"/>
        <v>6248571.4285714282</v>
      </c>
      <c r="F312" s="7">
        <f t="shared" si="70"/>
        <v>124.97142857142855</v>
      </c>
      <c r="G312" s="7">
        <f t="shared" si="71"/>
        <v>33218523.953803066</v>
      </c>
      <c r="H312" s="6">
        <f t="shared" si="72"/>
        <v>5763.5513317574496</v>
      </c>
      <c r="I312" s="7">
        <f t="shared" si="73"/>
        <v>-4.1508120931699164</v>
      </c>
      <c r="J312" s="7">
        <f t="shared" si="74"/>
        <v>-96.388716350833732</v>
      </c>
      <c r="K312" s="8">
        <f t="shared" si="63"/>
        <v>160.10275216512534</v>
      </c>
      <c r="L312" s="8">
        <f t="shared" si="64"/>
        <v>-6.7243155909352632</v>
      </c>
      <c r="M312" s="8">
        <f t="shared" si="61"/>
        <v>156.14972048835062</v>
      </c>
      <c r="N312" s="8">
        <f t="shared" si="65"/>
        <v>24.999999999999993</v>
      </c>
      <c r="O312" s="8">
        <f t="shared" si="66"/>
        <v>26.076581432535594</v>
      </c>
    </row>
    <row r="313" spans="1:15" x14ac:dyDescent="0.3">
      <c r="A313" s="5">
        <f t="shared" si="67"/>
        <v>3.049999999999979</v>
      </c>
      <c r="B313" s="5">
        <f t="shared" si="62"/>
        <v>162.83252795835421</v>
      </c>
      <c r="C313" s="6">
        <f t="shared" si="60"/>
        <v>6280.6832212508043</v>
      </c>
      <c r="D313" s="6">
        <f t="shared" si="68"/>
        <v>39446981.725701377</v>
      </c>
      <c r="E313" s="7">
        <f t="shared" si="69"/>
        <v>6248571.4285714282</v>
      </c>
      <c r="F313" s="7">
        <f t="shared" si="70"/>
        <v>124.97142857142855</v>
      </c>
      <c r="G313" s="7">
        <f t="shared" si="71"/>
        <v>33198410.297129948</v>
      </c>
      <c r="H313" s="6">
        <f t="shared" si="72"/>
        <v>5761.8061662233958</v>
      </c>
      <c r="I313" s="7">
        <f t="shared" si="73"/>
        <v>-4.1519654608960446</v>
      </c>
      <c r="J313" s="7">
        <f t="shared" si="74"/>
        <v>-96.361940686236196</v>
      </c>
      <c r="K313" s="8">
        <f t="shared" si="63"/>
        <v>160.14723920599027</v>
      </c>
      <c r="L313" s="8">
        <f t="shared" si="64"/>
        <v>-6.726184046651591</v>
      </c>
      <c r="M313" s="8">
        <f t="shared" si="61"/>
        <v>156.10634391170262</v>
      </c>
      <c r="N313" s="8">
        <f t="shared" si="65"/>
        <v>25.000000000000021</v>
      </c>
      <c r="O313" s="8">
        <f t="shared" si="66"/>
        <v>26.077179805462649</v>
      </c>
    </row>
    <row r="314" spans="1:15" x14ac:dyDescent="0.3">
      <c r="A314" s="5">
        <f t="shared" si="67"/>
        <v>3.0599999999999787</v>
      </c>
      <c r="B314" s="5">
        <f t="shared" si="62"/>
        <v>162.79100830374526</v>
      </c>
      <c r="C314" s="6">
        <f t="shared" si="60"/>
        <v>6279.0817488587454</v>
      </c>
      <c r="D314" s="6">
        <f t="shared" si="68"/>
        <v>39426867.608851001</v>
      </c>
      <c r="E314" s="7">
        <f t="shared" si="69"/>
        <v>6248571.4285714282</v>
      </c>
      <c r="F314" s="7">
        <f t="shared" si="70"/>
        <v>124.97142857142855</v>
      </c>
      <c r="G314" s="7">
        <f t="shared" si="71"/>
        <v>33178296.180279572</v>
      </c>
      <c r="H314" s="6">
        <f t="shared" si="72"/>
        <v>5760.0604319989188</v>
      </c>
      <c r="I314" s="7">
        <f t="shared" si="73"/>
        <v>-4.1531198194087642</v>
      </c>
      <c r="J314" s="7">
        <f t="shared" si="74"/>
        <v>-96.335156911298199</v>
      </c>
      <c r="K314" s="8">
        <f t="shared" si="63"/>
        <v>160.19176446290948</v>
      </c>
      <c r="L314" s="8">
        <f t="shared" si="64"/>
        <v>-6.7280541074421976</v>
      </c>
      <c r="M314" s="8">
        <f t="shared" si="61"/>
        <v>156.06295419630305</v>
      </c>
      <c r="N314" s="8">
        <f t="shared" si="65"/>
        <v>25.000000000000007</v>
      </c>
      <c r="O314" s="8">
        <f t="shared" si="66"/>
        <v>26.077778858873103</v>
      </c>
    </row>
    <row r="315" spans="1:15" x14ac:dyDescent="0.3">
      <c r="A315" s="5">
        <f t="shared" si="67"/>
        <v>3.0699999999999785</v>
      </c>
      <c r="B315" s="5">
        <f t="shared" si="62"/>
        <v>162.74947710555116</v>
      </c>
      <c r="C315" s="6">
        <f t="shared" si="60"/>
        <v>6277.4798312141156</v>
      </c>
      <c r="D315" s="6">
        <f t="shared" si="68"/>
        <v>39406753.031300001</v>
      </c>
      <c r="E315" s="7">
        <f t="shared" si="69"/>
        <v>6248571.4285714282</v>
      </c>
      <c r="F315" s="7">
        <f t="shared" si="70"/>
        <v>124.97142857142855</v>
      </c>
      <c r="G315" s="7">
        <f t="shared" si="71"/>
        <v>33158181.602728572</v>
      </c>
      <c r="H315" s="6">
        <f t="shared" si="72"/>
        <v>5758.3141285213478</v>
      </c>
      <c r="I315" s="7">
        <f t="shared" si="73"/>
        <v>-4.1542751701524638</v>
      </c>
      <c r="J315" s="7">
        <f t="shared" si="74"/>
        <v>-96.308365018459369</v>
      </c>
      <c r="K315" s="8">
        <f t="shared" si="63"/>
        <v>160.23632799159503</v>
      </c>
      <c r="L315" s="8">
        <f t="shared" si="64"/>
        <v>-6.7299257756469908</v>
      </c>
      <c r="M315" s="8">
        <f t="shared" si="61"/>
        <v>156.01955132990417</v>
      </c>
      <c r="N315" s="8">
        <f t="shared" si="65"/>
        <v>25.000000000000021</v>
      </c>
      <c r="O315" s="8">
        <f t="shared" si="66"/>
        <v>26.078378593945683</v>
      </c>
    </row>
    <row r="316" spans="1:15" x14ac:dyDescent="0.3">
      <c r="A316" s="5">
        <f t="shared" si="67"/>
        <v>3.0799999999999783</v>
      </c>
      <c r="B316" s="5">
        <f t="shared" si="62"/>
        <v>162.70793435384965</v>
      </c>
      <c r="C316" s="6">
        <f t="shared" si="60"/>
        <v>6275.8774679342005</v>
      </c>
      <c r="D316" s="6">
        <f t="shared" si="68"/>
        <v>39386637.992524192</v>
      </c>
      <c r="E316" s="7">
        <f t="shared" si="69"/>
        <v>6248571.4285714282</v>
      </c>
      <c r="F316" s="7">
        <f t="shared" si="70"/>
        <v>124.97142857142855</v>
      </c>
      <c r="G316" s="7">
        <f t="shared" si="71"/>
        <v>33138066.563952763</v>
      </c>
      <c r="H316" s="6">
        <f t="shared" si="72"/>
        <v>5756.5672552270908</v>
      </c>
      <c r="I316" s="7">
        <f t="shared" si="73"/>
        <v>-4.1554315145744951</v>
      </c>
      <c r="J316" s="7">
        <f t="shared" si="74"/>
        <v>-96.281565000147523</v>
      </c>
      <c r="K316" s="8">
        <f t="shared" si="63"/>
        <v>160.28092984787338</v>
      </c>
      <c r="L316" s="8">
        <f t="shared" si="64"/>
        <v>-6.7317990536106809</v>
      </c>
      <c r="M316" s="8">
        <f t="shared" si="61"/>
        <v>155.97613530023898</v>
      </c>
      <c r="N316" s="8">
        <f t="shared" si="65"/>
        <v>25.000000000000011</v>
      </c>
      <c r="O316" s="8">
        <f t="shared" si="66"/>
        <v>26.078979011861765</v>
      </c>
    </row>
    <row r="317" spans="1:15" x14ac:dyDescent="0.3">
      <c r="A317" s="5">
        <f t="shared" si="67"/>
        <v>3.0899999999999781</v>
      </c>
      <c r="B317" s="5">
        <f t="shared" si="62"/>
        <v>162.66638003870392</v>
      </c>
      <c r="C317" s="6">
        <f t="shared" si="60"/>
        <v>6274.2746586357225</v>
      </c>
      <c r="D317" s="6">
        <f t="shared" si="68"/>
        <v>39366522.491998412</v>
      </c>
      <c r="E317" s="7">
        <f t="shared" si="69"/>
        <v>6248571.4285714282</v>
      </c>
      <c r="F317" s="7">
        <f t="shared" si="70"/>
        <v>124.97142857142855</v>
      </c>
      <c r="G317" s="7">
        <f t="shared" si="71"/>
        <v>33117951.063426983</v>
      </c>
      <c r="H317" s="6">
        <f t="shared" si="72"/>
        <v>5754.8198115516161</v>
      </c>
      <c r="I317" s="7">
        <f t="shared" si="73"/>
        <v>-4.1565888541252232</v>
      </c>
      <c r="J317" s="7">
        <f t="shared" si="74"/>
        <v>-96.254756848778442</v>
      </c>
      <c r="K317" s="8">
        <f t="shared" si="63"/>
        <v>160.32557008768717</v>
      </c>
      <c r="L317" s="8">
        <f t="shared" si="64"/>
        <v>-6.7336739436828603</v>
      </c>
      <c r="M317" s="8">
        <f t="shared" si="61"/>
        <v>155.93270609502105</v>
      </c>
      <c r="N317" s="8">
        <f t="shared" si="65"/>
        <v>25.000000000000021</v>
      </c>
      <c r="O317" s="8">
        <f t="shared" si="66"/>
        <v>26.079580113805584</v>
      </c>
    </row>
    <row r="318" spans="1:15" x14ac:dyDescent="0.3">
      <c r="A318" s="5">
        <f t="shared" si="67"/>
        <v>3.0999999999999779</v>
      </c>
      <c r="B318" s="5">
        <f t="shared" si="62"/>
        <v>162.62481415016268</v>
      </c>
      <c r="C318" s="6">
        <f t="shared" si="60"/>
        <v>6272.6714029348459</v>
      </c>
      <c r="D318" s="6">
        <f t="shared" si="68"/>
        <v>39346406.529196605</v>
      </c>
      <c r="E318" s="7">
        <f t="shared" si="69"/>
        <v>6248571.4285714282</v>
      </c>
      <c r="F318" s="7">
        <f t="shared" si="70"/>
        <v>124.97142857142855</v>
      </c>
      <c r="G318" s="7">
        <f t="shared" si="71"/>
        <v>33097835.100625176</v>
      </c>
      <c r="H318" s="6">
        <f t="shared" si="72"/>
        <v>5753.071796929461</v>
      </c>
      <c r="I318" s="7">
        <f t="shared" si="73"/>
        <v>-4.1577471902579957</v>
      </c>
      <c r="J318" s="7">
        <f t="shared" si="74"/>
        <v>-96.227940556756025</v>
      </c>
      <c r="K318" s="8">
        <f t="shared" si="63"/>
        <v>160.3702487670941</v>
      </c>
      <c r="L318" s="8">
        <f t="shared" si="64"/>
        <v>-6.7355504482179516</v>
      </c>
      <c r="M318" s="8">
        <f t="shared" si="61"/>
        <v>155.88926370194471</v>
      </c>
      <c r="N318" s="8">
        <f t="shared" si="65"/>
        <v>25.000000000000007</v>
      </c>
      <c r="O318" s="8">
        <f t="shared" si="66"/>
        <v>26.080181900964032</v>
      </c>
    </row>
    <row r="319" spans="1:15" x14ac:dyDescent="0.3">
      <c r="A319" s="5">
        <f t="shared" si="67"/>
        <v>3.1099999999999777</v>
      </c>
      <c r="B319" s="5">
        <f t="shared" si="62"/>
        <v>162.58323667826011</v>
      </c>
      <c r="C319" s="6">
        <f t="shared" si="60"/>
        <v>6271.0677004471754</v>
      </c>
      <c r="D319" s="6">
        <f t="shared" si="68"/>
        <v>39326290.103591822</v>
      </c>
      <c r="E319" s="7">
        <f t="shared" si="69"/>
        <v>6248571.4285714282</v>
      </c>
      <c r="F319" s="7">
        <f t="shared" si="70"/>
        <v>124.97142857142855</v>
      </c>
      <c r="G319" s="7">
        <f t="shared" si="71"/>
        <v>33077718.675020393</v>
      </c>
      <c r="H319" s="6">
        <f t="shared" si="72"/>
        <v>5751.3232107942249</v>
      </c>
      <c r="I319" s="7">
        <f t="shared" si="73"/>
        <v>-4.158906524429189</v>
      </c>
      <c r="J319" s="7">
        <f t="shared" si="74"/>
        <v>-96.201116116472136</v>
      </c>
      <c r="K319" s="8">
        <f t="shared" si="63"/>
        <v>160.41496594226871</v>
      </c>
      <c r="L319" s="8">
        <f t="shared" si="64"/>
        <v>-6.7374285695752851</v>
      </c>
      <c r="M319" s="8">
        <f t="shared" si="61"/>
        <v>155.84580810868482</v>
      </c>
      <c r="N319" s="8">
        <f t="shared" si="65"/>
        <v>25.000000000000021</v>
      </c>
      <c r="O319" s="8">
        <f t="shared" si="66"/>
        <v>26.08078437452691</v>
      </c>
    </row>
    <row r="320" spans="1:15" x14ac:dyDescent="0.3">
      <c r="A320" s="5">
        <f t="shared" si="67"/>
        <v>3.1199999999999775</v>
      </c>
      <c r="B320" s="5">
        <f t="shared" si="62"/>
        <v>162.54164761301581</v>
      </c>
      <c r="C320" s="6">
        <f t="shared" si="60"/>
        <v>6269.463550787752</v>
      </c>
      <c r="D320" s="6">
        <f t="shared" si="68"/>
        <v>39306173.214656167</v>
      </c>
      <c r="E320" s="7">
        <f t="shared" si="69"/>
        <v>6248571.4285714282</v>
      </c>
      <c r="F320" s="7">
        <f t="shared" si="70"/>
        <v>124.97142857142855</v>
      </c>
      <c r="G320" s="7">
        <f t="shared" si="71"/>
        <v>33057601.786084738</v>
      </c>
      <c r="H320" s="6">
        <f t="shared" si="72"/>
        <v>5749.5740525785677</v>
      </c>
      <c r="I320" s="7">
        <f t="shared" si="73"/>
        <v>-4.1600668580981832</v>
      </c>
      <c r="J320" s="7">
        <f t="shared" si="74"/>
        <v>-96.174283520306645</v>
      </c>
      <c r="K320" s="8">
        <f t="shared" si="63"/>
        <v>160.45972166950133</v>
      </c>
      <c r="L320" s="8">
        <f t="shared" si="64"/>
        <v>-6.7393083101190552</v>
      </c>
      <c r="M320" s="8">
        <f t="shared" si="61"/>
        <v>155.80233930289677</v>
      </c>
      <c r="N320" s="8">
        <f t="shared" si="65"/>
        <v>25.000000000000025</v>
      </c>
      <c r="O320" s="8">
        <f t="shared" si="66"/>
        <v>26.081387535686684</v>
      </c>
    </row>
    <row r="321" spans="1:15" x14ac:dyDescent="0.3">
      <c r="A321" s="5">
        <f t="shared" si="67"/>
        <v>3.1299999999999772</v>
      </c>
      <c r="B321" s="5">
        <f t="shared" si="62"/>
        <v>162.50004694443484</v>
      </c>
      <c r="C321" s="6">
        <f t="shared" si="60"/>
        <v>6267.858953571058</v>
      </c>
      <c r="D321" s="6">
        <f t="shared" si="68"/>
        <v>39286055.861860879</v>
      </c>
      <c r="E321" s="7">
        <f t="shared" si="69"/>
        <v>6248571.4285714282</v>
      </c>
      <c r="F321" s="7">
        <f t="shared" si="70"/>
        <v>124.97142857142855</v>
      </c>
      <c r="G321" s="7">
        <f t="shared" si="71"/>
        <v>33037484.43328945</v>
      </c>
      <c r="H321" s="6">
        <f t="shared" si="72"/>
        <v>5747.8243217142126</v>
      </c>
      <c r="I321" s="7">
        <f t="shared" si="73"/>
        <v>-4.1612281927273873</v>
      </c>
      <c r="J321" s="7">
        <f t="shared" si="74"/>
        <v>-96.147442760627484</v>
      </c>
      <c r="K321" s="8">
        <f t="shared" si="63"/>
        <v>160.50451600519921</v>
      </c>
      <c r="L321" s="8">
        <f t="shared" si="64"/>
        <v>-6.7411896722183657</v>
      </c>
      <c r="M321" s="8">
        <f t="shared" si="61"/>
        <v>155.75885727221649</v>
      </c>
      <c r="N321" s="8">
        <f t="shared" si="65"/>
        <v>25.000000000000011</v>
      </c>
      <c r="O321" s="8">
        <f t="shared" si="66"/>
        <v>26.081991385638663</v>
      </c>
    </row>
    <row r="322" spans="1:15" x14ac:dyDescent="0.3">
      <c r="A322" s="5">
        <f t="shared" si="67"/>
        <v>3.139999999999977</v>
      </c>
      <c r="B322" s="5">
        <f t="shared" si="62"/>
        <v>162.45843466250756</v>
      </c>
      <c r="C322" s="6">
        <f t="shared" si="60"/>
        <v>6266.2539084110058</v>
      </c>
      <c r="D322" s="6">
        <f t="shared" si="68"/>
        <v>39265938.044676207</v>
      </c>
      <c r="E322" s="7">
        <f t="shared" si="69"/>
        <v>6248571.4285714282</v>
      </c>
      <c r="F322" s="7">
        <f t="shared" si="70"/>
        <v>124.97142857142855</v>
      </c>
      <c r="G322" s="7">
        <f t="shared" si="71"/>
        <v>33017366.616104778</v>
      </c>
      <c r="H322" s="6">
        <f t="shared" si="72"/>
        <v>5746.0740176319323</v>
      </c>
      <c r="I322" s="7">
        <f t="shared" si="73"/>
        <v>-4.162390529782253</v>
      </c>
      <c r="J322" s="7">
        <f t="shared" si="74"/>
        <v>-96.120593829790323</v>
      </c>
      <c r="K322" s="8">
        <f t="shared" si="63"/>
        <v>160.54934900588688</v>
      </c>
      <c r="L322" s="8">
        <f t="shared" si="64"/>
        <v>-6.7430726582472484</v>
      </c>
      <c r="M322" s="8">
        <f t="shared" si="61"/>
        <v>155.7153620042603</v>
      </c>
      <c r="N322" s="8">
        <f t="shared" si="65"/>
        <v>25.000000000000004</v>
      </c>
      <c r="O322" s="8">
        <f t="shared" si="66"/>
        <v>26.082595925580996</v>
      </c>
    </row>
    <row r="323" spans="1:15" x14ac:dyDescent="0.3">
      <c r="A323" s="5">
        <f t="shared" si="67"/>
        <v>3.1499999999999768</v>
      </c>
      <c r="B323" s="5">
        <f t="shared" si="62"/>
        <v>162.41681075720973</v>
      </c>
      <c r="C323" s="6">
        <f t="shared" si="60"/>
        <v>6264.6484149209464</v>
      </c>
      <c r="D323" s="6">
        <f t="shared" si="68"/>
        <v>39245819.762571529</v>
      </c>
      <c r="E323" s="7">
        <f t="shared" si="69"/>
        <v>6248571.4285714282</v>
      </c>
      <c r="F323" s="7">
        <f t="shared" si="70"/>
        <v>124.97142857142855</v>
      </c>
      <c r="G323" s="7">
        <f t="shared" si="71"/>
        <v>32997248.334000099</v>
      </c>
      <c r="H323" s="6">
        <f t="shared" si="72"/>
        <v>5744.3231397615591</v>
      </c>
      <c r="I323" s="7">
        <f t="shared" si="73"/>
        <v>-4.163553870731266</v>
      </c>
      <c r="J323" s="7">
        <f t="shared" si="74"/>
        <v>-96.093736720138963</v>
      </c>
      <c r="K323" s="8">
        <f t="shared" si="63"/>
        <v>160.59422072820595</v>
      </c>
      <c r="L323" s="8">
        <f t="shared" si="64"/>
        <v>-6.7449572705846492</v>
      </c>
      <c r="M323" s="8">
        <f t="shared" si="61"/>
        <v>155.67185348662508</v>
      </c>
      <c r="N323" s="8">
        <f t="shared" si="65"/>
        <v>25.000000000000007</v>
      </c>
      <c r="O323" s="8">
        <f t="shared" si="66"/>
        <v>26.083201156714598</v>
      </c>
    </row>
    <row r="324" spans="1:15" x14ac:dyDescent="0.3">
      <c r="A324" s="5">
        <f t="shared" si="67"/>
        <v>3.1599999999999766</v>
      </c>
      <c r="B324" s="5">
        <f t="shared" si="62"/>
        <v>162.37517521850242</v>
      </c>
      <c r="C324" s="6">
        <f t="shared" si="60"/>
        <v>6263.0424727136642</v>
      </c>
      <c r="D324" s="6">
        <f t="shared" si="68"/>
        <v>39225701.015015289</v>
      </c>
      <c r="E324" s="7">
        <f t="shared" si="69"/>
        <v>6248571.4285714282</v>
      </c>
      <c r="F324" s="7">
        <f t="shared" si="70"/>
        <v>124.97142857142855</v>
      </c>
      <c r="G324" s="7">
        <f t="shared" si="71"/>
        <v>32977129.58644386</v>
      </c>
      <c r="H324" s="6">
        <f t="shared" si="72"/>
        <v>5742.5716875319767</v>
      </c>
      <c r="I324" s="7">
        <f t="shared" si="73"/>
        <v>-4.1647182170459685</v>
      </c>
      <c r="J324" s="7">
        <f t="shared" si="74"/>
        <v>-96.066871424004916</v>
      </c>
      <c r="K324" s="8">
        <f t="shared" si="63"/>
        <v>160.63913122891591</v>
      </c>
      <c r="L324" s="8">
        <f t="shared" si="64"/>
        <v>-6.7468435116144674</v>
      </c>
      <c r="M324" s="8">
        <f t="shared" si="61"/>
        <v>155.62833170688796</v>
      </c>
      <c r="N324" s="8">
        <f t="shared" si="65"/>
        <v>25.000000000000028</v>
      </c>
      <c r="O324" s="8">
        <f t="shared" si="66"/>
        <v>26.083807080243226</v>
      </c>
    </row>
    <row r="325" spans="1:15" x14ac:dyDescent="0.3">
      <c r="A325" s="5">
        <f t="shared" si="67"/>
        <v>3.1699999999999764</v>
      </c>
      <c r="B325" s="5">
        <f t="shared" si="62"/>
        <v>162.33352803633196</v>
      </c>
      <c r="C325" s="6">
        <f t="shared" si="60"/>
        <v>6261.4360814013753</v>
      </c>
      <c r="D325" s="6">
        <f t="shared" si="68"/>
        <v>39205581.801475011</v>
      </c>
      <c r="E325" s="7">
        <f t="shared" si="69"/>
        <v>6248571.4285714282</v>
      </c>
      <c r="F325" s="7">
        <f t="shared" si="70"/>
        <v>124.97142857142855</v>
      </c>
      <c r="G325" s="7">
        <f t="shared" si="71"/>
        <v>32957010.372903582</v>
      </c>
      <c r="H325" s="6">
        <f t="shared" si="72"/>
        <v>5740.8196603711203</v>
      </c>
      <c r="I325" s="7">
        <f t="shared" si="73"/>
        <v>-4.1658835702009434</v>
      </c>
      <c r="J325" s="7">
        <f t="shared" si="74"/>
        <v>-96.039997933707696</v>
      </c>
      <c r="K325" s="8">
        <f t="shared" si="63"/>
        <v>160.68408056489352</v>
      </c>
      <c r="L325" s="8">
        <f t="shared" si="64"/>
        <v>-6.7487313837255272</v>
      </c>
      <c r="M325" s="8">
        <f t="shared" si="61"/>
        <v>155.58479665260643</v>
      </c>
      <c r="N325" s="8">
        <f t="shared" si="65"/>
        <v>24.999999999999986</v>
      </c>
      <c r="O325" s="8">
        <f t="shared" si="66"/>
        <v>26.084413697373364</v>
      </c>
    </row>
    <row r="326" spans="1:15" x14ac:dyDescent="0.3">
      <c r="A326" s="5">
        <f t="shared" si="67"/>
        <v>3.1799999999999762</v>
      </c>
      <c r="B326" s="5">
        <f t="shared" si="62"/>
        <v>162.29186920062995</v>
      </c>
      <c r="C326" s="6">
        <f t="shared" si="60"/>
        <v>6259.8292405957263</v>
      </c>
      <c r="D326" s="6">
        <f t="shared" si="68"/>
        <v>39185462.121417269</v>
      </c>
      <c r="E326" s="7">
        <f t="shared" si="69"/>
        <v>6248571.4285714282</v>
      </c>
      <c r="F326" s="7">
        <f t="shared" si="70"/>
        <v>124.97142857142855</v>
      </c>
      <c r="G326" s="7">
        <f t="shared" si="71"/>
        <v>32936890.69284584</v>
      </c>
      <c r="H326" s="6">
        <f t="shared" si="72"/>
        <v>5739.0670577059682</v>
      </c>
      <c r="I326" s="7">
        <f t="shared" si="73"/>
        <v>-4.1670499316738772</v>
      </c>
      <c r="J326" s="7">
        <f t="shared" si="74"/>
        <v>-96.013116241554499</v>
      </c>
      <c r="K326" s="8">
        <f t="shared" si="63"/>
        <v>160.72906879313524</v>
      </c>
      <c r="L326" s="8">
        <f t="shared" si="64"/>
        <v>-6.750620889311679</v>
      </c>
      <c r="M326" s="8">
        <f t="shared" si="61"/>
        <v>155.54124831131827</v>
      </c>
      <c r="N326" s="8">
        <f t="shared" si="65"/>
        <v>25.000000000000004</v>
      </c>
      <c r="O326" s="8">
        <f t="shared" si="66"/>
        <v>26.085021009314559</v>
      </c>
    </row>
    <row r="327" spans="1:15" x14ac:dyDescent="0.3">
      <c r="A327" s="5">
        <f t="shared" si="67"/>
        <v>3.189999999999976</v>
      </c>
      <c r="B327" s="5">
        <f t="shared" si="62"/>
        <v>162.2501987013132</v>
      </c>
      <c r="C327" s="6">
        <f t="shared" si="60"/>
        <v>6258.2219499077946</v>
      </c>
      <c r="D327" s="6">
        <f t="shared" si="68"/>
        <v>39165341.974307716</v>
      </c>
      <c r="E327" s="7">
        <f t="shared" si="69"/>
        <v>6248571.4285714282</v>
      </c>
      <c r="F327" s="7">
        <f t="shared" si="70"/>
        <v>124.97142857142855</v>
      </c>
      <c r="G327" s="7">
        <f t="shared" si="71"/>
        <v>32916770.545736287</v>
      </c>
      <c r="H327" s="6">
        <f t="shared" si="72"/>
        <v>5737.3138789625491</v>
      </c>
      <c r="I327" s="7">
        <f t="shared" si="73"/>
        <v>-4.1682173029454956</v>
      </c>
      <c r="J327" s="7">
        <f t="shared" si="74"/>
        <v>-95.986226339840442</v>
      </c>
      <c r="K327" s="8">
        <f t="shared" si="63"/>
        <v>160.77409597075481</v>
      </c>
      <c r="L327" s="8">
        <f t="shared" si="64"/>
        <v>-6.7525120307717019</v>
      </c>
      <c r="M327" s="8">
        <f t="shared" si="61"/>
        <v>155.4976866705415</v>
      </c>
      <c r="N327" s="8">
        <f t="shared" si="65"/>
        <v>25</v>
      </c>
      <c r="O327" s="8">
        <f t="shared" si="66"/>
        <v>26.085629017278968</v>
      </c>
    </row>
    <row r="328" spans="1:15" x14ac:dyDescent="0.3">
      <c r="A328" s="5">
        <f t="shared" si="67"/>
        <v>3.1999999999999758</v>
      </c>
      <c r="B328" s="5">
        <f t="shared" si="62"/>
        <v>162.20851652828375</v>
      </c>
      <c r="C328" s="6">
        <f t="shared" ref="C328:C391" si="75">$B$1*B328</f>
        <v>6256.6142089480873</v>
      </c>
      <c r="D328" s="6">
        <f t="shared" si="68"/>
        <v>39145221.359611101</v>
      </c>
      <c r="E328" s="7">
        <f t="shared" si="69"/>
        <v>6248571.4285714282</v>
      </c>
      <c r="F328" s="7">
        <f t="shared" si="70"/>
        <v>124.97142857142855</v>
      </c>
      <c r="G328" s="7">
        <f t="shared" si="71"/>
        <v>32896649.931039672</v>
      </c>
      <c r="H328" s="6">
        <f t="shared" si="72"/>
        <v>5735.5601235659342</v>
      </c>
      <c r="I328" s="7">
        <f t="shared" si="73"/>
        <v>-4.1693856854996252</v>
      </c>
      <c r="J328" s="7">
        <f t="shared" si="74"/>
        <v>-95.959328220848391</v>
      </c>
      <c r="K328" s="8">
        <f t="shared" si="63"/>
        <v>160.81916215498555</v>
      </c>
      <c r="L328" s="8">
        <f t="shared" si="64"/>
        <v>-6.7544048105093921</v>
      </c>
      <c r="M328" s="8">
        <f t="shared" ref="M328:M391" si="76">B328+L328</f>
        <v>155.45411171777437</v>
      </c>
      <c r="N328" s="8">
        <f t="shared" si="65"/>
        <v>24.999999999999996</v>
      </c>
      <c r="O328" s="8">
        <f t="shared" si="66"/>
        <v>26.086237722481716</v>
      </c>
    </row>
    <row r="329" spans="1:15" x14ac:dyDescent="0.3">
      <c r="A329" s="5">
        <f t="shared" si="67"/>
        <v>3.2099999999999755</v>
      </c>
      <c r="B329" s="5">
        <f t="shared" ref="B329:B392" si="77">I328*$B$5+B328</f>
        <v>162.16682267142875</v>
      </c>
      <c r="C329" s="6">
        <f t="shared" si="75"/>
        <v>6255.0060173265374</v>
      </c>
      <c r="D329" s="6">
        <f t="shared" si="68"/>
        <v>39125100.276791193</v>
      </c>
      <c r="E329" s="7">
        <f t="shared" si="69"/>
        <v>6248571.4285714282</v>
      </c>
      <c r="F329" s="7">
        <f t="shared" si="70"/>
        <v>124.97142857142855</v>
      </c>
      <c r="G329" s="7">
        <f t="shared" si="71"/>
        <v>32876528.848219763</v>
      </c>
      <c r="H329" s="6">
        <f t="shared" si="72"/>
        <v>5733.8057909402341</v>
      </c>
      <c r="I329" s="7">
        <f t="shared" si="73"/>
        <v>-4.1705550808231866</v>
      </c>
      <c r="J329" s="7">
        <f t="shared" si="74"/>
        <v>-95.932421876848906</v>
      </c>
      <c r="K329" s="8">
        <f t="shared" ref="K329:K392" si="78">-$B$1*I329</f>
        <v>160.86426740318004</v>
      </c>
      <c r="L329" s="8">
        <f t="shared" ref="L329:L392" si="79">-$B$2*K329</f>
        <v>-6.7562992309335606</v>
      </c>
      <c r="M329" s="8">
        <f t="shared" si="76"/>
        <v>155.41052344049518</v>
      </c>
      <c r="N329" s="8">
        <f t="shared" ref="N329:N392" si="80">K329*M329/1000</f>
        <v>24.999999999999996</v>
      </c>
      <c r="O329" s="8">
        <f t="shared" ref="O329:O392" si="81">B329*K329/1000</f>
        <v>26.086847126140793</v>
      </c>
    </row>
    <row r="330" spans="1:15" x14ac:dyDescent="0.3">
      <c r="A330" s="5">
        <f t="shared" ref="A330:A393" si="82">A329+$B$5</f>
        <v>3.2199999999999753</v>
      </c>
      <c r="B330" s="5">
        <f t="shared" si="77"/>
        <v>162.1251171206205</v>
      </c>
      <c r="C330" s="6">
        <f t="shared" si="75"/>
        <v>6253.3973746525044</v>
      </c>
      <c r="D330" s="6">
        <f t="shared" ref="D330:D393" si="83">POWER(C330,2)</f>
        <v>39104978.725310832</v>
      </c>
      <c r="E330" s="7">
        <f t="shared" ref="E330:E393" si="84">4*$B$2*$B$3*POWER($B$1,2)</f>
        <v>6248571.4285714282</v>
      </c>
      <c r="F330" s="7">
        <f t="shared" ref="F330:F393" si="85">POWER($B$1,2)*2*$B$2</f>
        <v>124.97142857142855</v>
      </c>
      <c r="G330" s="7">
        <f t="shared" ref="G330:G393" si="86">D330-E330</f>
        <v>32856407.296739403</v>
      </c>
      <c r="H330" s="6">
        <f t="shared" ref="H330:H393" si="87">SQRT(G330)</f>
        <v>5732.0508805085992</v>
      </c>
      <c r="I330" s="7">
        <f t="shared" ref="I330:I393" si="88">(-C330+H330)/F330</f>
        <v>-4.1717254904061916</v>
      </c>
      <c r="J330" s="7">
        <f t="shared" ref="J330:J393" si="89">(-C330-H330)/F330</f>
        <v>-95.905507300100297</v>
      </c>
      <c r="K330" s="8">
        <f t="shared" si="78"/>
        <v>160.90941177281024</v>
      </c>
      <c r="L330" s="8">
        <f t="shared" si="79"/>
        <v>-6.7581952944580292</v>
      </c>
      <c r="M330" s="8">
        <f t="shared" si="76"/>
        <v>155.36692182616247</v>
      </c>
      <c r="N330" s="8">
        <f t="shared" si="80"/>
        <v>24.999999999999996</v>
      </c>
      <c r="O330" s="8">
        <f t="shared" si="81"/>
        <v>26.08745722947701</v>
      </c>
    </row>
    <row r="331" spans="1:15" x14ac:dyDescent="0.3">
      <c r="A331" s="5">
        <f t="shared" si="82"/>
        <v>3.2299999999999751</v>
      </c>
      <c r="B331" s="5">
        <f t="shared" si="77"/>
        <v>162.08339986571644</v>
      </c>
      <c r="C331" s="6">
        <f t="shared" si="75"/>
        <v>6251.7882805347772</v>
      </c>
      <c r="D331" s="6">
        <f t="shared" si="83"/>
        <v>39084856.704631984</v>
      </c>
      <c r="E331" s="7">
        <f t="shared" si="84"/>
        <v>6248571.4285714282</v>
      </c>
      <c r="F331" s="7">
        <f t="shared" si="85"/>
        <v>124.97142857142855</v>
      </c>
      <c r="G331" s="7">
        <f t="shared" si="86"/>
        <v>32836285.276060555</v>
      </c>
      <c r="H331" s="6">
        <f t="shared" si="87"/>
        <v>5730.2953916932202</v>
      </c>
      <c r="I331" s="7">
        <f t="shared" si="88"/>
        <v>-4.1728969157417692</v>
      </c>
      <c r="J331" s="7">
        <f t="shared" si="89"/>
        <v>-95.878584482848638</v>
      </c>
      <c r="K331" s="8">
        <f t="shared" si="78"/>
        <v>160.95459532146825</v>
      </c>
      <c r="L331" s="8">
        <f t="shared" si="79"/>
        <v>-6.760093003501666</v>
      </c>
      <c r="M331" s="8">
        <f t="shared" si="76"/>
        <v>155.32330686221479</v>
      </c>
      <c r="N331" s="8">
        <f t="shared" si="80"/>
        <v>25.000000000000014</v>
      </c>
      <c r="O331" s="8">
        <f t="shared" si="81"/>
        <v>26.088068033714109</v>
      </c>
    </row>
    <row r="332" spans="1:15" x14ac:dyDescent="0.3">
      <c r="A332" s="5">
        <f t="shared" si="82"/>
        <v>3.2399999999999749</v>
      </c>
      <c r="B332" s="5">
        <f t="shared" si="77"/>
        <v>162.04167089655903</v>
      </c>
      <c r="C332" s="6">
        <f t="shared" si="75"/>
        <v>6250.1787345815619</v>
      </c>
      <c r="D332" s="6">
        <f t="shared" si="83"/>
        <v>39064734.214215577</v>
      </c>
      <c r="E332" s="7">
        <f t="shared" si="84"/>
        <v>6248571.4285714282</v>
      </c>
      <c r="F332" s="7">
        <f t="shared" si="85"/>
        <v>124.97142857142855</v>
      </c>
      <c r="G332" s="7">
        <f t="shared" si="86"/>
        <v>32816162.785644148</v>
      </c>
      <c r="H332" s="6">
        <f t="shared" si="87"/>
        <v>5728.5393239153163</v>
      </c>
      <c r="I332" s="7">
        <f t="shared" si="88"/>
        <v>-4.1740693583261539</v>
      </c>
      <c r="J332" s="7">
        <f t="shared" si="89"/>
        <v>-95.851653417327569</v>
      </c>
      <c r="K332" s="8">
        <f t="shared" si="78"/>
        <v>160.99981810686592</v>
      </c>
      <c r="L332" s="8">
        <f t="shared" si="79"/>
        <v>-6.7619923604883674</v>
      </c>
      <c r="M332" s="8">
        <f t="shared" si="76"/>
        <v>155.27967853607066</v>
      </c>
      <c r="N332" s="8">
        <f t="shared" si="80"/>
        <v>24.999999999999989</v>
      </c>
      <c r="O332" s="8">
        <f t="shared" si="81"/>
        <v>26.088679540078633</v>
      </c>
    </row>
    <row r="333" spans="1:15" x14ac:dyDescent="0.3">
      <c r="A333" s="5">
        <f t="shared" si="82"/>
        <v>3.2499999999999747</v>
      </c>
      <c r="B333" s="5">
        <f t="shared" si="77"/>
        <v>161.99993020297578</v>
      </c>
      <c r="C333" s="6">
        <f t="shared" si="75"/>
        <v>6248.5687364004934</v>
      </c>
      <c r="D333" s="6">
        <f t="shared" si="83"/>
        <v>39044611.253521658</v>
      </c>
      <c r="E333" s="7">
        <f t="shared" si="84"/>
        <v>6248571.4285714282</v>
      </c>
      <c r="F333" s="7">
        <f t="shared" si="85"/>
        <v>124.97142857142855</v>
      </c>
      <c r="G333" s="7">
        <f t="shared" si="86"/>
        <v>32796039.824950229</v>
      </c>
      <c r="H333" s="6">
        <f t="shared" si="87"/>
        <v>5726.7826765951431</v>
      </c>
      <c r="I333" s="7">
        <f t="shared" si="88"/>
        <v>-4.1752428196587257</v>
      </c>
      <c r="J333" s="7">
        <f t="shared" si="89"/>
        <v>-95.824714095758424</v>
      </c>
      <c r="K333" s="8">
        <f t="shared" si="78"/>
        <v>161.04508018683654</v>
      </c>
      <c r="L333" s="8">
        <f t="shared" si="79"/>
        <v>-6.7638933678471345</v>
      </c>
      <c r="M333" s="8">
        <f t="shared" si="76"/>
        <v>155.23603683512863</v>
      </c>
      <c r="N333" s="8">
        <f t="shared" si="80"/>
        <v>25</v>
      </c>
      <c r="O333" s="8">
        <f t="shared" si="81"/>
        <v>26.089291749800154</v>
      </c>
    </row>
    <row r="334" spans="1:15" x14ac:dyDescent="0.3">
      <c r="A334" s="5">
        <f t="shared" si="82"/>
        <v>3.2599999999999745</v>
      </c>
      <c r="B334" s="5">
        <f t="shared" si="77"/>
        <v>161.95817777477919</v>
      </c>
      <c r="C334" s="6">
        <f t="shared" si="75"/>
        <v>6246.9582855986255</v>
      </c>
      <c r="D334" s="6">
        <f t="shared" si="83"/>
        <v>39024487.822009318</v>
      </c>
      <c r="E334" s="7">
        <f t="shared" si="84"/>
        <v>6248571.4285714282</v>
      </c>
      <c r="F334" s="7">
        <f t="shared" si="85"/>
        <v>124.97142857142855</v>
      </c>
      <c r="G334" s="7">
        <f t="shared" si="86"/>
        <v>32775916.393437888</v>
      </c>
      <c r="H334" s="6">
        <f t="shared" si="87"/>
        <v>5725.0254491519854</v>
      </c>
      <c r="I334" s="7">
        <f t="shared" si="88"/>
        <v>-4.176417301241977</v>
      </c>
      <c r="J334" s="7">
        <f t="shared" si="89"/>
        <v>-95.797766510350129</v>
      </c>
      <c r="K334" s="8">
        <f t="shared" si="78"/>
        <v>161.09038161933339</v>
      </c>
      <c r="L334" s="8">
        <f t="shared" si="79"/>
        <v>-6.7657960280120015</v>
      </c>
      <c r="M334" s="8">
        <f t="shared" si="76"/>
        <v>155.19238174676718</v>
      </c>
      <c r="N334" s="8">
        <f t="shared" si="80"/>
        <v>24.999999999999993</v>
      </c>
      <c r="O334" s="8">
        <f t="shared" si="81"/>
        <v>26.089904664111017</v>
      </c>
    </row>
    <row r="335" spans="1:15" x14ac:dyDescent="0.3">
      <c r="A335" s="5">
        <f t="shared" si="82"/>
        <v>3.2699999999999743</v>
      </c>
      <c r="B335" s="5">
        <f t="shared" si="77"/>
        <v>161.91641360176678</v>
      </c>
      <c r="C335" s="6">
        <f t="shared" si="75"/>
        <v>6245.3473817824324</v>
      </c>
      <c r="D335" s="6">
        <f t="shared" si="83"/>
        <v>39004363.919136681</v>
      </c>
      <c r="E335" s="7">
        <f t="shared" si="84"/>
        <v>6248571.4285714282</v>
      </c>
      <c r="F335" s="7">
        <f t="shared" si="85"/>
        <v>124.97142857142855</v>
      </c>
      <c r="G335" s="7">
        <f t="shared" si="86"/>
        <v>32755792.490565252</v>
      </c>
      <c r="H335" s="6">
        <f t="shared" si="87"/>
        <v>5723.267641004154</v>
      </c>
      <c r="I335" s="7">
        <f t="shared" si="88"/>
        <v>-4.1775928045815611</v>
      </c>
      <c r="J335" s="7">
        <f t="shared" si="89"/>
        <v>-95.770810653299179</v>
      </c>
      <c r="K335" s="8">
        <f t="shared" si="78"/>
        <v>161.13572246243163</v>
      </c>
      <c r="L335" s="8">
        <f t="shared" si="79"/>
        <v>-6.7677003434221277</v>
      </c>
      <c r="M335" s="8">
        <f t="shared" si="76"/>
        <v>155.14871325834466</v>
      </c>
      <c r="N335" s="8">
        <f t="shared" si="80"/>
        <v>25.000000000000011</v>
      </c>
      <c r="O335" s="8">
        <f t="shared" si="81"/>
        <v>26.090518284246581</v>
      </c>
    </row>
    <row r="336" spans="1:15" x14ac:dyDescent="0.3">
      <c r="A336" s="5">
        <f t="shared" si="82"/>
        <v>3.279999999999974</v>
      </c>
      <c r="B336" s="5">
        <f t="shared" si="77"/>
        <v>161.87463767372097</v>
      </c>
      <c r="C336" s="6">
        <f t="shared" si="75"/>
        <v>6243.7360245578084</v>
      </c>
      <c r="D336" s="6">
        <f t="shared" si="83"/>
        <v>38984239.544360943</v>
      </c>
      <c r="E336" s="7">
        <f t="shared" si="84"/>
        <v>6248571.4285714282</v>
      </c>
      <c r="F336" s="7">
        <f t="shared" si="85"/>
        <v>124.97142857142855</v>
      </c>
      <c r="G336" s="7">
        <f t="shared" si="86"/>
        <v>32735668.115789514</v>
      </c>
      <c r="H336" s="6">
        <f t="shared" si="87"/>
        <v>5721.5092515689876</v>
      </c>
      <c r="I336" s="7">
        <f t="shared" si="88"/>
        <v>-4.1787693311862668</v>
      </c>
      <c r="J336" s="7">
        <f t="shared" si="89"/>
        <v>-95.74384651678966</v>
      </c>
      <c r="K336" s="8">
        <f t="shared" si="78"/>
        <v>161.18110277432743</v>
      </c>
      <c r="L336" s="8">
        <f t="shared" si="79"/>
        <v>-6.7696063165217515</v>
      </c>
      <c r="M336" s="8">
        <f t="shared" si="76"/>
        <v>155.10503135719921</v>
      </c>
      <c r="N336" s="8">
        <f t="shared" si="80"/>
        <v>25.000000000000004</v>
      </c>
      <c r="O336" s="8">
        <f t="shared" si="81"/>
        <v>26.091132611445033</v>
      </c>
    </row>
    <row r="337" spans="1:15" x14ac:dyDescent="0.3">
      <c r="A337" s="5">
        <f t="shared" si="82"/>
        <v>3.2899999999999738</v>
      </c>
      <c r="B337" s="5">
        <f t="shared" si="77"/>
        <v>161.83284998040909</v>
      </c>
      <c r="C337" s="6">
        <f t="shared" si="75"/>
        <v>6242.1242135300645</v>
      </c>
      <c r="D337" s="6">
        <f t="shared" si="83"/>
        <v>38964114.697138324</v>
      </c>
      <c r="E337" s="7">
        <f t="shared" si="84"/>
        <v>6248571.4285714282</v>
      </c>
      <c r="F337" s="7">
        <f t="shared" si="85"/>
        <v>124.97142857142855</v>
      </c>
      <c r="G337" s="7">
        <f t="shared" si="86"/>
        <v>32715543.268566895</v>
      </c>
      <c r="H337" s="6">
        <f t="shared" si="87"/>
        <v>5719.7502802628451</v>
      </c>
      <c r="I337" s="7">
        <f t="shared" si="88"/>
        <v>-4.179946882568057</v>
      </c>
      <c r="J337" s="7">
        <f t="shared" si="89"/>
        <v>-95.716874092993123</v>
      </c>
      <c r="K337" s="8">
        <f t="shared" si="78"/>
        <v>161.22652261333934</v>
      </c>
      <c r="L337" s="8">
        <f t="shared" si="79"/>
        <v>-6.7715139497602514</v>
      </c>
      <c r="M337" s="8">
        <f t="shared" si="76"/>
        <v>155.06133603064885</v>
      </c>
      <c r="N337" s="8">
        <f t="shared" si="80"/>
        <v>25.000000000000018</v>
      </c>
      <c r="O337" s="8">
        <f t="shared" si="81"/>
        <v>26.091747646947582</v>
      </c>
    </row>
    <row r="338" spans="1:15" x14ac:dyDescent="0.3">
      <c r="A338" s="5">
        <f t="shared" si="82"/>
        <v>3.2999999999999736</v>
      </c>
      <c r="B338" s="5">
        <f t="shared" si="77"/>
        <v>161.79105051158342</v>
      </c>
      <c r="C338" s="6">
        <f t="shared" si="75"/>
        <v>6240.5119483039316</v>
      </c>
      <c r="D338" s="6">
        <f t="shared" si="83"/>
        <v>38943989.376924135</v>
      </c>
      <c r="E338" s="7">
        <f t="shared" si="84"/>
        <v>6248571.4285714282</v>
      </c>
      <c r="F338" s="7">
        <f t="shared" si="85"/>
        <v>124.97142857142855</v>
      </c>
      <c r="G338" s="7">
        <f t="shared" si="86"/>
        <v>32695417.948352706</v>
      </c>
      <c r="H338" s="6">
        <f t="shared" si="87"/>
        <v>5717.9907265011116</v>
      </c>
      <c r="I338" s="7">
        <f t="shared" si="88"/>
        <v>-4.1811254602420451</v>
      </c>
      <c r="J338" s="7">
        <f t="shared" si="89"/>
        <v>-95.689893374068731</v>
      </c>
      <c r="K338" s="8">
        <f t="shared" si="78"/>
        <v>161.27198203790743</v>
      </c>
      <c r="L338" s="8">
        <f t="shared" si="79"/>
        <v>-6.7734232455921113</v>
      </c>
      <c r="M338" s="8">
        <f t="shared" si="76"/>
        <v>155.01762726599131</v>
      </c>
      <c r="N338" s="8">
        <f t="shared" si="80"/>
        <v>24.999999999999982</v>
      </c>
      <c r="O338" s="8">
        <f t="shared" si="81"/>
        <v>26.092363391998255</v>
      </c>
    </row>
    <row r="339" spans="1:15" x14ac:dyDescent="0.3">
      <c r="A339" s="5">
        <f t="shared" si="82"/>
        <v>3.3099999999999734</v>
      </c>
      <c r="B339" s="5">
        <f t="shared" si="77"/>
        <v>161.74923925698101</v>
      </c>
      <c r="C339" s="6">
        <f t="shared" si="75"/>
        <v>6238.8992284835531</v>
      </c>
      <c r="D339" s="6">
        <f t="shared" si="83"/>
        <v>38923863.583172671</v>
      </c>
      <c r="E339" s="7">
        <f t="shared" si="84"/>
        <v>6248571.4285714282</v>
      </c>
      <c r="F339" s="7">
        <f t="shared" si="85"/>
        <v>124.97142857142855</v>
      </c>
      <c r="G339" s="7">
        <f t="shared" si="86"/>
        <v>32675292.154601242</v>
      </c>
      <c r="H339" s="6">
        <f t="shared" si="87"/>
        <v>5716.2305896981834</v>
      </c>
      <c r="I339" s="7">
        <f t="shared" si="88"/>
        <v>-4.1823050657265526</v>
      </c>
      <c r="J339" s="7">
        <f t="shared" si="89"/>
        <v>-95.662904352162982</v>
      </c>
      <c r="K339" s="8">
        <f t="shared" si="78"/>
        <v>161.31748110659558</v>
      </c>
      <c r="L339" s="8">
        <f t="shared" si="79"/>
        <v>-6.7753342064770132</v>
      </c>
      <c r="M339" s="8">
        <f t="shared" si="76"/>
        <v>154.97390505050399</v>
      </c>
      <c r="N339" s="8">
        <f t="shared" si="80"/>
        <v>25.000000000000014</v>
      </c>
      <c r="O339" s="8">
        <f t="shared" si="81"/>
        <v>26.092979847844244</v>
      </c>
    </row>
    <row r="340" spans="1:15" x14ac:dyDescent="0.3">
      <c r="A340" s="5">
        <f t="shared" si="82"/>
        <v>3.3199999999999732</v>
      </c>
      <c r="B340" s="5">
        <f t="shared" si="77"/>
        <v>161.70741620632376</v>
      </c>
      <c r="C340" s="6">
        <f t="shared" si="75"/>
        <v>6237.2860536724875</v>
      </c>
      <c r="D340" s="6">
        <f t="shared" si="83"/>
        <v>38903737.315337315</v>
      </c>
      <c r="E340" s="7">
        <f t="shared" si="84"/>
        <v>6248571.4285714282</v>
      </c>
      <c r="F340" s="7">
        <f t="shared" si="85"/>
        <v>124.97142857142855</v>
      </c>
      <c r="G340" s="7">
        <f t="shared" si="86"/>
        <v>32655165.886765886</v>
      </c>
      <c r="H340" s="6">
        <f t="shared" si="87"/>
        <v>5714.4698692674792</v>
      </c>
      <c r="I340" s="7">
        <f t="shared" si="88"/>
        <v>-4.1834857005430477</v>
      </c>
      <c r="J340" s="7">
        <f t="shared" si="89"/>
        <v>-95.635907019409899</v>
      </c>
      <c r="K340" s="8">
        <f t="shared" si="78"/>
        <v>161.36301987808898</v>
      </c>
      <c r="L340" s="8">
        <f t="shared" si="79"/>
        <v>-6.7772468348797368</v>
      </c>
      <c r="M340" s="8">
        <f t="shared" si="76"/>
        <v>154.93016937144401</v>
      </c>
      <c r="N340" s="8">
        <f t="shared" si="80"/>
        <v>25.000000000000011</v>
      </c>
      <c r="O340" s="8">
        <f t="shared" si="81"/>
        <v>26.093597015735426</v>
      </c>
    </row>
    <row r="341" spans="1:15" x14ac:dyDescent="0.3">
      <c r="A341" s="5">
        <f t="shared" si="82"/>
        <v>3.329999999999973</v>
      </c>
      <c r="B341" s="5">
        <f t="shared" si="77"/>
        <v>161.66558134931833</v>
      </c>
      <c r="C341" s="6">
        <f t="shared" si="75"/>
        <v>6235.6724234737067</v>
      </c>
      <c r="D341" s="6">
        <f t="shared" si="83"/>
        <v>38883610.572870448</v>
      </c>
      <c r="E341" s="7">
        <f t="shared" si="84"/>
        <v>6248571.4285714282</v>
      </c>
      <c r="F341" s="7">
        <f t="shared" si="85"/>
        <v>124.97142857142855</v>
      </c>
      <c r="G341" s="7">
        <f t="shared" si="86"/>
        <v>32635039.144299019</v>
      </c>
      <c r="H341" s="6">
        <f t="shared" si="87"/>
        <v>5712.7085646214282</v>
      </c>
      <c r="I341" s="7">
        <f t="shared" si="88"/>
        <v>-4.184667366216221</v>
      </c>
      <c r="J341" s="7">
        <f t="shared" si="89"/>
        <v>-95.608901367930898</v>
      </c>
      <c r="K341" s="8">
        <f t="shared" si="78"/>
        <v>161.40859841119709</v>
      </c>
      <c r="L341" s="8">
        <f t="shared" si="79"/>
        <v>-6.7791611332702768</v>
      </c>
      <c r="M341" s="8">
        <f t="shared" si="76"/>
        <v>154.88642021604807</v>
      </c>
      <c r="N341" s="8">
        <f t="shared" si="80"/>
        <v>25.000000000000021</v>
      </c>
      <c r="O341" s="8">
        <f t="shared" si="81"/>
        <v>26.094214896924836</v>
      </c>
    </row>
    <row r="342" spans="1:15" x14ac:dyDescent="0.3">
      <c r="A342" s="5">
        <f t="shared" si="82"/>
        <v>3.3399999999999728</v>
      </c>
      <c r="B342" s="5">
        <f t="shared" si="77"/>
        <v>161.62373467565618</v>
      </c>
      <c r="C342" s="6">
        <f t="shared" si="75"/>
        <v>6234.058337489595</v>
      </c>
      <c r="D342" s="6">
        <f t="shared" si="83"/>
        <v>38863483.355223536</v>
      </c>
      <c r="E342" s="7">
        <f t="shared" si="84"/>
        <v>6248571.4285714282</v>
      </c>
      <c r="F342" s="7">
        <f t="shared" si="85"/>
        <v>124.97142857142855</v>
      </c>
      <c r="G342" s="7">
        <f t="shared" si="86"/>
        <v>32614911.926652107</v>
      </c>
      <c r="H342" s="6">
        <f t="shared" si="87"/>
        <v>5710.9466751714735</v>
      </c>
      <c r="I342" s="7">
        <f t="shared" si="88"/>
        <v>-4.18585006427395</v>
      </c>
      <c r="J342" s="7">
        <f t="shared" si="89"/>
        <v>-95.581887389834819</v>
      </c>
      <c r="K342" s="8">
        <f t="shared" si="78"/>
        <v>161.45421676485236</v>
      </c>
      <c r="L342" s="8">
        <f t="shared" si="79"/>
        <v>-6.7810771041237983</v>
      </c>
      <c r="M342" s="8">
        <f t="shared" si="76"/>
        <v>154.84265757153238</v>
      </c>
      <c r="N342" s="8">
        <f t="shared" si="80"/>
        <v>24.999999999999996</v>
      </c>
      <c r="O342" s="8">
        <f t="shared" si="81"/>
        <v>26.094833492668378</v>
      </c>
    </row>
    <row r="343" spans="1:15" x14ac:dyDescent="0.3">
      <c r="A343" s="5">
        <f t="shared" si="82"/>
        <v>3.3499999999999726</v>
      </c>
      <c r="B343" s="5">
        <f t="shared" si="77"/>
        <v>161.58187617501343</v>
      </c>
      <c r="C343" s="6">
        <f t="shared" si="75"/>
        <v>6232.4437953219467</v>
      </c>
      <c r="D343" s="6">
        <f t="shared" si="83"/>
        <v>38843355.661847033</v>
      </c>
      <c r="E343" s="7">
        <f t="shared" si="84"/>
        <v>6248571.4285714282</v>
      </c>
      <c r="F343" s="7">
        <f t="shared" si="85"/>
        <v>124.97142857142855</v>
      </c>
      <c r="G343" s="7">
        <f t="shared" si="86"/>
        <v>32594784.233275604</v>
      </c>
      <c r="H343" s="6">
        <f t="shared" si="87"/>
        <v>5709.1842003280644</v>
      </c>
      <c r="I343" s="7">
        <f t="shared" si="88"/>
        <v>-4.1870337962473441</v>
      </c>
      <c r="J343" s="7">
        <f t="shared" si="89"/>
        <v>-95.554865077217755</v>
      </c>
      <c r="K343" s="8">
        <f t="shared" si="78"/>
        <v>161.49987499811184</v>
      </c>
      <c r="L343" s="8">
        <f t="shared" si="79"/>
        <v>-6.7829947499206966</v>
      </c>
      <c r="M343" s="8">
        <f t="shared" si="76"/>
        <v>154.79888142509273</v>
      </c>
      <c r="N343" s="8">
        <f t="shared" si="80"/>
        <v>25.000000000000011</v>
      </c>
      <c r="O343" s="8">
        <f t="shared" si="81"/>
        <v>26.095452804225054</v>
      </c>
    </row>
    <row r="344" spans="1:15" x14ac:dyDescent="0.3">
      <c r="A344" s="5">
        <f t="shared" si="82"/>
        <v>3.3599999999999723</v>
      </c>
      <c r="B344" s="5">
        <f t="shared" si="77"/>
        <v>161.54000583705096</v>
      </c>
      <c r="C344" s="6">
        <f t="shared" si="75"/>
        <v>6230.8287965719655</v>
      </c>
      <c r="D344" s="6">
        <f t="shared" si="83"/>
        <v>38823227.49219045</v>
      </c>
      <c r="E344" s="7">
        <f t="shared" si="84"/>
        <v>6248571.4285714282</v>
      </c>
      <c r="F344" s="7">
        <f t="shared" si="85"/>
        <v>124.97142857142855</v>
      </c>
      <c r="G344" s="7">
        <f t="shared" si="86"/>
        <v>32574656.063619021</v>
      </c>
      <c r="H344" s="6">
        <f t="shared" si="87"/>
        <v>5707.4211395006605</v>
      </c>
      <c r="I344" s="7">
        <f t="shared" si="88"/>
        <v>-4.1882185636707083</v>
      </c>
      <c r="J344" s="7">
        <f t="shared" si="89"/>
        <v>-95.527834422163224</v>
      </c>
      <c r="K344" s="8">
        <f t="shared" si="78"/>
        <v>161.54557317015588</v>
      </c>
      <c r="L344" s="8">
        <f t="shared" si="79"/>
        <v>-6.7849140731465463</v>
      </c>
      <c r="M344" s="8">
        <f t="shared" si="76"/>
        <v>154.7550917639044</v>
      </c>
      <c r="N344" s="8">
        <f t="shared" si="80"/>
        <v>25.000000000000007</v>
      </c>
      <c r="O344" s="8">
        <f t="shared" si="81"/>
        <v>26.096072832856724</v>
      </c>
    </row>
    <row r="345" spans="1:15" x14ac:dyDescent="0.3">
      <c r="A345" s="5">
        <f t="shared" si="82"/>
        <v>3.3699999999999721</v>
      </c>
      <c r="B345" s="5">
        <f t="shared" si="77"/>
        <v>161.49812365141426</v>
      </c>
      <c r="C345" s="6">
        <f t="shared" si="75"/>
        <v>6229.2133408402642</v>
      </c>
      <c r="D345" s="6">
        <f t="shared" si="83"/>
        <v>38803098.845702328</v>
      </c>
      <c r="E345" s="7">
        <f t="shared" si="84"/>
        <v>6248571.4285714282</v>
      </c>
      <c r="F345" s="7">
        <f t="shared" si="85"/>
        <v>124.97142857142855</v>
      </c>
      <c r="G345" s="7">
        <f t="shared" si="86"/>
        <v>32554527.417130899</v>
      </c>
      <c r="H345" s="6">
        <f t="shared" si="87"/>
        <v>5705.6574920977246</v>
      </c>
      <c r="I345" s="7">
        <f t="shared" si="88"/>
        <v>-4.1894043680815933</v>
      </c>
      <c r="J345" s="7">
        <f t="shared" si="89"/>
        <v>-95.500795416742037</v>
      </c>
      <c r="K345" s="8">
        <f t="shared" si="78"/>
        <v>161.59131134029002</v>
      </c>
      <c r="L345" s="8">
        <f t="shared" si="79"/>
        <v>-6.7868350762921805</v>
      </c>
      <c r="M345" s="8">
        <f t="shared" si="76"/>
        <v>154.71128857512207</v>
      </c>
      <c r="N345" s="8">
        <f t="shared" si="80"/>
        <v>25.000000000000004</v>
      </c>
      <c r="O345" s="8">
        <f t="shared" si="81"/>
        <v>26.096693579828337</v>
      </c>
    </row>
    <row r="346" spans="1:15" x14ac:dyDescent="0.3">
      <c r="A346" s="5">
        <f t="shared" si="82"/>
        <v>3.3799999999999719</v>
      </c>
      <c r="B346" s="5">
        <f t="shared" si="77"/>
        <v>161.45622960773343</v>
      </c>
      <c r="C346" s="6">
        <f t="shared" si="75"/>
        <v>6227.5974277268606</v>
      </c>
      <c r="D346" s="6">
        <f t="shared" si="83"/>
        <v>38782969.721830212</v>
      </c>
      <c r="E346" s="7">
        <f t="shared" si="84"/>
        <v>6248571.4285714282</v>
      </c>
      <c r="F346" s="7">
        <f t="shared" si="85"/>
        <v>124.97142857142855</v>
      </c>
      <c r="G346" s="7">
        <f t="shared" si="86"/>
        <v>32534398.293258782</v>
      </c>
      <c r="H346" s="6">
        <f t="shared" si="87"/>
        <v>5703.8932575267208</v>
      </c>
      <c r="I346" s="7">
        <f t="shared" si="88"/>
        <v>-4.1905912110207808</v>
      </c>
      <c r="J346" s="7">
        <f t="shared" si="89"/>
        <v>-95.47374805301223</v>
      </c>
      <c r="K346" s="8">
        <f t="shared" si="78"/>
        <v>161.6370895679444</v>
      </c>
      <c r="L346" s="8">
        <f t="shared" si="79"/>
        <v>-6.7887577618536641</v>
      </c>
      <c r="M346" s="8">
        <f t="shared" si="76"/>
        <v>154.66747184587976</v>
      </c>
      <c r="N346" s="8">
        <f t="shared" si="80"/>
        <v>24.999999999999986</v>
      </c>
      <c r="O346" s="8">
        <f t="shared" si="81"/>
        <v>26.097315046407807</v>
      </c>
    </row>
    <row r="347" spans="1:15" x14ac:dyDescent="0.3">
      <c r="A347" s="5">
        <f t="shared" si="82"/>
        <v>3.3899999999999717</v>
      </c>
      <c r="B347" s="5">
        <f t="shared" si="77"/>
        <v>161.41432369562324</v>
      </c>
      <c r="C347" s="6">
        <f t="shared" si="75"/>
        <v>6225.9810568311814</v>
      </c>
      <c r="D347" s="6">
        <f t="shared" si="83"/>
        <v>38762840.120020717</v>
      </c>
      <c r="E347" s="7">
        <f t="shared" si="84"/>
        <v>6248571.4285714282</v>
      </c>
      <c r="F347" s="7">
        <f t="shared" si="85"/>
        <v>124.97142857142855</v>
      </c>
      <c r="G347" s="7">
        <f t="shared" si="86"/>
        <v>32514268.691449288</v>
      </c>
      <c r="H347" s="6">
        <f t="shared" si="87"/>
        <v>5702.1284351941149</v>
      </c>
      <c r="I347" s="7">
        <f t="shared" si="88"/>
        <v>-4.1917790940323112</v>
      </c>
      <c r="J347" s="7">
        <f t="shared" si="89"/>
        <v>-95.446692323019079</v>
      </c>
      <c r="K347" s="8">
        <f t="shared" si="78"/>
        <v>161.68290791267486</v>
      </c>
      <c r="L347" s="8">
        <f t="shared" si="79"/>
        <v>-6.7906821323323436</v>
      </c>
      <c r="M347" s="8">
        <f t="shared" si="76"/>
        <v>154.6236415632909</v>
      </c>
      <c r="N347" s="8">
        <f t="shared" si="80"/>
        <v>25.000000000000007</v>
      </c>
      <c r="O347" s="8">
        <f t="shared" si="81"/>
        <v>26.097937233866144</v>
      </c>
    </row>
    <row r="348" spans="1:15" x14ac:dyDescent="0.3">
      <c r="A348" s="5">
        <f t="shared" si="82"/>
        <v>3.3999999999999715</v>
      </c>
      <c r="B348" s="5">
        <f t="shared" si="77"/>
        <v>161.37240590468292</v>
      </c>
      <c r="C348" s="6">
        <f t="shared" si="75"/>
        <v>6224.3642277520548</v>
      </c>
      <c r="D348" s="6">
        <f t="shared" si="83"/>
        <v>38742710.039719433</v>
      </c>
      <c r="E348" s="7">
        <f t="shared" si="84"/>
        <v>6248571.4285714282</v>
      </c>
      <c r="F348" s="7">
        <f t="shared" si="85"/>
        <v>124.97142857142855</v>
      </c>
      <c r="G348" s="7">
        <f t="shared" si="86"/>
        <v>32494138.611148003</v>
      </c>
      <c r="H348" s="6">
        <f t="shared" si="87"/>
        <v>5700.3630245053691</v>
      </c>
      <c r="I348" s="7">
        <f t="shared" si="88"/>
        <v>-4.1929680186634668</v>
      </c>
      <c r="J348" s="7">
        <f t="shared" si="89"/>
        <v>-95.41962821879514</v>
      </c>
      <c r="K348" s="8">
        <f t="shared" si="78"/>
        <v>161.72876643416228</v>
      </c>
      <c r="L348" s="8">
        <f t="shared" si="79"/>
        <v>-6.792608190234815</v>
      </c>
      <c r="M348" s="8">
        <f t="shared" si="76"/>
        <v>154.57979771444812</v>
      </c>
      <c r="N348" s="8">
        <f t="shared" si="80"/>
        <v>25.000000000000032</v>
      </c>
      <c r="O348" s="8">
        <f t="shared" si="81"/>
        <v>26.098560143477293</v>
      </c>
    </row>
    <row r="349" spans="1:15" x14ac:dyDescent="0.3">
      <c r="A349" s="5">
        <f t="shared" si="82"/>
        <v>3.4099999999999713</v>
      </c>
      <c r="B349" s="5">
        <f t="shared" si="77"/>
        <v>161.33047622449629</v>
      </c>
      <c r="C349" s="6">
        <f t="shared" si="75"/>
        <v>6222.7469400877135</v>
      </c>
      <c r="D349" s="6">
        <f t="shared" si="83"/>
        <v>38722579.480370998</v>
      </c>
      <c r="E349" s="7">
        <f t="shared" si="84"/>
        <v>6248571.4285714282</v>
      </c>
      <c r="F349" s="7">
        <f t="shared" si="85"/>
        <v>124.97142857142855</v>
      </c>
      <c r="G349" s="7">
        <f t="shared" si="86"/>
        <v>32474008.051799569</v>
      </c>
      <c r="H349" s="6">
        <f t="shared" si="87"/>
        <v>5698.5970248649419</v>
      </c>
      <c r="I349" s="7">
        <f t="shared" si="88"/>
        <v>-4.194157986464794</v>
      </c>
      <c r="J349" s="7">
        <f t="shared" si="89"/>
        <v>-95.392555732360094</v>
      </c>
      <c r="K349" s="8">
        <f t="shared" si="78"/>
        <v>161.77466519221346</v>
      </c>
      <c r="L349" s="8">
        <f t="shared" si="79"/>
        <v>-6.7945359380729649</v>
      </c>
      <c r="M349" s="8">
        <f t="shared" si="76"/>
        <v>154.53594028642334</v>
      </c>
      <c r="N349" s="8">
        <f t="shared" si="80"/>
        <v>25.000000000000028</v>
      </c>
      <c r="O349" s="8">
        <f t="shared" si="81"/>
        <v>26.099183776518242</v>
      </c>
    </row>
    <row r="350" spans="1:15" x14ac:dyDescent="0.3">
      <c r="A350" s="5">
        <f t="shared" si="82"/>
        <v>3.4199999999999711</v>
      </c>
      <c r="B350" s="5">
        <f t="shared" si="77"/>
        <v>161.28853464463165</v>
      </c>
      <c r="C350" s="6">
        <f t="shared" si="75"/>
        <v>6221.1291934357923</v>
      </c>
      <c r="D350" s="6">
        <f t="shared" si="83"/>
        <v>38702448.441419072</v>
      </c>
      <c r="E350" s="7">
        <f t="shared" si="84"/>
        <v>6248571.4285714282</v>
      </c>
      <c r="F350" s="7">
        <f t="shared" si="85"/>
        <v>124.97142857142855</v>
      </c>
      <c r="G350" s="7">
        <f t="shared" si="86"/>
        <v>32453877.012847643</v>
      </c>
      <c r="H350" s="6">
        <f t="shared" si="87"/>
        <v>5696.8304356762847</v>
      </c>
      <c r="I350" s="7">
        <f t="shared" si="88"/>
        <v>-4.1953489989901174</v>
      </c>
      <c r="J350" s="7">
        <f t="shared" si="89"/>
        <v>-95.365474855720791</v>
      </c>
      <c r="K350" s="8">
        <f t="shared" si="78"/>
        <v>161.82060424676166</v>
      </c>
      <c r="L350" s="8">
        <f t="shared" si="79"/>
        <v>-6.7964653783639895</v>
      </c>
      <c r="M350" s="8">
        <f t="shared" si="76"/>
        <v>154.49206926626766</v>
      </c>
      <c r="N350" s="8">
        <f t="shared" si="80"/>
        <v>24.999999999999989</v>
      </c>
      <c r="O350" s="8">
        <f t="shared" si="81"/>
        <v>26.099808134269047</v>
      </c>
    </row>
    <row r="351" spans="1:15" x14ac:dyDescent="0.3">
      <c r="A351" s="5">
        <f t="shared" si="82"/>
        <v>3.4299999999999708</v>
      </c>
      <c r="B351" s="5">
        <f t="shared" si="77"/>
        <v>161.24658115464175</v>
      </c>
      <c r="C351" s="6">
        <f t="shared" si="75"/>
        <v>6219.5109873933243</v>
      </c>
      <c r="D351" s="6">
        <f t="shared" si="83"/>
        <v>38682316.922306284</v>
      </c>
      <c r="E351" s="7">
        <f t="shared" si="84"/>
        <v>6248571.4285714282</v>
      </c>
      <c r="F351" s="7">
        <f t="shared" si="85"/>
        <v>124.97142857142855</v>
      </c>
      <c r="G351" s="7">
        <f t="shared" si="86"/>
        <v>32433745.493734855</v>
      </c>
      <c r="H351" s="6">
        <f t="shared" si="87"/>
        <v>5695.0632563418339</v>
      </c>
      <c r="I351" s="7">
        <f t="shared" si="88"/>
        <v>-4.1965410577965629</v>
      </c>
      <c r="J351" s="7">
        <f t="shared" si="89"/>
        <v>-95.338385580871204</v>
      </c>
      <c r="K351" s="8">
        <f t="shared" si="78"/>
        <v>161.86658365786741</v>
      </c>
      <c r="L351" s="8">
        <f t="shared" si="79"/>
        <v>-6.7983965136304301</v>
      </c>
      <c r="M351" s="8">
        <f t="shared" si="76"/>
        <v>154.44818464101132</v>
      </c>
      <c r="N351" s="8">
        <f t="shared" si="80"/>
        <v>25.000000000000011</v>
      </c>
      <c r="O351" s="8">
        <f t="shared" si="81"/>
        <v>26.100433218012924</v>
      </c>
    </row>
    <row r="352" spans="1:15" x14ac:dyDescent="0.3">
      <c r="A352" s="5">
        <f t="shared" si="82"/>
        <v>3.4399999999999706</v>
      </c>
      <c r="B352" s="5">
        <f t="shared" si="77"/>
        <v>161.20461574406377</v>
      </c>
      <c r="C352" s="6">
        <f t="shared" si="75"/>
        <v>6217.8923215567456</v>
      </c>
      <c r="D352" s="6">
        <f t="shared" si="83"/>
        <v>38662184.922474332</v>
      </c>
      <c r="E352" s="7">
        <f t="shared" si="84"/>
        <v>6248571.4285714282</v>
      </c>
      <c r="F352" s="7">
        <f t="shared" si="85"/>
        <v>124.97142857142855</v>
      </c>
      <c r="G352" s="7">
        <f t="shared" si="86"/>
        <v>32413613.493902903</v>
      </c>
      <c r="H352" s="6">
        <f t="shared" si="87"/>
        <v>5693.2954862630222</v>
      </c>
      <c r="I352" s="7">
        <f t="shared" si="88"/>
        <v>-4.1977341644445181</v>
      </c>
      <c r="J352" s="7">
        <f t="shared" si="89"/>
        <v>-95.311287899792404</v>
      </c>
      <c r="K352" s="8">
        <f t="shared" si="78"/>
        <v>161.91260348571711</v>
      </c>
      <c r="L352" s="8">
        <f t="shared" si="79"/>
        <v>-6.800329346400118</v>
      </c>
      <c r="M352" s="8">
        <f t="shared" si="76"/>
        <v>154.40428639766367</v>
      </c>
      <c r="N352" s="8">
        <f t="shared" si="80"/>
        <v>25.000000000000021</v>
      </c>
      <c r="O352" s="8">
        <f t="shared" si="81"/>
        <v>26.101059029035987</v>
      </c>
    </row>
    <row r="353" spans="1:15" x14ac:dyDescent="0.3">
      <c r="A353" s="5">
        <f t="shared" si="82"/>
        <v>3.4499999999999704</v>
      </c>
      <c r="B353" s="5">
        <f t="shared" si="77"/>
        <v>161.16263840241933</v>
      </c>
      <c r="C353" s="6">
        <f t="shared" si="75"/>
        <v>6216.2731955218878</v>
      </c>
      <c r="D353" s="6">
        <f t="shared" si="83"/>
        <v>38642052.441363901</v>
      </c>
      <c r="E353" s="7">
        <f t="shared" si="84"/>
        <v>6248571.4285714282</v>
      </c>
      <c r="F353" s="7">
        <f t="shared" si="85"/>
        <v>124.97142857142855</v>
      </c>
      <c r="G353" s="7">
        <f t="shared" si="86"/>
        <v>32393481.012792472</v>
      </c>
      <c r="H353" s="6">
        <f t="shared" si="87"/>
        <v>5691.5271248402632</v>
      </c>
      <c r="I353" s="7">
        <f t="shared" si="88"/>
        <v>-4.1989283204976831</v>
      </c>
      <c r="J353" s="7">
        <f t="shared" si="89"/>
        <v>-95.284181804452544</v>
      </c>
      <c r="K353" s="8">
        <f t="shared" si="78"/>
        <v>161.95866379062491</v>
      </c>
      <c r="L353" s="8">
        <f t="shared" si="79"/>
        <v>-6.8022638792062455</v>
      </c>
      <c r="M353" s="8">
        <f t="shared" si="76"/>
        <v>154.3603745232131</v>
      </c>
      <c r="N353" s="8">
        <f t="shared" si="80"/>
        <v>25.000000000000014</v>
      </c>
      <c r="O353" s="8">
        <f t="shared" si="81"/>
        <v>26.101685568627488</v>
      </c>
    </row>
    <row r="354" spans="1:15" x14ac:dyDescent="0.3">
      <c r="A354" s="5">
        <f t="shared" si="82"/>
        <v>3.4599999999999702</v>
      </c>
      <c r="B354" s="5">
        <f t="shared" si="77"/>
        <v>161.12064911921436</v>
      </c>
      <c r="C354" s="6">
        <f t="shared" si="75"/>
        <v>6214.6536088839821</v>
      </c>
      <c r="D354" s="6">
        <f t="shared" si="83"/>
        <v>38621919.478414699</v>
      </c>
      <c r="E354" s="7">
        <f t="shared" si="84"/>
        <v>6248571.4285714282</v>
      </c>
      <c r="F354" s="7">
        <f t="shared" si="85"/>
        <v>124.97142857142855</v>
      </c>
      <c r="G354" s="7">
        <f t="shared" si="86"/>
        <v>32373348.04984327</v>
      </c>
      <c r="H354" s="6">
        <f t="shared" si="87"/>
        <v>5689.7581714729558</v>
      </c>
      <c r="I354" s="7">
        <f t="shared" si="88"/>
        <v>-4.2001235275230728</v>
      </c>
      <c r="J354" s="7">
        <f t="shared" si="89"/>
        <v>-95.257067286806802</v>
      </c>
      <c r="K354" s="8">
        <f t="shared" si="78"/>
        <v>162.00476463303281</v>
      </c>
      <c r="L354" s="8">
        <f t="shared" si="79"/>
        <v>-6.8042001145873767</v>
      </c>
      <c r="M354" s="8">
        <f t="shared" si="76"/>
        <v>154.31644900462697</v>
      </c>
      <c r="N354" s="8">
        <f t="shared" si="80"/>
        <v>25.000000000000004</v>
      </c>
      <c r="O354" s="8">
        <f t="shared" si="81"/>
        <v>26.102312838079786</v>
      </c>
    </row>
    <row r="355" spans="1:15" x14ac:dyDescent="0.3">
      <c r="A355" s="5">
        <f t="shared" si="82"/>
        <v>3.46999999999997</v>
      </c>
      <c r="B355" s="5">
        <f t="shared" si="77"/>
        <v>161.07864788393914</v>
      </c>
      <c r="C355" s="6">
        <f t="shared" si="75"/>
        <v>6213.0335612376521</v>
      </c>
      <c r="D355" s="6">
        <f t="shared" si="83"/>
        <v>38601786.033065423</v>
      </c>
      <c r="E355" s="7">
        <f t="shared" si="84"/>
        <v>6248571.4285714282</v>
      </c>
      <c r="F355" s="7">
        <f t="shared" si="85"/>
        <v>124.97142857142855</v>
      </c>
      <c r="G355" s="7">
        <f t="shared" si="86"/>
        <v>32353214.604493994</v>
      </c>
      <c r="H355" s="6">
        <f t="shared" si="87"/>
        <v>5687.9886255594774</v>
      </c>
      <c r="I355" s="7">
        <f t="shared" si="88"/>
        <v>-4.2013197870910188</v>
      </c>
      <c r="J355" s="7">
        <f t="shared" si="89"/>
        <v>-95.229944338797353</v>
      </c>
      <c r="K355" s="8">
        <f t="shared" si="78"/>
        <v>162.05090607351073</v>
      </c>
      <c r="L355" s="8">
        <f t="shared" si="79"/>
        <v>-6.80613805508745</v>
      </c>
      <c r="M355" s="8">
        <f t="shared" si="76"/>
        <v>154.2725098288517</v>
      </c>
      <c r="N355" s="8">
        <f t="shared" si="80"/>
        <v>25.000000000000007</v>
      </c>
      <c r="O355" s="8">
        <f t="shared" si="81"/>
        <v>26.10294083868833</v>
      </c>
    </row>
    <row r="356" spans="1:15" x14ac:dyDescent="0.3">
      <c r="A356" s="5">
        <f t="shared" si="82"/>
        <v>3.4799999999999698</v>
      </c>
      <c r="B356" s="5">
        <f t="shared" si="77"/>
        <v>161.03663468606823</v>
      </c>
      <c r="C356" s="6">
        <f t="shared" si="75"/>
        <v>6211.4130521769166</v>
      </c>
      <c r="D356" s="6">
        <f t="shared" si="83"/>
        <v>38581652.104753762</v>
      </c>
      <c r="E356" s="7">
        <f t="shared" si="84"/>
        <v>6248571.4285714282</v>
      </c>
      <c r="F356" s="7">
        <f t="shared" si="85"/>
        <v>124.97142857142855</v>
      </c>
      <c r="G356" s="7">
        <f t="shared" si="86"/>
        <v>32333080.676182333</v>
      </c>
      <c r="H356" s="6">
        <f t="shared" si="87"/>
        <v>5686.218486497185</v>
      </c>
      <c r="I356" s="7">
        <f t="shared" si="88"/>
        <v>-4.2025171007751734</v>
      </c>
      <c r="J356" s="7">
        <f t="shared" si="89"/>
        <v>-95.202812952353369</v>
      </c>
      <c r="K356" s="8">
        <f t="shared" si="78"/>
        <v>162.09708817275668</v>
      </c>
      <c r="L356" s="8">
        <f t="shared" si="79"/>
        <v>-6.8080777032557798</v>
      </c>
      <c r="M356" s="8">
        <f t="shared" si="76"/>
        <v>154.22855698281245</v>
      </c>
      <c r="N356" s="8">
        <f t="shared" si="80"/>
        <v>24.999999999999979</v>
      </c>
      <c r="O356" s="8">
        <f t="shared" si="81"/>
        <v>26.10356957175161</v>
      </c>
    </row>
    <row r="357" spans="1:15" x14ac:dyDescent="0.3">
      <c r="A357" s="5">
        <f t="shared" si="82"/>
        <v>3.4899999999999696</v>
      </c>
      <c r="B357" s="5">
        <f t="shared" si="77"/>
        <v>160.99460951506046</v>
      </c>
      <c r="C357" s="6">
        <f t="shared" si="75"/>
        <v>6209.7920812951888</v>
      </c>
      <c r="D357" s="6">
        <f t="shared" si="83"/>
        <v>38561517.692916431</v>
      </c>
      <c r="E357" s="7">
        <f t="shared" si="84"/>
        <v>6248571.4285714282</v>
      </c>
      <c r="F357" s="7">
        <f t="shared" si="85"/>
        <v>124.97142857142855</v>
      </c>
      <c r="G357" s="7">
        <f t="shared" si="86"/>
        <v>32312946.264345001</v>
      </c>
      <c r="H357" s="6">
        <f t="shared" si="87"/>
        <v>5684.4477536824106</v>
      </c>
      <c r="I357" s="7">
        <f t="shared" si="88"/>
        <v>-4.203715470152547</v>
      </c>
      <c r="J357" s="7">
        <f t="shared" si="89"/>
        <v>-95.175673119390964</v>
      </c>
      <c r="K357" s="8">
        <f t="shared" si="78"/>
        <v>162.14331099159824</v>
      </c>
      <c r="L357" s="8">
        <f t="shared" si="79"/>
        <v>-6.8100190616471252</v>
      </c>
      <c r="M357" s="8">
        <f t="shared" si="76"/>
        <v>154.18459045341334</v>
      </c>
      <c r="N357" s="8">
        <f t="shared" si="80"/>
        <v>25.000000000000007</v>
      </c>
      <c r="O357" s="8">
        <f t="shared" si="81"/>
        <v>26.10419903857137</v>
      </c>
    </row>
    <row r="358" spans="1:15" x14ac:dyDescent="0.3">
      <c r="A358" s="5">
        <f t="shared" si="82"/>
        <v>3.4999999999999694</v>
      </c>
      <c r="B358" s="5">
        <f t="shared" si="77"/>
        <v>160.95257236035894</v>
      </c>
      <c r="C358" s="6">
        <f t="shared" si="75"/>
        <v>6208.1706481852734</v>
      </c>
      <c r="D358" s="6">
        <f t="shared" si="83"/>
        <v>38541382.796989158</v>
      </c>
      <c r="E358" s="7">
        <f t="shared" si="84"/>
        <v>6248571.4285714282</v>
      </c>
      <c r="F358" s="7">
        <f t="shared" si="85"/>
        <v>124.97142857142855</v>
      </c>
      <c r="G358" s="7">
        <f t="shared" si="86"/>
        <v>32292811.368417729</v>
      </c>
      <c r="H358" s="6">
        <f t="shared" si="87"/>
        <v>5682.676426510463</v>
      </c>
      <c r="I358" s="7">
        <f t="shared" si="88"/>
        <v>-4.2049148968034675</v>
      </c>
      <c r="J358" s="7">
        <f t="shared" si="89"/>
        <v>-95.148524831813177</v>
      </c>
      <c r="K358" s="8">
        <f t="shared" si="78"/>
        <v>162.18957459099087</v>
      </c>
      <c r="L358" s="8">
        <f t="shared" si="79"/>
        <v>-6.8119621328216162</v>
      </c>
      <c r="M358" s="8">
        <f t="shared" si="76"/>
        <v>154.14061022753734</v>
      </c>
      <c r="N358" s="8">
        <f t="shared" si="80"/>
        <v>25.000000000000018</v>
      </c>
      <c r="O358" s="8">
        <f t="shared" si="81"/>
        <v>26.10482924045229</v>
      </c>
    </row>
    <row r="359" spans="1:15" x14ac:dyDescent="0.3">
      <c r="A359" s="5">
        <f t="shared" si="82"/>
        <v>3.5099999999999691</v>
      </c>
      <c r="B359" s="5">
        <f t="shared" si="77"/>
        <v>160.91052321139091</v>
      </c>
      <c r="C359" s="6">
        <f t="shared" si="75"/>
        <v>6206.5487524393629</v>
      </c>
      <c r="D359" s="6">
        <f t="shared" si="83"/>
        <v>38521247.416406609</v>
      </c>
      <c r="E359" s="7">
        <f t="shared" si="84"/>
        <v>6248571.4285714282</v>
      </c>
      <c r="F359" s="7">
        <f t="shared" si="85"/>
        <v>124.97142857142855</v>
      </c>
      <c r="G359" s="7">
        <f t="shared" si="86"/>
        <v>32272675.98783518</v>
      </c>
      <c r="H359" s="6">
        <f t="shared" si="87"/>
        <v>5680.9045043756178</v>
      </c>
      <c r="I359" s="7">
        <f t="shared" si="88"/>
        <v>-4.2061153823116335</v>
      </c>
      <c r="J359" s="7">
        <f t="shared" si="89"/>
        <v>-95.121368081509928</v>
      </c>
      <c r="K359" s="8">
        <f t="shared" si="78"/>
        <v>162.23587903202014</v>
      </c>
      <c r="L359" s="8">
        <f t="shared" si="79"/>
        <v>-6.8139069193448449</v>
      </c>
      <c r="M359" s="8">
        <f t="shared" si="76"/>
        <v>154.09661629204606</v>
      </c>
      <c r="N359" s="8">
        <f t="shared" si="80"/>
        <v>25.000000000000007</v>
      </c>
      <c r="O359" s="8">
        <f t="shared" si="81"/>
        <v>26.105460178702284</v>
      </c>
    </row>
    <row r="360" spans="1:15" x14ac:dyDescent="0.3">
      <c r="A360" s="5">
        <f t="shared" si="82"/>
        <v>3.5199999999999689</v>
      </c>
      <c r="B360" s="5">
        <f t="shared" si="77"/>
        <v>160.8684620575678</v>
      </c>
      <c r="C360" s="6">
        <f t="shared" si="75"/>
        <v>6204.9263936490433</v>
      </c>
      <c r="D360" s="6">
        <f t="shared" si="83"/>
        <v>38501111.550602525</v>
      </c>
      <c r="E360" s="7">
        <f t="shared" si="84"/>
        <v>6248571.4285714282</v>
      </c>
      <c r="F360" s="7">
        <f t="shared" si="85"/>
        <v>124.97142857142855</v>
      </c>
      <c r="G360" s="7">
        <f t="shared" si="86"/>
        <v>32252540.122031096</v>
      </c>
      <c r="H360" s="6">
        <f t="shared" si="87"/>
        <v>5679.1319866711228</v>
      </c>
      <c r="I360" s="7">
        <f t="shared" si="88"/>
        <v>-4.2073169282641114</v>
      </c>
      <c r="J360" s="7">
        <f t="shared" si="89"/>
        <v>-95.094202860357996</v>
      </c>
      <c r="K360" s="8">
        <f t="shared" si="78"/>
        <v>162.28222437590142</v>
      </c>
      <c r="L360" s="8">
        <f t="shared" si="79"/>
        <v>-6.8158534237878587</v>
      </c>
      <c r="M360" s="8">
        <f t="shared" si="76"/>
        <v>154.05260863377993</v>
      </c>
      <c r="N360" s="8">
        <f t="shared" si="80"/>
        <v>25.000000000000004</v>
      </c>
      <c r="O360" s="8">
        <f t="shared" si="81"/>
        <v>26.106091854632403</v>
      </c>
    </row>
    <row r="361" spans="1:15" x14ac:dyDescent="0.3">
      <c r="A361" s="5">
        <f t="shared" si="82"/>
        <v>3.5299999999999687</v>
      </c>
      <c r="B361" s="5">
        <f t="shared" si="77"/>
        <v>160.82638888828515</v>
      </c>
      <c r="C361" s="6">
        <f t="shared" si="75"/>
        <v>6203.3035714052839</v>
      </c>
      <c r="D361" s="6">
        <f t="shared" si="83"/>
        <v>38480975.199009553</v>
      </c>
      <c r="E361" s="7">
        <f t="shared" si="84"/>
        <v>6248571.4285714282</v>
      </c>
      <c r="F361" s="7">
        <f t="shared" si="85"/>
        <v>124.97142857142855</v>
      </c>
      <c r="G361" s="7">
        <f t="shared" si="86"/>
        <v>32232403.770438123</v>
      </c>
      <c r="H361" s="6">
        <f t="shared" si="87"/>
        <v>5677.3588727891884</v>
      </c>
      <c r="I361" s="7">
        <f t="shared" si="88"/>
        <v>-4.2085195362513375</v>
      </c>
      <c r="J361" s="7">
        <f t="shared" si="89"/>
        <v>-95.067029160220997</v>
      </c>
      <c r="K361" s="8">
        <f t="shared" si="78"/>
        <v>162.32861068398014</v>
      </c>
      <c r="L361" s="8">
        <f t="shared" si="79"/>
        <v>-6.8178016487271655</v>
      </c>
      <c r="M361" s="8">
        <f t="shared" si="76"/>
        <v>154.00858723955798</v>
      </c>
      <c r="N361" s="8">
        <f t="shared" si="80"/>
        <v>25</v>
      </c>
      <c r="O361" s="8">
        <f t="shared" si="81"/>
        <v>26.106724269556832</v>
      </c>
    </row>
    <row r="362" spans="1:15" x14ac:dyDescent="0.3">
      <c r="A362" s="5">
        <f t="shared" si="82"/>
        <v>3.5399999999999685</v>
      </c>
      <c r="B362" s="5">
        <f t="shared" si="77"/>
        <v>160.78430369292263</v>
      </c>
      <c r="C362" s="6">
        <f t="shared" si="75"/>
        <v>6201.6802852984438</v>
      </c>
      <c r="D362" s="6">
        <f t="shared" si="83"/>
        <v>38460838.36105939</v>
      </c>
      <c r="E362" s="7">
        <f t="shared" si="84"/>
        <v>6248571.4285714282</v>
      </c>
      <c r="F362" s="7">
        <f t="shared" si="85"/>
        <v>124.97142857142855</v>
      </c>
      <c r="G362" s="7">
        <f t="shared" si="86"/>
        <v>32212266.932487961</v>
      </c>
      <c r="H362" s="6">
        <f t="shared" si="87"/>
        <v>5675.5851621209913</v>
      </c>
      <c r="I362" s="7">
        <f t="shared" si="88"/>
        <v>-4.2097232078671327</v>
      </c>
      <c r="J362" s="7">
        <f t="shared" si="89"/>
        <v>-95.03984697294932</v>
      </c>
      <c r="K362" s="8">
        <f t="shared" si="78"/>
        <v>162.37503801773227</v>
      </c>
      <c r="L362" s="8">
        <f t="shared" si="79"/>
        <v>-6.8197515967447542</v>
      </c>
      <c r="M362" s="8">
        <f t="shared" si="76"/>
        <v>153.96455209617787</v>
      </c>
      <c r="N362" s="8">
        <f t="shared" si="80"/>
        <v>25</v>
      </c>
      <c r="O362" s="8">
        <f t="shared" si="81"/>
        <v>26.107357424792923</v>
      </c>
    </row>
    <row r="363" spans="1:15" x14ac:dyDescent="0.3">
      <c r="A363" s="5">
        <f t="shared" si="82"/>
        <v>3.5499999999999683</v>
      </c>
      <c r="B363" s="5">
        <f t="shared" si="77"/>
        <v>160.74220646084396</v>
      </c>
      <c r="C363" s="6">
        <f t="shared" si="75"/>
        <v>6200.0565349182671</v>
      </c>
      <c r="D363" s="6">
        <f t="shared" si="83"/>
        <v>38440701.036182709</v>
      </c>
      <c r="E363" s="7">
        <f t="shared" si="84"/>
        <v>6248571.4285714282</v>
      </c>
      <c r="F363" s="7">
        <f t="shared" si="85"/>
        <v>124.97142857142855</v>
      </c>
      <c r="G363" s="7">
        <f t="shared" si="86"/>
        <v>32192129.60761128</v>
      </c>
      <c r="H363" s="6">
        <f t="shared" si="87"/>
        <v>5673.81085405667</v>
      </c>
      <c r="I363" s="7">
        <f t="shared" si="88"/>
        <v>-4.2109279447087111</v>
      </c>
      <c r="J363" s="7">
        <f t="shared" si="89"/>
        <v>-95.012656290380178</v>
      </c>
      <c r="K363" s="8">
        <f t="shared" si="78"/>
        <v>162.42150643876457</v>
      </c>
      <c r="L363" s="8">
        <f t="shared" si="79"/>
        <v>-6.8217032704281113</v>
      </c>
      <c r="M363" s="8">
        <f t="shared" si="76"/>
        <v>153.92050319041584</v>
      </c>
      <c r="N363" s="8">
        <f t="shared" si="80"/>
        <v>25.000000000000007</v>
      </c>
      <c r="O363" s="8">
        <f t="shared" si="81"/>
        <v>26.107991321661189</v>
      </c>
    </row>
    <row r="364" spans="1:15" x14ac:dyDescent="0.3">
      <c r="A364" s="5">
        <f t="shared" si="82"/>
        <v>3.5599999999999681</v>
      </c>
      <c r="B364" s="5">
        <f t="shared" si="77"/>
        <v>160.70009718139687</v>
      </c>
      <c r="C364" s="6">
        <f t="shared" si="75"/>
        <v>6198.4323198538787</v>
      </c>
      <c r="D364" s="6">
        <f t="shared" si="83"/>
        <v>38420563.223809138</v>
      </c>
      <c r="E364" s="7">
        <f t="shared" si="84"/>
        <v>6248571.4285714282</v>
      </c>
      <c r="F364" s="7">
        <f t="shared" si="85"/>
        <v>124.97142857142855</v>
      </c>
      <c r="G364" s="7">
        <f t="shared" si="86"/>
        <v>32171991.795237709</v>
      </c>
      <c r="H364" s="6">
        <f t="shared" si="87"/>
        <v>5672.0359479853187</v>
      </c>
      <c r="I364" s="7">
        <f t="shared" si="88"/>
        <v>-4.2121337483766812</v>
      </c>
      <c r="J364" s="7">
        <f t="shared" si="89"/>
        <v>-94.985457104337456</v>
      </c>
      <c r="K364" s="8">
        <f t="shared" si="78"/>
        <v>162.46801600881483</v>
      </c>
      <c r="L364" s="8">
        <f t="shared" si="79"/>
        <v>-6.8236566723702223</v>
      </c>
      <c r="M364" s="8">
        <f t="shared" si="76"/>
        <v>153.87644050902665</v>
      </c>
      <c r="N364" s="8">
        <f t="shared" si="80"/>
        <v>24.999999999999986</v>
      </c>
      <c r="O364" s="8">
        <f t="shared" si="81"/>
        <v>26.108625961485288</v>
      </c>
    </row>
    <row r="365" spans="1:15" x14ac:dyDescent="0.3">
      <c r="A365" s="5">
        <f t="shared" si="82"/>
        <v>3.5699999999999679</v>
      </c>
      <c r="B365" s="5">
        <f t="shared" si="77"/>
        <v>160.65797584391311</v>
      </c>
      <c r="C365" s="6">
        <f t="shared" si="75"/>
        <v>6196.8076396937913</v>
      </c>
      <c r="D365" s="6">
        <f t="shared" si="83"/>
        <v>38400424.923367336</v>
      </c>
      <c r="E365" s="7">
        <f t="shared" si="84"/>
        <v>6248571.4285714282</v>
      </c>
      <c r="F365" s="7">
        <f t="shared" si="85"/>
        <v>124.97142857142855</v>
      </c>
      <c r="G365" s="7">
        <f t="shared" si="86"/>
        <v>32151853.494795907</v>
      </c>
      <c r="H365" s="6">
        <f t="shared" si="87"/>
        <v>5670.2604432949911</v>
      </c>
      <c r="I365" s="7">
        <f t="shared" si="88"/>
        <v>-4.2133406204750825</v>
      </c>
      <c r="J365" s="7">
        <f t="shared" si="89"/>
        <v>-94.958249406631793</v>
      </c>
      <c r="K365" s="8">
        <f t="shared" si="78"/>
        <v>162.51456678975316</v>
      </c>
      <c r="L365" s="8">
        <f t="shared" si="79"/>
        <v>-6.8256118051696317</v>
      </c>
      <c r="M365" s="8">
        <f t="shared" si="76"/>
        <v>153.83236403874346</v>
      </c>
      <c r="N365" s="8">
        <f t="shared" si="80"/>
        <v>24.999999999999996</v>
      </c>
      <c r="O365" s="8">
        <f t="shared" si="81"/>
        <v>26.109261345592166</v>
      </c>
    </row>
    <row r="366" spans="1:15" x14ac:dyDescent="0.3">
      <c r="A366" s="5">
        <f t="shared" si="82"/>
        <v>3.5799999999999677</v>
      </c>
      <c r="B366" s="5">
        <f t="shared" si="77"/>
        <v>160.61584243770835</v>
      </c>
      <c r="C366" s="6">
        <f t="shared" si="75"/>
        <v>6195.182494025893</v>
      </c>
      <c r="D366" s="6">
        <f t="shared" si="83"/>
        <v>38380286.134284884</v>
      </c>
      <c r="E366" s="7">
        <f t="shared" si="84"/>
        <v>6248571.4285714282</v>
      </c>
      <c r="F366" s="7">
        <f t="shared" si="85"/>
        <v>124.97142857142855</v>
      </c>
      <c r="G366" s="7">
        <f t="shared" si="86"/>
        <v>32131714.705713455</v>
      </c>
      <c r="H366" s="6">
        <f t="shared" si="87"/>
        <v>5668.4843393726915</v>
      </c>
      <c r="I366" s="7">
        <f t="shared" si="88"/>
        <v>-4.2145485626113528</v>
      </c>
      <c r="J366" s="7">
        <f t="shared" si="89"/>
        <v>-94.931033189060471</v>
      </c>
      <c r="K366" s="8">
        <f t="shared" si="78"/>
        <v>162.56115884358076</v>
      </c>
      <c r="L366" s="8">
        <f t="shared" si="79"/>
        <v>-6.8275686714303907</v>
      </c>
      <c r="M366" s="8">
        <f t="shared" si="76"/>
        <v>153.78827376627797</v>
      </c>
      <c r="N366" s="8">
        <f t="shared" si="80"/>
        <v>24.999999999999996</v>
      </c>
      <c r="O366" s="8">
        <f t="shared" si="81"/>
        <v>26.109897475311847</v>
      </c>
    </row>
    <row r="367" spans="1:15" x14ac:dyDescent="0.3">
      <c r="A367" s="5">
        <f t="shared" si="82"/>
        <v>3.5899999999999674</v>
      </c>
      <c r="B367" s="5">
        <f t="shared" si="77"/>
        <v>160.57369695208223</v>
      </c>
      <c r="C367" s="6">
        <f t="shared" si="75"/>
        <v>6193.5568824374568</v>
      </c>
      <c r="D367" s="6">
        <f t="shared" si="83"/>
        <v>38360146.855988391</v>
      </c>
      <c r="E367" s="7">
        <f t="shared" si="84"/>
        <v>6248571.4285714282</v>
      </c>
      <c r="F367" s="7">
        <f t="shared" si="85"/>
        <v>124.97142857142855</v>
      </c>
      <c r="G367" s="7">
        <f t="shared" si="86"/>
        <v>32111575.427416962</v>
      </c>
      <c r="H367" s="6">
        <f t="shared" si="87"/>
        <v>5666.7076356043781</v>
      </c>
      <c r="I367" s="7">
        <f t="shared" si="88"/>
        <v>-4.2157575763963786</v>
      </c>
      <c r="J367" s="7">
        <f t="shared" si="89"/>
        <v>-94.90380844340747</v>
      </c>
      <c r="K367" s="8">
        <f t="shared" si="78"/>
        <v>162.60779223243173</v>
      </c>
      <c r="L367" s="8">
        <f t="shared" si="79"/>
        <v>-6.8295272737621318</v>
      </c>
      <c r="M367" s="8">
        <f t="shared" si="76"/>
        <v>153.74416967832011</v>
      </c>
      <c r="N367" s="8">
        <f t="shared" si="80"/>
        <v>25.000000000000007</v>
      </c>
      <c r="O367" s="8">
        <f t="shared" si="81"/>
        <v>26.110534351977645</v>
      </c>
    </row>
    <row r="368" spans="1:15" x14ac:dyDescent="0.3">
      <c r="A368" s="5">
        <f t="shared" si="82"/>
        <v>3.5999999999999672</v>
      </c>
      <c r="B368" s="5">
        <f t="shared" si="77"/>
        <v>160.53153937631828</v>
      </c>
      <c r="C368" s="6">
        <f t="shared" si="75"/>
        <v>6191.9308045151329</v>
      </c>
      <c r="D368" s="6">
        <f t="shared" si="83"/>
        <v>38340007.087903418</v>
      </c>
      <c r="E368" s="7">
        <f t="shared" si="84"/>
        <v>6248571.4285714282</v>
      </c>
      <c r="F368" s="7">
        <f t="shared" si="85"/>
        <v>124.97142857142855</v>
      </c>
      <c r="G368" s="7">
        <f t="shared" si="86"/>
        <v>32091435.659331989</v>
      </c>
      <c r="H368" s="6">
        <f t="shared" si="87"/>
        <v>5664.9303313749579</v>
      </c>
      <c r="I368" s="7">
        <f t="shared" si="88"/>
        <v>-4.2169676634444739</v>
      </c>
      <c r="J368" s="7">
        <f t="shared" si="89"/>
        <v>-94.876575161443355</v>
      </c>
      <c r="K368" s="8">
        <f t="shared" si="78"/>
        <v>162.65446701857255</v>
      </c>
      <c r="L368" s="8">
        <f t="shared" si="79"/>
        <v>-6.8314876147800465</v>
      </c>
      <c r="M368" s="8">
        <f t="shared" si="76"/>
        <v>153.70005176153822</v>
      </c>
      <c r="N368" s="8">
        <f t="shared" si="80"/>
        <v>25.000000000000011</v>
      </c>
      <c r="O368" s="8">
        <f t="shared" si="81"/>
        <v>26.111171976926041</v>
      </c>
    </row>
    <row r="369" spans="1:15" x14ac:dyDescent="0.3">
      <c r="A369" s="5">
        <f t="shared" si="82"/>
        <v>3.609999999999967</v>
      </c>
      <c r="B369" s="5">
        <f t="shared" si="77"/>
        <v>160.48936969968383</v>
      </c>
      <c r="C369" s="6">
        <f t="shared" si="75"/>
        <v>6190.3042598449474</v>
      </c>
      <c r="D369" s="6">
        <f t="shared" si="83"/>
        <v>38319866.829454504</v>
      </c>
      <c r="E369" s="7">
        <f t="shared" si="84"/>
        <v>6248571.4285714282</v>
      </c>
      <c r="F369" s="7">
        <f t="shared" si="85"/>
        <v>124.97142857142855</v>
      </c>
      <c r="G369" s="7">
        <f t="shared" si="86"/>
        <v>32071295.400883075</v>
      </c>
      <c r="H369" s="6">
        <f t="shared" si="87"/>
        <v>5663.1524260682827</v>
      </c>
      <c r="I369" s="7">
        <f t="shared" si="88"/>
        <v>-4.2181788253734043</v>
      </c>
      <c r="J369" s="7">
        <f t="shared" si="89"/>
        <v>-94.849333334925277</v>
      </c>
      <c r="K369" s="8">
        <f t="shared" si="78"/>
        <v>162.70118326440272</v>
      </c>
      <c r="L369" s="8">
        <f t="shared" si="79"/>
        <v>-6.8334496971049132</v>
      </c>
      <c r="M369" s="8">
        <f t="shared" si="76"/>
        <v>153.65592000257891</v>
      </c>
      <c r="N369" s="8">
        <f t="shared" si="80"/>
        <v>24.999999999999993</v>
      </c>
      <c r="O369" s="8">
        <f t="shared" si="81"/>
        <v>26.111810351496739</v>
      </c>
    </row>
    <row r="370" spans="1:15" x14ac:dyDescent="0.3">
      <c r="A370" s="5">
        <f t="shared" si="82"/>
        <v>3.6199999999999668</v>
      </c>
      <c r="B370" s="5">
        <f t="shared" si="77"/>
        <v>160.44718791143009</v>
      </c>
      <c r="C370" s="6">
        <f t="shared" si="75"/>
        <v>6188.6772480123036</v>
      </c>
      <c r="D370" s="6">
        <f t="shared" si="83"/>
        <v>38299726.080065139</v>
      </c>
      <c r="E370" s="7">
        <f t="shared" si="84"/>
        <v>6248571.4285714282</v>
      </c>
      <c r="F370" s="7">
        <f t="shared" si="85"/>
        <v>124.97142857142855</v>
      </c>
      <c r="G370" s="7">
        <f t="shared" si="86"/>
        <v>32051154.65149371</v>
      </c>
      <c r="H370" s="6">
        <f t="shared" si="87"/>
        <v>5661.3739190671477</v>
      </c>
      <c r="I370" s="7">
        <f t="shared" si="88"/>
        <v>-4.2193910638044034</v>
      </c>
      <c r="J370" s="7">
        <f t="shared" si="89"/>
        <v>-94.822082955596912</v>
      </c>
      <c r="K370" s="8">
        <f t="shared" si="78"/>
        <v>162.74794103245554</v>
      </c>
      <c r="L370" s="8">
        <f t="shared" si="79"/>
        <v>-6.8354135233631323</v>
      </c>
      <c r="M370" s="8">
        <f t="shared" si="76"/>
        <v>153.61177438806695</v>
      </c>
      <c r="N370" s="8">
        <f t="shared" si="80"/>
        <v>24.999999999999986</v>
      </c>
      <c r="O370" s="8">
        <f t="shared" si="81"/>
        <v>26.11244947703274</v>
      </c>
    </row>
    <row r="371" spans="1:15" x14ac:dyDescent="0.3">
      <c r="A371" s="5">
        <f t="shared" si="82"/>
        <v>3.6299999999999666</v>
      </c>
      <c r="B371" s="5">
        <f t="shared" si="77"/>
        <v>160.40499400079204</v>
      </c>
      <c r="C371" s="6">
        <f t="shared" si="75"/>
        <v>6187.0497686019789</v>
      </c>
      <c r="D371" s="6">
        <f t="shared" si="83"/>
        <v>38279584.839157805</v>
      </c>
      <c r="E371" s="7">
        <f t="shared" si="84"/>
        <v>6248571.4285714282</v>
      </c>
      <c r="F371" s="7">
        <f t="shared" si="85"/>
        <v>124.97142857142855</v>
      </c>
      <c r="G371" s="7">
        <f t="shared" si="86"/>
        <v>32031013.410586376</v>
      </c>
      <c r="H371" s="6">
        <f t="shared" si="87"/>
        <v>5659.5948097532901</v>
      </c>
      <c r="I371" s="7">
        <f t="shared" si="88"/>
        <v>-4.2206043803621665</v>
      </c>
      <c r="J371" s="7">
        <f t="shared" si="89"/>
        <v>-94.79482401518851</v>
      </c>
      <c r="K371" s="8">
        <f t="shared" si="78"/>
        <v>162.79474038539783</v>
      </c>
      <c r="L371" s="8">
        <f t="shared" si="79"/>
        <v>-6.8373790961867078</v>
      </c>
      <c r="M371" s="8">
        <f t="shared" si="76"/>
        <v>153.56761490460534</v>
      </c>
      <c r="N371" s="8">
        <f t="shared" si="80"/>
        <v>24.999999999999975</v>
      </c>
      <c r="O371" s="8">
        <f t="shared" si="81"/>
        <v>26.113089354880238</v>
      </c>
    </row>
    <row r="372" spans="1:15" x14ac:dyDescent="0.3">
      <c r="A372" s="5">
        <f t="shared" si="82"/>
        <v>3.6399999999999664</v>
      </c>
      <c r="B372" s="5">
        <f t="shared" si="77"/>
        <v>160.36278795698843</v>
      </c>
      <c r="C372" s="6">
        <f t="shared" si="75"/>
        <v>6185.4218211981251</v>
      </c>
      <c r="D372" s="6">
        <f t="shared" si="83"/>
        <v>38259443.106153928</v>
      </c>
      <c r="E372" s="7">
        <f t="shared" si="84"/>
        <v>6248571.4285714282</v>
      </c>
      <c r="F372" s="7">
        <f t="shared" si="85"/>
        <v>124.97142857142855</v>
      </c>
      <c r="G372" s="7">
        <f t="shared" si="86"/>
        <v>32010871.677582499</v>
      </c>
      <c r="H372" s="6">
        <f t="shared" si="87"/>
        <v>5657.815097507385</v>
      </c>
      <c r="I372" s="7">
        <f t="shared" si="88"/>
        <v>-4.2218187766748763</v>
      </c>
      <c r="J372" s="7">
        <f t="shared" si="89"/>
        <v>-94.767556505416763</v>
      </c>
      <c r="K372" s="8">
        <f t="shared" si="78"/>
        <v>162.84158138603092</v>
      </c>
      <c r="L372" s="8">
        <f t="shared" si="79"/>
        <v>-6.8393464182132977</v>
      </c>
      <c r="M372" s="8">
        <f t="shared" si="76"/>
        <v>153.52344153877513</v>
      </c>
      <c r="N372" s="8">
        <f t="shared" si="80"/>
        <v>25.000000000000011</v>
      </c>
      <c r="O372" s="8">
        <f t="shared" si="81"/>
        <v>26.113729986388748</v>
      </c>
    </row>
    <row r="373" spans="1:15" x14ac:dyDescent="0.3">
      <c r="A373" s="5">
        <f t="shared" si="82"/>
        <v>3.6499999999999662</v>
      </c>
      <c r="B373" s="5">
        <f t="shared" si="77"/>
        <v>160.32056976922169</v>
      </c>
      <c r="C373" s="6">
        <f t="shared" si="75"/>
        <v>6183.7934053842646</v>
      </c>
      <c r="D373" s="6">
        <f t="shared" si="83"/>
        <v>38239300.880473919</v>
      </c>
      <c r="E373" s="7">
        <f t="shared" si="84"/>
        <v>6248571.4285714282</v>
      </c>
      <c r="F373" s="7">
        <f t="shared" si="85"/>
        <v>124.97142857142855</v>
      </c>
      <c r="G373" s="7">
        <f t="shared" si="86"/>
        <v>31990729.45190249</v>
      </c>
      <c r="H373" s="6">
        <f t="shared" si="87"/>
        <v>5656.0347817090451</v>
      </c>
      <c r="I373" s="7">
        <f t="shared" si="88"/>
        <v>-4.223034254374185</v>
      </c>
      <c r="J373" s="7">
        <f t="shared" si="89"/>
        <v>-94.740280417984891</v>
      </c>
      <c r="K373" s="8">
        <f t="shared" si="78"/>
        <v>162.88846409728998</v>
      </c>
      <c r="L373" s="8">
        <f t="shared" si="79"/>
        <v>-6.8413154920861787</v>
      </c>
      <c r="M373" s="8">
        <f t="shared" si="76"/>
        <v>153.47925427713551</v>
      </c>
      <c r="N373" s="8">
        <f t="shared" si="80"/>
        <v>25.000000000000028</v>
      </c>
      <c r="O373" s="8">
        <f t="shared" si="81"/>
        <v>26.114371372910941</v>
      </c>
    </row>
    <row r="374" spans="1:15" x14ac:dyDescent="0.3">
      <c r="A374" s="5">
        <f t="shared" si="82"/>
        <v>3.6599999999999659</v>
      </c>
      <c r="B374" s="5">
        <f t="shared" si="77"/>
        <v>160.27833942667795</v>
      </c>
      <c r="C374" s="6">
        <f t="shared" si="75"/>
        <v>6182.1645207432921</v>
      </c>
      <c r="D374" s="6">
        <f t="shared" si="83"/>
        <v>38219158.161537141</v>
      </c>
      <c r="E374" s="7">
        <f t="shared" si="84"/>
        <v>6248571.4285714282</v>
      </c>
      <c r="F374" s="7">
        <f t="shared" si="85"/>
        <v>124.97142857142855</v>
      </c>
      <c r="G374" s="7">
        <f t="shared" si="86"/>
        <v>31970586.732965712</v>
      </c>
      <c r="H374" s="6">
        <f t="shared" si="87"/>
        <v>5654.2538617368173</v>
      </c>
      <c r="I374" s="7">
        <f t="shared" si="88"/>
        <v>-4.2242508150952496</v>
      </c>
      <c r="J374" s="7">
        <f t="shared" si="89"/>
        <v>-94.712995744582514</v>
      </c>
      <c r="K374" s="8">
        <f t="shared" si="78"/>
        <v>162.93538858224534</v>
      </c>
      <c r="L374" s="8">
        <f t="shared" si="79"/>
        <v>-6.8432863204543031</v>
      </c>
      <c r="M374" s="8">
        <f t="shared" si="76"/>
        <v>153.43505310622365</v>
      </c>
      <c r="N374" s="8">
        <f t="shared" si="80"/>
        <v>25</v>
      </c>
      <c r="O374" s="8">
        <f t="shared" si="81"/>
        <v>26.115013515802783</v>
      </c>
    </row>
    <row r="375" spans="1:15" x14ac:dyDescent="0.3">
      <c r="A375" s="5">
        <f t="shared" si="82"/>
        <v>3.6699999999999657</v>
      </c>
      <c r="B375" s="5">
        <f t="shared" si="77"/>
        <v>160.23609691852698</v>
      </c>
      <c r="C375" s="6">
        <f t="shared" si="75"/>
        <v>6180.5351668574685</v>
      </c>
      <c r="D375" s="6">
        <f t="shared" si="83"/>
        <v>38199014.948761873</v>
      </c>
      <c r="E375" s="7">
        <f t="shared" si="84"/>
        <v>6248571.4285714282</v>
      </c>
      <c r="F375" s="7">
        <f t="shared" si="85"/>
        <v>124.97142857142855</v>
      </c>
      <c r="G375" s="7">
        <f t="shared" si="86"/>
        <v>31950443.520190444</v>
      </c>
      <c r="H375" s="6">
        <f t="shared" si="87"/>
        <v>5652.4723369681733</v>
      </c>
      <c r="I375" s="7">
        <f t="shared" si="88"/>
        <v>-4.2254684604767574</v>
      </c>
      <c r="J375" s="7">
        <f t="shared" si="89"/>
        <v>-94.685702476885581</v>
      </c>
      <c r="K375" s="8">
        <f t="shared" si="78"/>
        <v>162.98235490410349</v>
      </c>
      <c r="L375" s="8">
        <f t="shared" si="79"/>
        <v>-6.8452589059723454</v>
      </c>
      <c r="M375" s="8">
        <f t="shared" si="76"/>
        <v>153.39083801255464</v>
      </c>
      <c r="N375" s="8">
        <f t="shared" si="80"/>
        <v>25.000000000000028</v>
      </c>
      <c r="O375" s="8">
        <f t="shared" si="81"/>
        <v>26.115656416423686</v>
      </c>
    </row>
    <row r="376" spans="1:15" x14ac:dyDescent="0.3">
      <c r="A376" s="5">
        <f t="shared" si="82"/>
        <v>3.6799999999999655</v>
      </c>
      <c r="B376" s="5">
        <f t="shared" si="77"/>
        <v>160.19384223392223</v>
      </c>
      <c r="C376" s="6">
        <f t="shared" si="75"/>
        <v>6178.9053433084282</v>
      </c>
      <c r="D376" s="6">
        <f t="shared" si="83"/>
        <v>38178871.241565444</v>
      </c>
      <c r="E376" s="7">
        <f t="shared" si="84"/>
        <v>6248571.4285714282</v>
      </c>
      <c r="F376" s="7">
        <f t="shared" si="85"/>
        <v>124.97142857142855</v>
      </c>
      <c r="G376" s="7">
        <f t="shared" si="86"/>
        <v>31930299.812994014</v>
      </c>
      <c r="H376" s="6">
        <f t="shared" si="87"/>
        <v>5650.6902067795236</v>
      </c>
      <c r="I376" s="7">
        <f t="shared" si="88"/>
        <v>-4.2266871921608749</v>
      </c>
      <c r="J376" s="7">
        <f t="shared" si="89"/>
        <v>-94.658400606556555</v>
      </c>
      <c r="K376" s="8">
        <f t="shared" si="78"/>
        <v>163.02936312620517</v>
      </c>
      <c r="L376" s="8">
        <f t="shared" si="79"/>
        <v>-6.847233251300616</v>
      </c>
      <c r="M376" s="8">
        <f t="shared" si="76"/>
        <v>153.3466089826216</v>
      </c>
      <c r="N376" s="8">
        <f t="shared" si="80"/>
        <v>25.000000000000014</v>
      </c>
      <c r="O376" s="8">
        <f t="shared" si="81"/>
        <v>26.116300076136127</v>
      </c>
    </row>
    <row r="377" spans="1:15" x14ac:dyDescent="0.3">
      <c r="A377" s="5">
        <f t="shared" si="82"/>
        <v>3.6899999999999653</v>
      </c>
      <c r="B377" s="5">
        <f t="shared" si="77"/>
        <v>160.15157536200061</v>
      </c>
      <c r="C377" s="6">
        <f t="shared" si="75"/>
        <v>6177.275049677166</v>
      </c>
      <c r="D377" s="6">
        <f t="shared" si="83"/>
        <v>38158727.039364032</v>
      </c>
      <c r="E377" s="7">
        <f t="shared" si="84"/>
        <v>6248571.4285714282</v>
      </c>
      <c r="F377" s="7">
        <f t="shared" si="85"/>
        <v>124.97142857142855</v>
      </c>
      <c r="G377" s="7">
        <f t="shared" si="86"/>
        <v>31910155.610792603</v>
      </c>
      <c r="H377" s="6">
        <f t="shared" si="87"/>
        <v>5648.9074705461944</v>
      </c>
      <c r="I377" s="7">
        <f t="shared" si="88"/>
        <v>-4.2279070117933255</v>
      </c>
      <c r="J377" s="7">
        <f t="shared" si="89"/>
        <v>-94.6310901252441</v>
      </c>
      <c r="K377" s="8">
        <f t="shared" si="78"/>
        <v>163.07641331202825</v>
      </c>
      <c r="L377" s="8">
        <f t="shared" si="79"/>
        <v>-6.8492093591051857</v>
      </c>
      <c r="M377" s="8">
        <f t="shared" si="76"/>
        <v>153.30236600289544</v>
      </c>
      <c r="N377" s="8">
        <f t="shared" si="80"/>
        <v>25.000000000000004</v>
      </c>
      <c r="O377" s="8">
        <f t="shared" si="81"/>
        <v>26.116944496306051</v>
      </c>
    </row>
    <row r="378" spans="1:15" x14ac:dyDescent="0.3">
      <c r="A378" s="5">
        <f t="shared" si="82"/>
        <v>3.6999999999999651</v>
      </c>
      <c r="B378" s="5">
        <f t="shared" si="77"/>
        <v>160.10929629188269</v>
      </c>
      <c r="C378" s="6">
        <f t="shared" si="75"/>
        <v>6175.6442855440464</v>
      </c>
      <c r="D378" s="6">
        <f t="shared" si="83"/>
        <v>38138582.341572836</v>
      </c>
      <c r="E378" s="7">
        <f t="shared" si="84"/>
        <v>6248571.4285714282</v>
      </c>
      <c r="F378" s="7">
        <f t="shared" si="85"/>
        <v>124.97142857142855</v>
      </c>
      <c r="G378" s="7">
        <f t="shared" si="86"/>
        <v>31890010.913001407</v>
      </c>
      <c r="H378" s="6">
        <f t="shared" si="87"/>
        <v>5647.1241276424416</v>
      </c>
      <c r="I378" s="7">
        <f t="shared" si="88"/>
        <v>-4.229127921023359</v>
      </c>
      <c r="J378" s="7">
        <f t="shared" si="89"/>
        <v>-94.603771024583253</v>
      </c>
      <c r="K378" s="8">
        <f t="shared" si="78"/>
        <v>163.12350552518669</v>
      </c>
      <c r="L378" s="8">
        <f t="shared" si="79"/>
        <v>-6.85118723205784</v>
      </c>
      <c r="M378" s="8">
        <f t="shared" si="76"/>
        <v>153.25810905982485</v>
      </c>
      <c r="N378" s="8">
        <f t="shared" si="80"/>
        <v>25.000000000000004</v>
      </c>
      <c r="O378" s="8">
        <f t="shared" si="81"/>
        <v>26.117589678302675</v>
      </c>
    </row>
    <row r="379" spans="1:15" x14ac:dyDescent="0.3">
      <c r="A379" s="5">
        <f t="shared" si="82"/>
        <v>3.7099999999999649</v>
      </c>
      <c r="B379" s="5">
        <f t="shared" si="77"/>
        <v>160.06700501267244</v>
      </c>
      <c r="C379" s="6">
        <f t="shared" si="75"/>
        <v>6174.0130504887939</v>
      </c>
      <c r="D379" s="6">
        <f t="shared" si="83"/>
        <v>38118437.147605941</v>
      </c>
      <c r="E379" s="7">
        <f t="shared" si="84"/>
        <v>6248571.4285714282</v>
      </c>
      <c r="F379" s="7">
        <f t="shared" si="85"/>
        <v>124.97142857142855</v>
      </c>
      <c r="G379" s="7">
        <f t="shared" si="86"/>
        <v>31869865.719034512</v>
      </c>
      <c r="H379" s="6">
        <f t="shared" si="87"/>
        <v>5645.3401774414369</v>
      </c>
      <c r="I379" s="7">
        <f t="shared" si="88"/>
        <v>-4.2303499215037714</v>
      </c>
      <c r="J379" s="7">
        <f t="shared" si="89"/>
        <v>-94.576443296195279</v>
      </c>
      <c r="K379" s="8">
        <f t="shared" si="78"/>
        <v>163.17063982943117</v>
      </c>
      <c r="L379" s="8">
        <f t="shared" si="79"/>
        <v>-6.8531668728361081</v>
      </c>
      <c r="M379" s="8">
        <f t="shared" si="76"/>
        <v>153.21383813983633</v>
      </c>
      <c r="N379" s="8">
        <f t="shared" si="80"/>
        <v>24.999999999999996</v>
      </c>
      <c r="O379" s="8">
        <f t="shared" si="81"/>
        <v>26.118235623498528</v>
      </c>
    </row>
    <row r="380" spans="1:15" x14ac:dyDescent="0.3">
      <c r="A380" s="5">
        <f t="shared" si="82"/>
        <v>3.7199999999999647</v>
      </c>
      <c r="B380" s="5">
        <f t="shared" si="77"/>
        <v>160.02470151345742</v>
      </c>
      <c r="C380" s="6">
        <f t="shared" si="75"/>
        <v>6172.3813440904996</v>
      </c>
      <c r="D380" s="6">
        <f t="shared" si="83"/>
        <v>38098291.456876442</v>
      </c>
      <c r="E380" s="7">
        <f t="shared" si="84"/>
        <v>6248571.4285714282</v>
      </c>
      <c r="F380" s="7">
        <f t="shared" si="85"/>
        <v>124.97142857142855</v>
      </c>
      <c r="G380" s="7">
        <f t="shared" si="86"/>
        <v>31849720.028305013</v>
      </c>
      <c r="H380" s="6">
        <f t="shared" si="87"/>
        <v>5643.5556193152743</v>
      </c>
      <c r="I380" s="7">
        <f t="shared" si="88"/>
        <v>-4.2315730148909214</v>
      </c>
      <c r="J380" s="7">
        <f t="shared" si="89"/>
        <v>-94.549106931687732</v>
      </c>
      <c r="K380" s="8">
        <f t="shared" si="78"/>
        <v>163.21781628864983</v>
      </c>
      <c r="L380" s="8">
        <f t="shared" si="79"/>
        <v>-6.8551482841232918</v>
      </c>
      <c r="M380" s="8">
        <f t="shared" si="76"/>
        <v>153.16955322933413</v>
      </c>
      <c r="N380" s="8">
        <f t="shared" si="80"/>
        <v>25.000000000000028</v>
      </c>
      <c r="O380" s="8">
        <f t="shared" si="81"/>
        <v>26.118882333269518</v>
      </c>
    </row>
    <row r="381" spans="1:15" x14ac:dyDescent="0.3">
      <c r="A381" s="5">
        <f t="shared" si="82"/>
        <v>3.7299999999999645</v>
      </c>
      <c r="B381" s="5">
        <f t="shared" si="77"/>
        <v>159.9823857833085</v>
      </c>
      <c r="C381" s="6">
        <f t="shared" si="75"/>
        <v>6170.7491659276129</v>
      </c>
      <c r="D381" s="6">
        <f t="shared" si="83"/>
        <v>38078145.268796332</v>
      </c>
      <c r="E381" s="7">
        <f t="shared" si="84"/>
        <v>6248571.4285714282</v>
      </c>
      <c r="F381" s="7">
        <f t="shared" si="85"/>
        <v>124.97142857142855</v>
      </c>
      <c r="G381" s="7">
        <f t="shared" si="86"/>
        <v>31829573.840224903</v>
      </c>
      <c r="H381" s="6">
        <f t="shared" si="87"/>
        <v>5641.7704526349617</v>
      </c>
      <c r="I381" s="7">
        <f t="shared" si="88"/>
        <v>-4.2327972028447185</v>
      </c>
      <c r="J381" s="7">
        <f t="shared" si="89"/>
        <v>-94.521761922654377</v>
      </c>
      <c r="K381" s="8">
        <f t="shared" si="78"/>
        <v>163.26503496686772</v>
      </c>
      <c r="L381" s="8">
        <f t="shared" si="79"/>
        <v>-6.8571314686084435</v>
      </c>
      <c r="M381" s="8">
        <f t="shared" si="76"/>
        <v>153.12525431470004</v>
      </c>
      <c r="N381" s="8">
        <f t="shared" si="80"/>
        <v>25.000000000000014</v>
      </c>
      <c r="O381" s="8">
        <f t="shared" si="81"/>
        <v>26.119529808994784</v>
      </c>
    </row>
    <row r="382" spans="1:15" x14ac:dyDescent="0.3">
      <c r="A382" s="5">
        <f t="shared" si="82"/>
        <v>3.7399999999999642</v>
      </c>
      <c r="B382" s="5">
        <f t="shared" si="77"/>
        <v>159.94005781128004</v>
      </c>
      <c r="C382" s="6">
        <f t="shared" si="75"/>
        <v>6169.1165155779445</v>
      </c>
      <c r="D382" s="6">
        <f t="shared" si="83"/>
        <v>38057998.582776561</v>
      </c>
      <c r="E382" s="7">
        <f t="shared" si="84"/>
        <v>6248571.4285714282</v>
      </c>
      <c r="F382" s="7">
        <f t="shared" si="85"/>
        <v>124.97142857142855</v>
      </c>
      <c r="G382" s="7">
        <f t="shared" si="86"/>
        <v>31809427.154205132</v>
      </c>
      <c r="H382" s="6">
        <f t="shared" si="87"/>
        <v>5639.9846767704194</v>
      </c>
      <c r="I382" s="7">
        <f t="shared" si="88"/>
        <v>-4.2340224870286658</v>
      </c>
      <c r="J382" s="7">
        <f t="shared" si="89"/>
        <v>-94.494408260675087</v>
      </c>
      <c r="K382" s="8">
        <f t="shared" si="78"/>
        <v>163.31229592824852</v>
      </c>
      <c r="L382" s="8">
        <f t="shared" si="79"/>
        <v>-6.8591164289864368</v>
      </c>
      <c r="M382" s="8">
        <f t="shared" si="76"/>
        <v>153.08094138229362</v>
      </c>
      <c r="N382" s="8">
        <f t="shared" si="80"/>
        <v>25</v>
      </c>
      <c r="O382" s="8">
        <f t="shared" si="81"/>
        <v>26.120178052056939</v>
      </c>
    </row>
    <row r="383" spans="1:15" x14ac:dyDescent="0.3">
      <c r="A383" s="5">
        <f t="shared" si="82"/>
        <v>3.749999999999964</v>
      </c>
      <c r="B383" s="5">
        <f t="shared" si="77"/>
        <v>159.89771758640975</v>
      </c>
      <c r="C383" s="6">
        <f t="shared" si="75"/>
        <v>6167.483392618662</v>
      </c>
      <c r="D383" s="6">
        <f t="shared" si="83"/>
        <v>38037851.398226999</v>
      </c>
      <c r="E383" s="7">
        <f t="shared" si="84"/>
        <v>6248571.4285714282</v>
      </c>
      <c r="F383" s="7">
        <f t="shared" si="85"/>
        <v>124.97142857142855</v>
      </c>
      <c r="G383" s="7">
        <f t="shared" si="86"/>
        <v>31789279.96965557</v>
      </c>
      <c r="H383" s="6">
        <f t="shared" si="87"/>
        <v>5638.1982910904762</v>
      </c>
      <c r="I383" s="7">
        <f t="shared" si="88"/>
        <v>-4.2352488691098555</v>
      </c>
      <c r="J383" s="7">
        <f t="shared" si="89"/>
        <v>-94.467045937315945</v>
      </c>
      <c r="K383" s="8">
        <f t="shared" si="78"/>
        <v>163.35959923709441</v>
      </c>
      <c r="L383" s="8">
        <f t="shared" si="79"/>
        <v>-6.8611031679579648</v>
      </c>
      <c r="M383" s="8">
        <f t="shared" si="76"/>
        <v>153.03661441845179</v>
      </c>
      <c r="N383" s="8">
        <f t="shared" si="80"/>
        <v>25.000000000000028</v>
      </c>
      <c r="O383" s="8">
        <f t="shared" si="81"/>
        <v>26.120827063842</v>
      </c>
    </row>
    <row r="384" spans="1:15" x14ac:dyDescent="0.3">
      <c r="A384" s="5">
        <f t="shared" si="82"/>
        <v>3.7599999999999638</v>
      </c>
      <c r="B384" s="5">
        <f t="shared" si="77"/>
        <v>159.85536509771865</v>
      </c>
      <c r="C384" s="6">
        <f t="shared" si="75"/>
        <v>6165.8497966262903</v>
      </c>
      <c r="D384" s="6">
        <f t="shared" si="83"/>
        <v>38017703.714556463</v>
      </c>
      <c r="E384" s="7">
        <f t="shared" si="84"/>
        <v>6248571.4285714282</v>
      </c>
      <c r="F384" s="7">
        <f t="shared" si="85"/>
        <v>124.97142857142855</v>
      </c>
      <c r="G384" s="7">
        <f t="shared" si="86"/>
        <v>31769132.285985034</v>
      </c>
      <c r="H384" s="6">
        <f t="shared" si="87"/>
        <v>5636.4112949628716</v>
      </c>
      <c r="I384" s="7">
        <f t="shared" si="88"/>
        <v>-4.2364763507589522</v>
      </c>
      <c r="J384" s="7">
        <f t="shared" si="89"/>
        <v>-94.439674944129109</v>
      </c>
      <c r="K384" s="8">
        <f t="shared" si="78"/>
        <v>163.4069449578453</v>
      </c>
      <c r="L384" s="8">
        <f t="shared" si="79"/>
        <v>-6.8630916882295017</v>
      </c>
      <c r="M384" s="8">
        <f t="shared" si="76"/>
        <v>152.99227340948914</v>
      </c>
      <c r="N384" s="8">
        <f t="shared" si="80"/>
        <v>25.000000000000011</v>
      </c>
      <c r="O384" s="8">
        <f t="shared" si="81"/>
        <v>26.121476845739178</v>
      </c>
    </row>
    <row r="385" spans="1:15" x14ac:dyDescent="0.3">
      <c r="A385" s="5">
        <f t="shared" si="82"/>
        <v>3.7699999999999636</v>
      </c>
      <c r="B385" s="5">
        <f t="shared" si="77"/>
        <v>159.81300033421107</v>
      </c>
      <c r="C385" s="6">
        <f t="shared" si="75"/>
        <v>6164.2157271767119</v>
      </c>
      <c r="D385" s="6">
        <f t="shared" si="83"/>
        <v>37997555.531172715</v>
      </c>
      <c r="E385" s="7">
        <f t="shared" si="84"/>
        <v>6248571.4285714282</v>
      </c>
      <c r="F385" s="7">
        <f t="shared" si="85"/>
        <v>124.97142857142855</v>
      </c>
      <c r="G385" s="7">
        <f t="shared" si="86"/>
        <v>31748984.102601286</v>
      </c>
      <c r="H385" s="6">
        <f t="shared" si="87"/>
        <v>5634.6236877542487</v>
      </c>
      <c r="I385" s="7">
        <f t="shared" si="88"/>
        <v>-4.2377049336502548</v>
      </c>
      <c r="J385" s="7">
        <f t="shared" si="89"/>
        <v>-94.412295272652884</v>
      </c>
      <c r="K385" s="8">
        <f t="shared" si="78"/>
        <v>163.45433315508126</v>
      </c>
      <c r="L385" s="8">
        <f t="shared" si="79"/>
        <v>-6.8650819925134119</v>
      </c>
      <c r="M385" s="8">
        <f t="shared" si="76"/>
        <v>152.94791834169766</v>
      </c>
      <c r="N385" s="8">
        <f t="shared" si="80"/>
        <v>25.000000000000011</v>
      </c>
      <c r="O385" s="8">
        <f t="shared" si="81"/>
        <v>26.122127399141249</v>
      </c>
    </row>
    <row r="386" spans="1:15" x14ac:dyDescent="0.3">
      <c r="A386" s="5">
        <f t="shared" si="82"/>
        <v>3.7799999999999634</v>
      </c>
      <c r="B386" s="5">
        <f t="shared" si="77"/>
        <v>159.77062328487457</v>
      </c>
      <c r="C386" s="6">
        <f t="shared" si="75"/>
        <v>6162.5811838451618</v>
      </c>
      <c r="D386" s="6">
        <f t="shared" si="83"/>
        <v>37977406.847482435</v>
      </c>
      <c r="E386" s="7">
        <f t="shared" si="84"/>
        <v>6248571.4285714282</v>
      </c>
      <c r="F386" s="7">
        <f t="shared" si="85"/>
        <v>124.97142857142855</v>
      </c>
      <c r="G386" s="7">
        <f t="shared" si="86"/>
        <v>31728835.418911006</v>
      </c>
      <c r="H386" s="6">
        <f t="shared" si="87"/>
        <v>5632.8354688301524</v>
      </c>
      <c r="I386" s="7">
        <f t="shared" si="88"/>
        <v>-4.2389346194616673</v>
      </c>
      <c r="J386" s="7">
        <f t="shared" si="89"/>
        <v>-94.384906914411545</v>
      </c>
      <c r="K386" s="8">
        <f t="shared" si="78"/>
        <v>163.50176389352146</v>
      </c>
      <c r="L386" s="8">
        <f t="shared" si="79"/>
        <v>-6.8670740835279007</v>
      </c>
      <c r="M386" s="8">
        <f t="shared" si="76"/>
        <v>152.90354920134666</v>
      </c>
      <c r="N386" s="8">
        <f t="shared" si="80"/>
        <v>25.000000000000021</v>
      </c>
      <c r="O386" s="8">
        <f t="shared" si="81"/>
        <v>26.122778725444324</v>
      </c>
    </row>
    <row r="387" spans="1:15" x14ac:dyDescent="0.3">
      <c r="A387" s="5">
        <f t="shared" si="82"/>
        <v>3.7899999999999632</v>
      </c>
      <c r="B387" s="5">
        <f t="shared" si="77"/>
        <v>159.72823393867995</v>
      </c>
      <c r="C387" s="6">
        <f t="shared" si="75"/>
        <v>6160.9461662062267</v>
      </c>
      <c r="D387" s="6">
        <f t="shared" si="83"/>
        <v>37957257.662891202</v>
      </c>
      <c r="E387" s="7">
        <f t="shared" si="84"/>
        <v>6248571.4285714282</v>
      </c>
      <c r="F387" s="7">
        <f t="shared" si="85"/>
        <v>124.97142857142855</v>
      </c>
      <c r="G387" s="7">
        <f t="shared" si="86"/>
        <v>31708686.234319773</v>
      </c>
      <c r="H387" s="6">
        <f t="shared" si="87"/>
        <v>5631.0466375550268</v>
      </c>
      <c r="I387" s="7">
        <f t="shared" si="88"/>
        <v>-4.2401654098747148</v>
      </c>
      <c r="J387" s="7">
        <f t="shared" si="89"/>
        <v>-94.3575098609154</v>
      </c>
      <c r="K387" s="8">
        <f t="shared" si="78"/>
        <v>163.54923723802472</v>
      </c>
      <c r="L387" s="8">
        <f t="shared" si="79"/>
        <v>-6.8690679639970371</v>
      </c>
      <c r="M387" s="8">
        <f t="shared" si="76"/>
        <v>152.85916597468292</v>
      </c>
      <c r="N387" s="8">
        <f t="shared" si="80"/>
        <v>25.000000000000014</v>
      </c>
      <c r="O387" s="8">
        <f t="shared" si="81"/>
        <v>26.12343082604788</v>
      </c>
    </row>
    <row r="388" spans="1:15" x14ac:dyDescent="0.3">
      <c r="A388" s="5">
        <f t="shared" si="82"/>
        <v>3.799999999999963</v>
      </c>
      <c r="B388" s="5">
        <f t="shared" si="77"/>
        <v>159.68583228458121</v>
      </c>
      <c r="C388" s="6">
        <f t="shared" si="75"/>
        <v>6159.3106738338465</v>
      </c>
      <c r="D388" s="6">
        <f t="shared" si="83"/>
        <v>37937107.976803556</v>
      </c>
      <c r="E388" s="7">
        <f t="shared" si="84"/>
        <v>6248571.4285714282</v>
      </c>
      <c r="F388" s="7">
        <f t="shared" si="85"/>
        <v>124.97142857142855</v>
      </c>
      <c r="G388" s="7">
        <f t="shared" si="86"/>
        <v>31688536.548232127</v>
      </c>
      <c r="H388" s="6">
        <f t="shared" si="87"/>
        <v>5629.2571932922137</v>
      </c>
      <c r="I388" s="7">
        <f t="shared" si="88"/>
        <v>-4.2413973065745658</v>
      </c>
      <c r="J388" s="7">
        <f t="shared" si="89"/>
        <v>-94.330104103660773</v>
      </c>
      <c r="K388" s="8">
        <f t="shared" si="78"/>
        <v>163.59675325359038</v>
      </c>
      <c r="L388" s="8">
        <f t="shared" si="79"/>
        <v>-6.8710636366507956</v>
      </c>
      <c r="M388" s="8">
        <f t="shared" si="76"/>
        <v>152.81476864793041</v>
      </c>
      <c r="N388" s="8">
        <f t="shared" si="80"/>
        <v>24.999999999999972</v>
      </c>
      <c r="O388" s="8">
        <f t="shared" si="81"/>
        <v>26.124083702354849</v>
      </c>
    </row>
    <row r="389" spans="1:15" x14ac:dyDescent="0.3">
      <c r="A389" s="5">
        <f t="shared" si="82"/>
        <v>3.8099999999999627</v>
      </c>
      <c r="B389" s="5">
        <f t="shared" si="77"/>
        <v>159.64341831151546</v>
      </c>
      <c r="C389" s="6">
        <f t="shared" si="75"/>
        <v>6157.6747063013099</v>
      </c>
      <c r="D389" s="6">
        <f t="shared" si="83"/>
        <v>37916957.788622923</v>
      </c>
      <c r="E389" s="7">
        <f t="shared" si="84"/>
        <v>6248571.4285714282</v>
      </c>
      <c r="F389" s="7">
        <f t="shared" si="85"/>
        <v>124.97142857142855</v>
      </c>
      <c r="G389" s="7">
        <f t="shared" si="86"/>
        <v>31668386.360051494</v>
      </c>
      <c r="H389" s="6">
        <f t="shared" si="87"/>
        <v>5627.4671354039456</v>
      </c>
      <c r="I389" s="7">
        <f t="shared" si="88"/>
        <v>-4.2426303112500587</v>
      </c>
      <c r="J389" s="7">
        <f t="shared" si="89"/>
        <v>-94.302689634129862</v>
      </c>
      <c r="K389" s="8">
        <f t="shared" si="78"/>
        <v>163.64431200535941</v>
      </c>
      <c r="L389" s="8">
        <f t="shared" si="79"/>
        <v>-6.8730611042250942</v>
      </c>
      <c r="M389" s="8">
        <f t="shared" si="76"/>
        <v>152.77035720729037</v>
      </c>
      <c r="N389" s="8">
        <f t="shared" si="80"/>
        <v>25.000000000000032</v>
      </c>
      <c r="O389" s="8">
        <f t="shared" si="81"/>
        <v>26.124737355771742</v>
      </c>
    </row>
    <row r="390" spans="1:15" x14ac:dyDescent="0.3">
      <c r="A390" s="5">
        <f t="shared" si="82"/>
        <v>3.8199999999999625</v>
      </c>
      <c r="B390" s="5">
        <f t="shared" si="77"/>
        <v>159.60099200840295</v>
      </c>
      <c r="C390" s="6">
        <f t="shared" si="75"/>
        <v>6156.0382631812563</v>
      </c>
      <c r="D390" s="6">
        <f t="shared" si="83"/>
        <v>37896807.097751699</v>
      </c>
      <c r="E390" s="7">
        <f t="shared" si="84"/>
        <v>6248571.4285714282</v>
      </c>
      <c r="F390" s="7">
        <f t="shared" si="85"/>
        <v>124.97142857142855</v>
      </c>
      <c r="G390" s="7">
        <f t="shared" si="86"/>
        <v>31648235.66918027</v>
      </c>
      <c r="H390" s="6">
        <f t="shared" si="87"/>
        <v>5625.676463251355</v>
      </c>
      <c r="I390" s="7">
        <f t="shared" si="88"/>
        <v>-4.2438644255936326</v>
      </c>
      <c r="J390" s="7">
        <f t="shared" si="89"/>
        <v>-94.275266443790926</v>
      </c>
      <c r="K390" s="8">
        <f t="shared" si="78"/>
        <v>163.69191355861153</v>
      </c>
      <c r="L390" s="8">
        <f t="shared" si="79"/>
        <v>-6.8750603694616839</v>
      </c>
      <c r="M390" s="8">
        <f t="shared" si="76"/>
        <v>152.72593163894126</v>
      </c>
      <c r="N390" s="8">
        <f t="shared" si="80"/>
        <v>24.999999999999986</v>
      </c>
      <c r="O390" s="8">
        <f t="shared" si="81"/>
        <v>26.125391787708146</v>
      </c>
    </row>
    <row r="391" spans="1:15" x14ac:dyDescent="0.3">
      <c r="A391" s="5">
        <f t="shared" si="82"/>
        <v>3.8299999999999623</v>
      </c>
      <c r="B391" s="5">
        <f t="shared" si="77"/>
        <v>159.55855336414703</v>
      </c>
      <c r="C391" s="6">
        <f t="shared" si="75"/>
        <v>6154.4013440456711</v>
      </c>
      <c r="D391" s="6">
        <f t="shared" si="83"/>
        <v>37876655.903591163</v>
      </c>
      <c r="E391" s="7">
        <f t="shared" si="84"/>
        <v>6248571.4285714282</v>
      </c>
      <c r="F391" s="7">
        <f t="shared" si="85"/>
        <v>124.97142857142855</v>
      </c>
      <c r="G391" s="7">
        <f t="shared" si="86"/>
        <v>31628084.475019734</v>
      </c>
      <c r="H391" s="6">
        <f t="shared" si="87"/>
        <v>5623.8851761944552</v>
      </c>
      <c r="I391" s="7">
        <f t="shared" si="88"/>
        <v>-4.2450996513014543</v>
      </c>
      <c r="J391" s="7">
        <f t="shared" si="89"/>
        <v>-94.247834524097968</v>
      </c>
      <c r="K391" s="8">
        <f t="shared" si="78"/>
        <v>163.73955797877036</v>
      </c>
      <c r="L391" s="8">
        <f t="shared" si="79"/>
        <v>-6.877061435108355</v>
      </c>
      <c r="M391" s="8">
        <f t="shared" si="76"/>
        <v>152.68149192903869</v>
      </c>
      <c r="N391" s="8">
        <f t="shared" si="80"/>
        <v>24.999999999999989</v>
      </c>
      <c r="O391" s="8">
        <f t="shared" si="81"/>
        <v>26.126046999577476</v>
      </c>
    </row>
    <row r="392" spans="1:15" x14ac:dyDescent="0.3">
      <c r="A392" s="5">
        <f t="shared" si="82"/>
        <v>3.8399999999999621</v>
      </c>
      <c r="B392" s="5">
        <f t="shared" si="77"/>
        <v>159.51610236763401</v>
      </c>
      <c r="C392" s="6">
        <f t="shared" ref="C392:C455" si="90">$B$1*B392</f>
        <v>6152.763948465883</v>
      </c>
      <c r="D392" s="6">
        <f t="shared" si="83"/>
        <v>37856504.205541484</v>
      </c>
      <c r="E392" s="7">
        <f t="shared" si="84"/>
        <v>6248571.4285714282</v>
      </c>
      <c r="F392" s="7">
        <f t="shared" si="85"/>
        <v>124.97142857142855</v>
      </c>
      <c r="G392" s="7">
        <f t="shared" si="86"/>
        <v>31607932.776970055</v>
      </c>
      <c r="H392" s="6">
        <f t="shared" si="87"/>
        <v>5622.093273592146</v>
      </c>
      <c r="I392" s="7">
        <f t="shared" si="88"/>
        <v>-4.2463359900733417</v>
      </c>
      <c r="J392" s="7">
        <f t="shared" si="89"/>
        <v>-94.220393866490866</v>
      </c>
      <c r="K392" s="8">
        <f t="shared" si="78"/>
        <v>163.78724533140033</v>
      </c>
      <c r="L392" s="8">
        <f t="shared" si="79"/>
        <v>-6.8790643039188133</v>
      </c>
      <c r="M392" s="8">
        <f t="shared" ref="M392:M455" si="91">B392+L392</f>
        <v>152.63703806371518</v>
      </c>
      <c r="N392" s="8">
        <f t="shared" si="80"/>
        <v>25.000000000000007</v>
      </c>
      <c r="O392" s="8">
        <f t="shared" si="81"/>
        <v>26.126702992796439</v>
      </c>
    </row>
    <row r="393" spans="1:15" x14ac:dyDescent="0.3">
      <c r="A393" s="5">
        <f t="shared" si="82"/>
        <v>3.8499999999999619</v>
      </c>
      <c r="B393" s="5">
        <f t="shared" ref="B393:B456" si="92">I392*$B$5+B392</f>
        <v>159.47363900773328</v>
      </c>
      <c r="C393" s="6">
        <f t="shared" si="90"/>
        <v>6151.1260760125688</v>
      </c>
      <c r="D393" s="6">
        <f t="shared" si="83"/>
        <v>37836352.003001779</v>
      </c>
      <c r="E393" s="7">
        <f t="shared" si="84"/>
        <v>6248571.4285714282</v>
      </c>
      <c r="F393" s="7">
        <f t="shared" si="85"/>
        <v>124.97142857142855</v>
      </c>
      <c r="G393" s="7">
        <f t="shared" si="86"/>
        <v>31587780.57443035</v>
      </c>
      <c r="H393" s="6">
        <f t="shared" si="87"/>
        <v>5620.3007548022151</v>
      </c>
      <c r="I393" s="7">
        <f t="shared" si="88"/>
        <v>-4.247573443612799</v>
      </c>
      <c r="J393" s="7">
        <f t="shared" si="89"/>
        <v>-94.192944462395403</v>
      </c>
      <c r="K393" s="8">
        <f t="shared" ref="K393:K456" si="93">-$B$1*I393</f>
        <v>163.83497568220795</v>
      </c>
      <c r="L393" s="8">
        <f t="shared" ref="L393:L456" si="94">-$B$2*K393</f>
        <v>-6.881068978652733</v>
      </c>
      <c r="M393" s="8">
        <f t="shared" si="91"/>
        <v>152.59257002908055</v>
      </c>
      <c r="N393" s="8">
        <f t="shared" ref="N393:N456" si="95">K393*M393/1000</f>
        <v>25.000000000000025</v>
      </c>
      <c r="O393" s="8">
        <f t="shared" ref="O393:O456" si="96">B393*K393/1000</f>
        <v>26.12735976878519</v>
      </c>
    </row>
    <row r="394" spans="1:15" x14ac:dyDescent="0.3">
      <c r="A394" s="5">
        <f t="shared" ref="A394:A457" si="97">A393+$B$5</f>
        <v>3.8599999999999617</v>
      </c>
      <c r="B394" s="5">
        <f t="shared" si="92"/>
        <v>159.43116327329716</v>
      </c>
      <c r="C394" s="6">
        <f t="shared" si="90"/>
        <v>6149.4877262557475</v>
      </c>
      <c r="D394" s="6">
        <f t="shared" ref="D394:D457" si="98">POWER(C394,2)</f>
        <v>37816199.29537008</v>
      </c>
      <c r="E394" s="7">
        <f t="shared" ref="E394:E457" si="99">4*$B$2*$B$3*POWER($B$1,2)</f>
        <v>6248571.4285714282</v>
      </c>
      <c r="F394" s="7">
        <f t="shared" ref="F394:F457" si="100">POWER($B$1,2)*2*$B$2</f>
        <v>124.97142857142855</v>
      </c>
      <c r="G394" s="7">
        <f t="shared" ref="G394:G457" si="101">D394-E394</f>
        <v>31567627.86679865</v>
      </c>
      <c r="H394" s="6">
        <f t="shared" ref="H394:H457" si="102">SQRT(G394)</f>
        <v>5618.5076191813296</v>
      </c>
      <c r="I394" s="7">
        <f t="shared" ref="I394:I457" si="103">(-C394+H394)/F394</f>
        <v>-4.2488120136270302</v>
      </c>
      <c r="J394" s="7">
        <f t="shared" ref="J394:J457" si="104">(-C394-H394)/F394</f>
        <v>-94.165486303223091</v>
      </c>
      <c r="K394" s="8">
        <f t="shared" si="93"/>
        <v>163.88274909704259</v>
      </c>
      <c r="L394" s="8">
        <f t="shared" si="94"/>
        <v>-6.8830754620757881</v>
      </c>
      <c r="M394" s="8">
        <f t="shared" si="91"/>
        <v>152.54808781122136</v>
      </c>
      <c r="N394" s="8">
        <f t="shared" si="95"/>
        <v>25.000000000000011</v>
      </c>
      <c r="O394" s="8">
        <f t="shared" si="96"/>
        <v>26.128017328967392</v>
      </c>
    </row>
    <row r="395" spans="1:15" x14ac:dyDescent="0.3">
      <c r="A395" s="5">
        <f t="shared" si="97"/>
        <v>3.8699999999999615</v>
      </c>
      <c r="B395" s="5">
        <f t="shared" si="92"/>
        <v>159.38867515316088</v>
      </c>
      <c r="C395" s="6">
        <f t="shared" si="90"/>
        <v>6147.8488987647761</v>
      </c>
      <c r="D395" s="6">
        <f t="shared" si="98"/>
        <v>37796046.082043268</v>
      </c>
      <c r="E395" s="7">
        <f t="shared" si="99"/>
        <v>6248571.4285714282</v>
      </c>
      <c r="F395" s="7">
        <f t="shared" si="100"/>
        <v>124.97142857142855</v>
      </c>
      <c r="G395" s="7">
        <f t="shared" si="101"/>
        <v>31547474.653471839</v>
      </c>
      <c r="H395" s="6">
        <f t="shared" si="102"/>
        <v>5616.7138660850296</v>
      </c>
      <c r="I395" s="7">
        <f t="shared" si="103"/>
        <v>-4.2500517018269619</v>
      </c>
      <c r="J395" s="7">
        <f t="shared" si="104"/>
        <v>-94.138019380371119</v>
      </c>
      <c r="K395" s="8">
        <f t="shared" si="93"/>
        <v>163.93056564189709</v>
      </c>
      <c r="L395" s="8">
        <f t="shared" si="94"/>
        <v>-6.885083756959677</v>
      </c>
      <c r="M395" s="8">
        <f t="shared" si="91"/>
        <v>152.50359139620119</v>
      </c>
      <c r="N395" s="8">
        <f t="shared" si="95"/>
        <v>25.000000000000011</v>
      </c>
      <c r="O395" s="8">
        <f t="shared" si="96"/>
        <v>26.12867567477025</v>
      </c>
    </row>
    <row r="396" spans="1:15" x14ac:dyDescent="0.3">
      <c r="A396" s="5">
        <f t="shared" si="97"/>
        <v>3.8799999999999613</v>
      </c>
      <c r="B396" s="5">
        <f t="shared" si="92"/>
        <v>159.34617463614259</v>
      </c>
      <c r="C396" s="6">
        <f t="shared" si="90"/>
        <v>6146.2095931083568</v>
      </c>
      <c r="D396" s="6">
        <f t="shared" si="98"/>
        <v>37775892.362417191</v>
      </c>
      <c r="E396" s="7">
        <f t="shared" si="99"/>
        <v>6248571.4285714282</v>
      </c>
      <c r="F396" s="7">
        <f t="shared" si="100"/>
        <v>124.97142857142855</v>
      </c>
      <c r="G396" s="7">
        <f t="shared" si="101"/>
        <v>31527320.933845762</v>
      </c>
      <c r="H396" s="6">
        <f t="shared" si="102"/>
        <v>5614.9194948677368</v>
      </c>
      <c r="I396" s="7">
        <f t="shared" si="103"/>
        <v>-4.2512925099272296</v>
      </c>
      <c r="J396" s="7">
        <f t="shared" si="104"/>
        <v>-94.110543685222524</v>
      </c>
      <c r="K396" s="8">
        <f t="shared" si="93"/>
        <v>163.97842538290743</v>
      </c>
      <c r="L396" s="8">
        <f t="shared" si="94"/>
        <v>-6.887093866082111</v>
      </c>
      <c r="M396" s="8">
        <f t="shared" si="91"/>
        <v>152.4590807700605</v>
      </c>
      <c r="N396" s="8">
        <f t="shared" si="95"/>
        <v>25.000000000000021</v>
      </c>
      <c r="O396" s="8">
        <f t="shared" si="96"/>
        <v>26.129334807624442</v>
      </c>
    </row>
    <row r="397" spans="1:15" x14ac:dyDescent="0.3">
      <c r="A397" s="5">
        <f t="shared" si="97"/>
        <v>3.889999999999961</v>
      </c>
      <c r="B397" s="5">
        <f t="shared" si="92"/>
        <v>159.30366171104333</v>
      </c>
      <c r="C397" s="6">
        <f t="shared" si="90"/>
        <v>6144.5698088545287</v>
      </c>
      <c r="D397" s="6">
        <f t="shared" si="98"/>
        <v>37755738.13588658</v>
      </c>
      <c r="E397" s="7">
        <f t="shared" si="99"/>
        <v>6248571.4285714282</v>
      </c>
      <c r="F397" s="7">
        <f t="shared" si="100"/>
        <v>124.97142857142855</v>
      </c>
      <c r="G397" s="7">
        <f t="shared" si="101"/>
        <v>31507166.707315151</v>
      </c>
      <c r="H397" s="6">
        <f t="shared" si="102"/>
        <v>5613.1245048827441</v>
      </c>
      <c r="I397" s="7">
        <f t="shared" si="103"/>
        <v>-4.2525344396461966</v>
      </c>
      <c r="J397" s="7">
        <f t="shared" si="104"/>
        <v>-94.083059209146001</v>
      </c>
      <c r="K397" s="8">
        <f t="shared" si="93"/>
        <v>164.0263283863533</v>
      </c>
      <c r="L397" s="8">
        <f t="shared" si="94"/>
        <v>-6.8891057922268377</v>
      </c>
      <c r="M397" s="8">
        <f t="shared" si="91"/>
        <v>152.41455591881649</v>
      </c>
      <c r="N397" s="8">
        <f t="shared" si="95"/>
        <v>25</v>
      </c>
      <c r="O397" s="8">
        <f t="shared" si="96"/>
        <v>26.129994728964132</v>
      </c>
    </row>
    <row r="398" spans="1:15" x14ac:dyDescent="0.3">
      <c r="A398" s="5">
        <f t="shared" si="97"/>
        <v>3.8999999999999608</v>
      </c>
      <c r="B398" s="5">
        <f t="shared" si="92"/>
        <v>159.26113636664687</v>
      </c>
      <c r="C398" s="6">
        <f t="shared" si="90"/>
        <v>6142.9295455706642</v>
      </c>
      <c r="D398" s="6">
        <f t="shared" si="98"/>
        <v>37735583.401845008</v>
      </c>
      <c r="E398" s="7">
        <f t="shared" si="99"/>
        <v>6248571.4285714282</v>
      </c>
      <c r="F398" s="7">
        <f t="shared" si="100"/>
        <v>124.97142857142855</v>
      </c>
      <c r="G398" s="7">
        <f t="shared" si="101"/>
        <v>31487011.973273579</v>
      </c>
      <c r="H398" s="6">
        <f t="shared" si="102"/>
        <v>5611.3288954822083</v>
      </c>
      <c r="I398" s="7">
        <f t="shared" si="103"/>
        <v>-4.2537774927059813</v>
      </c>
      <c r="J398" s="7">
        <f t="shared" si="104"/>
        <v>-94.055565943495793</v>
      </c>
      <c r="K398" s="8">
        <f t="shared" si="93"/>
        <v>164.07427471865927</v>
      </c>
      <c r="L398" s="8">
        <f t="shared" si="94"/>
        <v>-6.8911195381836885</v>
      </c>
      <c r="M398" s="8">
        <f t="shared" si="91"/>
        <v>152.37001682846318</v>
      </c>
      <c r="N398" s="8">
        <f t="shared" si="95"/>
        <v>25.000000000000004</v>
      </c>
      <c r="O398" s="8">
        <f t="shared" si="96"/>
        <v>26.130655440227073</v>
      </c>
    </row>
    <row r="399" spans="1:15" x14ac:dyDescent="0.3">
      <c r="A399" s="5">
        <f t="shared" si="97"/>
        <v>3.9099999999999606</v>
      </c>
      <c r="B399" s="5">
        <f t="shared" si="92"/>
        <v>159.2185985917198</v>
      </c>
      <c r="C399" s="6">
        <f t="shared" si="90"/>
        <v>6141.2888028234775</v>
      </c>
      <c r="D399" s="6">
        <f t="shared" si="98"/>
        <v>37715428.159685023</v>
      </c>
      <c r="E399" s="7">
        <f t="shared" si="99"/>
        <v>6248571.4285714282</v>
      </c>
      <c r="F399" s="7">
        <f t="shared" si="100"/>
        <v>124.97142857142855</v>
      </c>
      <c r="G399" s="7">
        <f t="shared" si="101"/>
        <v>31466856.731113594</v>
      </c>
      <c r="H399" s="6">
        <f t="shared" si="102"/>
        <v>5609.5326660171604</v>
      </c>
      <c r="I399" s="7">
        <f t="shared" si="103"/>
        <v>-4.2550216708324413</v>
      </c>
      <c r="J399" s="7">
        <f t="shared" si="104"/>
        <v>-94.028063879611878</v>
      </c>
      <c r="K399" s="8">
        <f t="shared" si="93"/>
        <v>164.12226444639415</v>
      </c>
      <c r="L399" s="8">
        <f t="shared" si="94"/>
        <v>-6.893135106748554</v>
      </c>
      <c r="M399" s="8">
        <f t="shared" si="91"/>
        <v>152.32546348497124</v>
      </c>
      <c r="N399" s="8">
        <f t="shared" si="95"/>
        <v>25.000000000000007</v>
      </c>
      <c r="O399" s="8">
        <f t="shared" si="96"/>
        <v>26.131316942854514</v>
      </c>
    </row>
    <row r="400" spans="1:15" x14ac:dyDescent="0.3">
      <c r="A400" s="5">
        <f t="shared" si="97"/>
        <v>3.9199999999999604</v>
      </c>
      <c r="B400" s="5">
        <f t="shared" si="92"/>
        <v>159.17604837501148</v>
      </c>
      <c r="C400" s="6">
        <f t="shared" si="90"/>
        <v>6139.6475801790139</v>
      </c>
      <c r="D400" s="6">
        <f t="shared" si="98"/>
        <v>37695272.408798024</v>
      </c>
      <c r="E400" s="7">
        <f t="shared" si="99"/>
        <v>6248571.4285714282</v>
      </c>
      <c r="F400" s="7">
        <f t="shared" si="100"/>
        <v>124.97142857142855</v>
      </c>
      <c r="G400" s="7">
        <f t="shared" si="101"/>
        <v>31446700.980226595</v>
      </c>
      <c r="H400" s="6">
        <f t="shared" si="102"/>
        <v>5607.7358158374927</v>
      </c>
      <c r="I400" s="7">
        <f t="shared" si="103"/>
        <v>-4.2562669757551994</v>
      </c>
      <c r="J400" s="7">
        <f t="shared" si="104"/>
        <v>-94.000553008819807</v>
      </c>
      <c r="K400" s="8">
        <f t="shared" si="93"/>
        <v>164.17029763627198</v>
      </c>
      <c r="L400" s="8">
        <f t="shared" si="94"/>
        <v>-6.8951525007234222</v>
      </c>
      <c r="M400" s="8">
        <f t="shared" si="91"/>
        <v>152.28089587428806</v>
      </c>
      <c r="N400" s="8">
        <f t="shared" si="95"/>
        <v>25.000000000000014</v>
      </c>
      <c r="O400" s="8">
        <f t="shared" si="96"/>
        <v>26.131979238291262</v>
      </c>
    </row>
    <row r="401" spans="1:15" x14ac:dyDescent="0.3">
      <c r="A401" s="5">
        <f t="shared" si="97"/>
        <v>3.9299999999999602</v>
      </c>
      <c r="B401" s="5">
        <f t="shared" si="92"/>
        <v>159.13348570525392</v>
      </c>
      <c r="C401" s="6">
        <f t="shared" si="90"/>
        <v>6138.0058772026505</v>
      </c>
      <c r="D401" s="6">
        <f t="shared" si="98"/>
        <v>37675116.148574278</v>
      </c>
      <c r="E401" s="7">
        <f t="shared" si="99"/>
        <v>6248571.4285714282</v>
      </c>
      <c r="F401" s="7">
        <f t="shared" si="100"/>
        <v>124.97142857142855</v>
      </c>
      <c r="G401" s="7">
        <f t="shared" si="101"/>
        <v>31426544.720002849</v>
      </c>
      <c r="H401" s="6">
        <f t="shared" si="102"/>
        <v>5605.938344291957</v>
      </c>
      <c r="I401" s="7">
        <f t="shared" si="103"/>
        <v>-4.257513409207653</v>
      </c>
      <c r="J401" s="7">
        <f t="shared" si="104"/>
        <v>-93.973033322430567</v>
      </c>
      <c r="K401" s="8">
        <f t="shared" si="93"/>
        <v>164.21837435515232</v>
      </c>
      <c r="L401" s="8">
        <f t="shared" si="94"/>
        <v>-6.8971717229163971</v>
      </c>
      <c r="M401" s="8">
        <f t="shared" si="91"/>
        <v>152.23631398233752</v>
      </c>
      <c r="N401" s="8">
        <f t="shared" si="95"/>
        <v>25.000000000000011</v>
      </c>
      <c r="O401" s="8">
        <f t="shared" si="96"/>
        <v>26.132642327985668</v>
      </c>
    </row>
    <row r="402" spans="1:15" x14ac:dyDescent="0.3">
      <c r="A402" s="5">
        <f t="shared" si="97"/>
        <v>3.93999999999996</v>
      </c>
      <c r="B402" s="5">
        <f t="shared" si="92"/>
        <v>159.09091057116183</v>
      </c>
      <c r="C402" s="6">
        <f t="shared" si="90"/>
        <v>6136.3636934590986</v>
      </c>
      <c r="D402" s="6">
        <f t="shared" si="98"/>
        <v>37654959.378402993</v>
      </c>
      <c r="E402" s="7">
        <f t="shared" si="99"/>
        <v>6248571.4285714282</v>
      </c>
      <c r="F402" s="7">
        <f t="shared" si="100"/>
        <v>124.97142857142855</v>
      </c>
      <c r="G402" s="7">
        <f t="shared" si="101"/>
        <v>31406387.949831564</v>
      </c>
      <c r="H402" s="6">
        <f t="shared" si="102"/>
        <v>5604.1402507281673</v>
      </c>
      <c r="I402" s="7">
        <f t="shared" si="103"/>
        <v>-4.2587609729269778</v>
      </c>
      <c r="J402" s="7">
        <f t="shared" si="104"/>
        <v>-93.945504811740818</v>
      </c>
      <c r="K402" s="8">
        <f t="shared" si="93"/>
        <v>164.26649467004057</v>
      </c>
      <c r="L402" s="8">
        <f t="shared" si="94"/>
        <v>-6.8991927761417031</v>
      </c>
      <c r="M402" s="8">
        <f t="shared" si="91"/>
        <v>152.19171779502011</v>
      </c>
      <c r="N402" s="8">
        <f t="shared" si="95"/>
        <v>24.999999999999989</v>
      </c>
      <c r="O402" s="8">
        <f t="shared" si="96"/>
        <v>26.133306213389655</v>
      </c>
    </row>
    <row r="403" spans="1:15" x14ac:dyDescent="0.3">
      <c r="A403" s="5">
        <f t="shared" si="97"/>
        <v>3.9499999999999598</v>
      </c>
      <c r="B403" s="5">
        <f t="shared" si="92"/>
        <v>159.04832296143255</v>
      </c>
      <c r="C403" s="6">
        <f t="shared" si="90"/>
        <v>6134.7210285123983</v>
      </c>
      <c r="D403" s="6">
        <f t="shared" si="98"/>
        <v>37634802.097672217</v>
      </c>
      <c r="E403" s="7">
        <f t="shared" si="99"/>
        <v>6248571.4285714282</v>
      </c>
      <c r="F403" s="7">
        <f t="shared" si="100"/>
        <v>124.97142857142855</v>
      </c>
      <c r="G403" s="7">
        <f t="shared" si="101"/>
        <v>31386230.669100787</v>
      </c>
      <c r="H403" s="6">
        <f t="shared" si="102"/>
        <v>5602.3415344925897</v>
      </c>
      <c r="I403" s="7">
        <f t="shared" si="103"/>
        <v>-4.2600096686541615</v>
      </c>
      <c r="J403" s="7">
        <f t="shared" si="104"/>
        <v>-93.917967468032614</v>
      </c>
      <c r="K403" s="8">
        <f t="shared" si="93"/>
        <v>164.31465864808908</v>
      </c>
      <c r="L403" s="8">
        <f t="shared" si="94"/>
        <v>-6.901215663219741</v>
      </c>
      <c r="M403" s="8">
        <f t="shared" si="91"/>
        <v>152.1471072982128</v>
      </c>
      <c r="N403" s="8">
        <f t="shared" si="95"/>
        <v>25.000000000000018</v>
      </c>
      <c r="O403" s="8">
        <f t="shared" si="96"/>
        <v>26.133970895958818</v>
      </c>
    </row>
    <row r="404" spans="1:15" x14ac:dyDescent="0.3">
      <c r="A404" s="5">
        <f t="shared" si="97"/>
        <v>3.9599999999999596</v>
      </c>
      <c r="B404" s="5">
        <f t="shared" si="92"/>
        <v>159.00572286474602</v>
      </c>
      <c r="C404" s="6">
        <f t="shared" si="90"/>
        <v>6133.0778819259176</v>
      </c>
      <c r="D404" s="6">
        <f t="shared" si="98"/>
        <v>37614644.3057689</v>
      </c>
      <c r="E404" s="7">
        <f t="shared" si="99"/>
        <v>6248571.4285714282</v>
      </c>
      <c r="F404" s="7">
        <f t="shared" si="100"/>
        <v>124.97142857142855</v>
      </c>
      <c r="G404" s="7">
        <f t="shared" si="101"/>
        <v>31366072.877197471</v>
      </c>
      <c r="H404" s="6">
        <f t="shared" si="102"/>
        <v>5600.5421949305473</v>
      </c>
      <c r="I404" s="7">
        <f t="shared" si="103"/>
        <v>-4.2612594981339651</v>
      </c>
      <c r="J404" s="7">
        <f t="shared" si="104"/>
        <v>-93.89042128257347</v>
      </c>
      <c r="K404" s="8">
        <f t="shared" si="93"/>
        <v>164.36286635659579</v>
      </c>
      <c r="L404" s="8">
        <f t="shared" si="94"/>
        <v>-6.9032403869770222</v>
      </c>
      <c r="M404" s="8">
        <f t="shared" si="91"/>
        <v>152.102482477769</v>
      </c>
      <c r="N404" s="8">
        <f t="shared" si="95"/>
        <v>25</v>
      </c>
      <c r="O404" s="8">
        <f t="shared" si="96"/>
        <v>26.134636377152159</v>
      </c>
    </row>
    <row r="405" spans="1:15" x14ac:dyDescent="0.3">
      <c r="A405" s="5">
        <f t="shared" si="97"/>
        <v>3.9699999999999593</v>
      </c>
      <c r="B405" s="5">
        <f t="shared" si="92"/>
        <v>158.96311026976468</v>
      </c>
      <c r="C405" s="6">
        <f t="shared" si="90"/>
        <v>6131.4342532623514</v>
      </c>
      <c r="D405" s="6">
        <f t="shared" si="98"/>
        <v>37594486.002078846</v>
      </c>
      <c r="E405" s="7">
        <f t="shared" si="99"/>
        <v>6248571.4285714282</v>
      </c>
      <c r="F405" s="7">
        <f t="shared" si="100"/>
        <v>124.97142857142855</v>
      </c>
      <c r="G405" s="7">
        <f t="shared" si="101"/>
        <v>31345914.573507417</v>
      </c>
      <c r="H405" s="6">
        <f t="shared" si="102"/>
        <v>5598.742231386208</v>
      </c>
      <c r="I405" s="7">
        <f t="shared" si="103"/>
        <v>-4.262510463115003</v>
      </c>
      <c r="J405" s="7">
        <f t="shared" si="104"/>
        <v>-93.862866246616292</v>
      </c>
      <c r="K405" s="8">
        <f t="shared" si="93"/>
        <v>164.41111786300726</v>
      </c>
      <c r="L405" s="8">
        <f t="shared" si="94"/>
        <v>-6.905266950246304</v>
      </c>
      <c r="M405" s="8">
        <f t="shared" si="91"/>
        <v>152.05784331951838</v>
      </c>
      <c r="N405" s="8">
        <f t="shared" si="95"/>
        <v>25.000000000000028</v>
      </c>
      <c r="O405" s="8">
        <f t="shared" si="96"/>
        <v>26.135302658432501</v>
      </c>
    </row>
    <row r="406" spans="1:15" x14ac:dyDescent="0.3">
      <c r="A406" s="5">
        <f t="shared" si="97"/>
        <v>3.9799999999999591</v>
      </c>
      <c r="B406" s="5">
        <f t="shared" si="92"/>
        <v>158.92048516513353</v>
      </c>
      <c r="C406" s="6">
        <f t="shared" si="90"/>
        <v>6129.7901420837215</v>
      </c>
      <c r="D406" s="6">
        <f t="shared" si="98"/>
        <v>37574327.185986772</v>
      </c>
      <c r="E406" s="7">
        <f t="shared" si="99"/>
        <v>6248571.4285714282</v>
      </c>
      <c r="F406" s="7">
        <f t="shared" si="100"/>
        <v>124.97142857142855</v>
      </c>
      <c r="G406" s="7">
        <f t="shared" si="101"/>
        <v>31325755.757415343</v>
      </c>
      <c r="H406" s="6">
        <f t="shared" si="102"/>
        <v>5596.9416432025928</v>
      </c>
      <c r="I406" s="7">
        <f t="shared" si="103"/>
        <v>-4.2637625653496825</v>
      </c>
      <c r="J406" s="7">
        <f t="shared" si="104"/>
        <v>-93.83530235139942</v>
      </c>
      <c r="K406" s="8">
        <f t="shared" si="93"/>
        <v>164.45941323491633</v>
      </c>
      <c r="L406" s="8">
        <f t="shared" si="94"/>
        <v>-6.9072953558664851</v>
      </c>
      <c r="M406" s="8">
        <f t="shared" si="91"/>
        <v>152.01318980926703</v>
      </c>
      <c r="N406" s="8">
        <f t="shared" si="95"/>
        <v>25.000000000000018</v>
      </c>
      <c r="O406" s="8">
        <f t="shared" si="96"/>
        <v>26.135969741266088</v>
      </c>
    </row>
    <row r="407" spans="1:15" x14ac:dyDescent="0.3">
      <c r="A407" s="5">
        <f t="shared" si="97"/>
        <v>3.9899999999999589</v>
      </c>
      <c r="B407" s="5">
        <f t="shared" si="92"/>
        <v>158.87784753948003</v>
      </c>
      <c r="C407" s="6">
        <f t="shared" si="90"/>
        <v>6128.1455479513725</v>
      </c>
      <c r="D407" s="6">
        <f t="shared" si="98"/>
        <v>37554167.856876224</v>
      </c>
      <c r="E407" s="7">
        <f t="shared" si="99"/>
        <v>6248571.4285714282</v>
      </c>
      <c r="F407" s="7">
        <f t="shared" si="100"/>
        <v>124.97142857142855</v>
      </c>
      <c r="G407" s="7">
        <f t="shared" si="101"/>
        <v>31305596.428304795</v>
      </c>
      <c r="H407" s="6">
        <f t="shared" si="102"/>
        <v>5595.1404297215631</v>
      </c>
      <c r="I407" s="7">
        <f t="shared" si="103"/>
        <v>-4.2650158065942687</v>
      </c>
      <c r="J407" s="7">
        <f t="shared" si="104"/>
        <v>-93.807729588146501</v>
      </c>
      <c r="K407" s="8">
        <f t="shared" si="93"/>
        <v>164.50775254006464</v>
      </c>
      <c r="L407" s="8">
        <f t="shared" si="94"/>
        <v>-6.9093256066827147</v>
      </c>
      <c r="M407" s="8">
        <f t="shared" si="91"/>
        <v>151.9685219327973</v>
      </c>
      <c r="N407" s="8">
        <f t="shared" si="95"/>
        <v>25.000000000000004</v>
      </c>
      <c r="O407" s="8">
        <f t="shared" si="96"/>
        <v>26.136637627122898</v>
      </c>
    </row>
    <row r="408" spans="1:15" x14ac:dyDescent="0.3">
      <c r="A408" s="5">
        <f t="shared" si="97"/>
        <v>3.9999999999999587</v>
      </c>
      <c r="B408" s="5">
        <f t="shared" si="92"/>
        <v>158.83519738141408</v>
      </c>
      <c r="C408" s="6">
        <f t="shared" si="90"/>
        <v>6126.5004704259709</v>
      </c>
      <c r="D408" s="6">
        <f t="shared" si="98"/>
        <v>37534008.014129646</v>
      </c>
      <c r="E408" s="7">
        <f t="shared" si="99"/>
        <v>6248571.4285714282</v>
      </c>
      <c r="F408" s="7">
        <f t="shared" si="100"/>
        <v>124.97142857142855</v>
      </c>
      <c r="G408" s="7">
        <f t="shared" si="101"/>
        <v>31285436.585558217</v>
      </c>
      <c r="H408" s="6">
        <f t="shared" si="102"/>
        <v>5593.3385902838227</v>
      </c>
      <c r="I408" s="7">
        <f t="shared" si="103"/>
        <v>-4.2662701886088685</v>
      </c>
      <c r="J408" s="7">
        <f t="shared" si="104"/>
        <v>-93.780147948066499</v>
      </c>
      <c r="K408" s="8">
        <f t="shared" si="93"/>
        <v>164.55613584634207</v>
      </c>
      <c r="L408" s="8">
        <f t="shared" si="94"/>
        <v>-6.911357705546366</v>
      </c>
      <c r="M408" s="8">
        <f t="shared" si="91"/>
        <v>151.9238396758677</v>
      </c>
      <c r="N408" s="8">
        <f t="shared" si="95"/>
        <v>24.999999999999979</v>
      </c>
      <c r="O408" s="8">
        <f t="shared" si="96"/>
        <v>26.137306317476529</v>
      </c>
    </row>
    <row r="409" spans="1:15" x14ac:dyDescent="0.3">
      <c r="A409" s="5">
        <f t="shared" si="97"/>
        <v>4.0099999999999589</v>
      </c>
      <c r="B409" s="5">
        <f t="shared" si="92"/>
        <v>158.79253467952799</v>
      </c>
      <c r="C409" s="6">
        <f t="shared" si="90"/>
        <v>6124.8549090675078</v>
      </c>
      <c r="D409" s="6">
        <f t="shared" si="98"/>
        <v>37513847.657128349</v>
      </c>
      <c r="E409" s="7">
        <f t="shared" si="99"/>
        <v>6248571.4285714282</v>
      </c>
      <c r="F409" s="7">
        <f t="shared" si="100"/>
        <v>124.97142857142855</v>
      </c>
      <c r="G409" s="7">
        <f t="shared" si="101"/>
        <v>31265276.22855692</v>
      </c>
      <c r="H409" s="6">
        <f t="shared" si="102"/>
        <v>5591.5361242289155</v>
      </c>
      <c r="I409" s="7">
        <f t="shared" si="103"/>
        <v>-4.2675257131574611</v>
      </c>
      <c r="J409" s="7">
        <f t="shared" si="104"/>
        <v>-93.752557422353647</v>
      </c>
      <c r="K409" s="8">
        <f t="shared" si="93"/>
        <v>164.60456322178777</v>
      </c>
      <c r="L409" s="8">
        <f t="shared" si="94"/>
        <v>-6.9133916553150856</v>
      </c>
      <c r="M409" s="8">
        <f t="shared" si="91"/>
        <v>151.87914302421291</v>
      </c>
      <c r="N409" s="8">
        <f t="shared" si="95"/>
        <v>25</v>
      </c>
      <c r="O409" s="8">
        <f t="shared" si="96"/>
        <v>26.137975813804292</v>
      </c>
    </row>
    <row r="410" spans="1:15" x14ac:dyDescent="0.3">
      <c r="A410" s="5">
        <f t="shared" si="97"/>
        <v>4.0199999999999587</v>
      </c>
      <c r="B410" s="5">
        <f t="shared" si="92"/>
        <v>158.74985942239641</v>
      </c>
      <c r="C410" s="6">
        <f t="shared" si="90"/>
        <v>6123.2088634352895</v>
      </c>
      <c r="D410" s="6">
        <f t="shared" si="98"/>
        <v>37493686.785252489</v>
      </c>
      <c r="E410" s="7">
        <f t="shared" si="99"/>
        <v>6248571.4285714282</v>
      </c>
      <c r="F410" s="7">
        <f t="shared" si="100"/>
        <v>124.97142857142855</v>
      </c>
      <c r="G410" s="7">
        <f t="shared" si="101"/>
        <v>31245115.35668106</v>
      </c>
      <c r="H410" s="6">
        <f t="shared" si="102"/>
        <v>5589.7330308952196</v>
      </c>
      <c r="I410" s="7">
        <f t="shared" si="103"/>
        <v>-4.2687823820078759</v>
      </c>
      <c r="J410" s="7">
        <f t="shared" si="104"/>
        <v>-93.724958002187449</v>
      </c>
      <c r="K410" s="8">
        <f t="shared" si="93"/>
        <v>164.65303473458948</v>
      </c>
      <c r="L410" s="8">
        <f t="shared" si="94"/>
        <v>-6.9154274588527578</v>
      </c>
      <c r="M410" s="8">
        <f t="shared" si="91"/>
        <v>151.83443196354366</v>
      </c>
      <c r="N410" s="8">
        <f t="shared" si="95"/>
        <v>25.000000000000018</v>
      </c>
      <c r="O410" s="8">
        <f t="shared" si="96"/>
        <v>26.138646117587037</v>
      </c>
    </row>
    <row r="411" spans="1:15" x14ac:dyDescent="0.3">
      <c r="A411" s="5">
        <f t="shared" si="97"/>
        <v>4.0299999999999585</v>
      </c>
      <c r="B411" s="5">
        <f t="shared" si="92"/>
        <v>158.70717159857634</v>
      </c>
      <c r="C411" s="6">
        <f t="shared" si="90"/>
        <v>6121.5623330879444</v>
      </c>
      <c r="D411" s="6">
        <f t="shared" si="98"/>
        <v>37473525.397881113</v>
      </c>
      <c r="E411" s="7">
        <f t="shared" si="99"/>
        <v>6248571.4285714282</v>
      </c>
      <c r="F411" s="7">
        <f t="shared" si="100"/>
        <v>124.97142857142855</v>
      </c>
      <c r="G411" s="7">
        <f t="shared" si="101"/>
        <v>31224953.969309684</v>
      </c>
      <c r="H411" s="6">
        <f t="shared" si="102"/>
        <v>5587.929309619949</v>
      </c>
      <c r="I411" s="7">
        <f t="shared" si="103"/>
        <v>-4.2700401969318342</v>
      </c>
      <c r="J411" s="7">
        <f t="shared" si="104"/>
        <v>-93.697349678732593</v>
      </c>
      <c r="K411" s="8">
        <f t="shared" si="93"/>
        <v>164.70155045308502</v>
      </c>
      <c r="L411" s="8">
        <f t="shared" si="94"/>
        <v>-6.9174651190295702</v>
      </c>
      <c r="M411" s="8">
        <f t="shared" si="91"/>
        <v>151.78970647954677</v>
      </c>
      <c r="N411" s="8">
        <f t="shared" si="95"/>
        <v>25.000000000000036</v>
      </c>
      <c r="O411" s="8">
        <f t="shared" si="96"/>
        <v>26.139317230309342</v>
      </c>
    </row>
    <row r="412" spans="1:15" x14ac:dyDescent="0.3">
      <c r="A412" s="5">
        <f t="shared" si="97"/>
        <v>4.0399999999999583</v>
      </c>
      <c r="B412" s="5">
        <f t="shared" si="92"/>
        <v>158.66447119660702</v>
      </c>
      <c r="C412" s="6">
        <f t="shared" si="90"/>
        <v>6119.9153175834135</v>
      </c>
      <c r="D412" s="6">
        <f t="shared" si="98"/>
        <v>37453363.49439209</v>
      </c>
      <c r="E412" s="7">
        <f t="shared" si="99"/>
        <v>6248571.4285714282</v>
      </c>
      <c r="F412" s="7">
        <f t="shared" si="100"/>
        <v>124.97142857142855</v>
      </c>
      <c r="G412" s="7">
        <f t="shared" si="101"/>
        <v>31204792.06582066</v>
      </c>
      <c r="H412" s="6">
        <f t="shared" si="102"/>
        <v>5586.1249597391443</v>
      </c>
      <c r="I412" s="7">
        <f t="shared" si="103"/>
        <v>-4.2712991597049443</v>
      </c>
      <c r="J412" s="7">
        <f t="shared" si="104"/>
        <v>-93.669732443138912</v>
      </c>
      <c r="K412" s="8">
        <f t="shared" si="93"/>
        <v>164.75011044576212</v>
      </c>
      <c r="L412" s="8">
        <f t="shared" si="94"/>
        <v>-6.9195046387220085</v>
      </c>
      <c r="M412" s="8">
        <f t="shared" si="91"/>
        <v>151.74496655788502</v>
      </c>
      <c r="N412" s="8">
        <f t="shared" si="95"/>
        <v>25.000000000000036</v>
      </c>
      <c r="O412" s="8">
        <f t="shared" si="96"/>
        <v>26.13998915345945</v>
      </c>
    </row>
    <row r="413" spans="1:15" x14ac:dyDescent="0.3">
      <c r="A413" s="5">
        <f t="shared" si="97"/>
        <v>4.0499999999999581</v>
      </c>
      <c r="B413" s="5">
        <f t="shared" si="92"/>
        <v>158.62175820500997</v>
      </c>
      <c r="C413" s="6">
        <f t="shared" si="90"/>
        <v>6118.2678164789559</v>
      </c>
      <c r="D413" s="6">
        <f t="shared" si="98"/>
        <v>37433201.07416217</v>
      </c>
      <c r="E413" s="7">
        <f t="shared" si="99"/>
        <v>6248571.4285714282</v>
      </c>
      <c r="F413" s="7">
        <f t="shared" si="100"/>
        <v>124.97142857142855</v>
      </c>
      <c r="G413" s="7">
        <f t="shared" si="101"/>
        <v>31184629.645590741</v>
      </c>
      <c r="H413" s="6">
        <f t="shared" si="102"/>
        <v>5584.3199805876757</v>
      </c>
      <c r="I413" s="7">
        <f t="shared" si="103"/>
        <v>-4.272559272106724</v>
      </c>
      <c r="J413" s="7">
        <f t="shared" si="104"/>
        <v>-93.64210628654142</v>
      </c>
      <c r="K413" s="8">
        <f t="shared" si="93"/>
        <v>164.79871478125935</v>
      </c>
      <c r="L413" s="8">
        <f t="shared" si="94"/>
        <v>-6.9215460208128921</v>
      </c>
      <c r="M413" s="8">
        <f t="shared" si="91"/>
        <v>151.70021218419708</v>
      </c>
      <c r="N413" s="8">
        <f t="shared" si="95"/>
        <v>25.000000000000018</v>
      </c>
      <c r="O413" s="8">
        <f t="shared" si="96"/>
        <v>26.140661888529323</v>
      </c>
    </row>
    <row r="414" spans="1:15" x14ac:dyDescent="0.3">
      <c r="A414" s="5">
        <f t="shared" si="97"/>
        <v>4.0599999999999579</v>
      </c>
      <c r="B414" s="5">
        <f t="shared" si="92"/>
        <v>158.5790326122889</v>
      </c>
      <c r="C414" s="6">
        <f t="shared" si="90"/>
        <v>6116.6198293311427</v>
      </c>
      <c r="D414" s="6">
        <f t="shared" si="98"/>
        <v>37413038.136566937</v>
      </c>
      <c r="E414" s="7">
        <f t="shared" si="99"/>
        <v>6248571.4285714282</v>
      </c>
      <c r="F414" s="7">
        <f t="shared" si="100"/>
        <v>124.97142857142855</v>
      </c>
      <c r="G414" s="7">
        <f t="shared" si="101"/>
        <v>31164466.707995508</v>
      </c>
      <c r="H414" s="6">
        <f t="shared" si="102"/>
        <v>5582.5143714992355</v>
      </c>
      <c r="I414" s="7">
        <f t="shared" si="103"/>
        <v>-4.2738205359206116</v>
      </c>
      <c r="J414" s="7">
        <f t="shared" si="104"/>
        <v>-93.614471200060194</v>
      </c>
      <c r="K414" s="8">
        <f t="shared" si="93"/>
        <v>164.84736352836643</v>
      </c>
      <c r="L414" s="8">
        <f t="shared" si="94"/>
        <v>-6.9235892681913898</v>
      </c>
      <c r="M414" s="8">
        <f t="shared" si="91"/>
        <v>151.65544334409751</v>
      </c>
      <c r="N414" s="8">
        <f t="shared" si="95"/>
        <v>25.000000000000021</v>
      </c>
      <c r="O414" s="8">
        <f t="shared" si="96"/>
        <v>26.141335437014664</v>
      </c>
    </row>
    <row r="415" spans="1:15" x14ac:dyDescent="0.3">
      <c r="A415" s="5">
        <f t="shared" si="97"/>
        <v>4.0699999999999577</v>
      </c>
      <c r="B415" s="5">
        <f t="shared" si="92"/>
        <v>158.5362944069297</v>
      </c>
      <c r="C415" s="6">
        <f t="shared" si="90"/>
        <v>6114.9713556958595</v>
      </c>
      <c r="D415" s="6">
        <f t="shared" si="98"/>
        <v>37392874.680980861</v>
      </c>
      <c r="E415" s="7">
        <f t="shared" si="99"/>
        <v>6248571.4285714282</v>
      </c>
      <c r="F415" s="7">
        <f t="shared" si="100"/>
        <v>124.97142857142855</v>
      </c>
      <c r="G415" s="7">
        <f t="shared" si="101"/>
        <v>31144303.252409432</v>
      </c>
      <c r="H415" s="6">
        <f t="shared" si="102"/>
        <v>5580.708131806342</v>
      </c>
      <c r="I415" s="7">
        <f t="shared" si="103"/>
        <v>-4.2750829529339551</v>
      </c>
      <c r="J415" s="7">
        <f t="shared" si="104"/>
        <v>-93.586827174800447</v>
      </c>
      <c r="K415" s="8">
        <f t="shared" si="93"/>
        <v>164.89605675602397</v>
      </c>
      <c r="L415" s="8">
        <f t="shared" si="94"/>
        <v>-6.9256343837530059</v>
      </c>
      <c r="M415" s="8">
        <f t="shared" si="91"/>
        <v>151.61066002317671</v>
      </c>
      <c r="N415" s="8">
        <f t="shared" si="95"/>
        <v>25</v>
      </c>
      <c r="O415" s="8">
        <f t="shared" si="96"/>
        <v>26.142009800414804</v>
      </c>
    </row>
    <row r="416" spans="1:15" x14ac:dyDescent="0.3">
      <c r="A416" s="5">
        <f t="shared" si="97"/>
        <v>4.0799999999999574</v>
      </c>
      <c r="B416" s="5">
        <f t="shared" si="92"/>
        <v>158.49354357740035</v>
      </c>
      <c r="C416" s="6">
        <f t="shared" si="90"/>
        <v>6113.3223951282989</v>
      </c>
      <c r="D416" s="6">
        <f t="shared" si="98"/>
        <v>37372710.7067772</v>
      </c>
      <c r="E416" s="7">
        <f t="shared" si="99"/>
        <v>6248571.4285714282</v>
      </c>
      <c r="F416" s="7">
        <f t="shared" si="100"/>
        <v>124.97142857142855</v>
      </c>
      <c r="G416" s="7">
        <f t="shared" si="101"/>
        <v>31124139.278205771</v>
      </c>
      <c r="H416" s="6">
        <f t="shared" si="102"/>
        <v>5578.9012608403254</v>
      </c>
      <c r="I416" s="7">
        <f t="shared" si="103"/>
        <v>-4.2763465249380603</v>
      </c>
      <c r="J416" s="7">
        <f t="shared" si="104"/>
        <v>-93.559174201852301</v>
      </c>
      <c r="K416" s="8">
        <f t="shared" si="93"/>
        <v>164.94479453332517</v>
      </c>
      <c r="L416" s="8">
        <f t="shared" si="94"/>
        <v>-6.9276813703996565</v>
      </c>
      <c r="M416" s="8">
        <f t="shared" si="91"/>
        <v>151.56586220700069</v>
      </c>
      <c r="N416" s="8">
        <f t="shared" si="95"/>
        <v>25.000000000000004</v>
      </c>
      <c r="O416" s="8">
        <f t="shared" si="96"/>
        <v>26.142684980232922</v>
      </c>
    </row>
    <row r="417" spans="1:15" x14ac:dyDescent="0.3">
      <c r="A417" s="5">
        <f t="shared" si="97"/>
        <v>4.0899999999999572</v>
      </c>
      <c r="B417" s="5">
        <f t="shared" si="92"/>
        <v>158.45078011215097</v>
      </c>
      <c r="C417" s="6">
        <f t="shared" si="90"/>
        <v>6111.6729471829658</v>
      </c>
      <c r="D417" s="6">
        <f t="shared" si="98"/>
        <v>37352546.213328116</v>
      </c>
      <c r="E417" s="7">
        <f t="shared" si="99"/>
        <v>6248571.4285714282</v>
      </c>
      <c r="F417" s="7">
        <f t="shared" si="100"/>
        <v>124.97142857142855</v>
      </c>
      <c r="G417" s="7">
        <f t="shared" si="101"/>
        <v>31103974.784756687</v>
      </c>
      <c r="H417" s="6">
        <f t="shared" si="102"/>
        <v>5577.0937579313377</v>
      </c>
      <c r="I417" s="7">
        <f t="shared" si="103"/>
        <v>-4.2776112537281641</v>
      </c>
      <c r="J417" s="7">
        <f t="shared" si="104"/>
        <v>-93.531512272290968</v>
      </c>
      <c r="K417" s="8">
        <f t="shared" si="93"/>
        <v>164.99357692951489</v>
      </c>
      <c r="L417" s="8">
        <f t="shared" si="94"/>
        <v>-6.9297302310396249</v>
      </c>
      <c r="M417" s="8">
        <f t="shared" si="91"/>
        <v>151.52104988111134</v>
      </c>
      <c r="N417" s="8">
        <f t="shared" si="95"/>
        <v>25.000000000000007</v>
      </c>
      <c r="O417" s="8">
        <f t="shared" si="96"/>
        <v>26.143360977975828</v>
      </c>
    </row>
    <row r="418" spans="1:15" x14ac:dyDescent="0.3">
      <c r="A418" s="5">
        <f t="shared" si="97"/>
        <v>4.099999999999957</v>
      </c>
      <c r="B418" s="5">
        <f t="shared" si="92"/>
        <v>158.4080039996137</v>
      </c>
      <c r="C418" s="6">
        <f t="shared" si="90"/>
        <v>6110.0230114136712</v>
      </c>
      <c r="D418" s="6">
        <f t="shared" si="98"/>
        <v>37332381.200004585</v>
      </c>
      <c r="E418" s="7">
        <f t="shared" si="99"/>
        <v>6248571.4285714282</v>
      </c>
      <c r="F418" s="7">
        <f t="shared" si="100"/>
        <v>124.97142857142855</v>
      </c>
      <c r="G418" s="7">
        <f t="shared" si="101"/>
        <v>31083809.771433156</v>
      </c>
      <c r="H418" s="6">
        <f t="shared" si="102"/>
        <v>5575.2856224083407</v>
      </c>
      <c r="I418" s="7">
        <f t="shared" si="103"/>
        <v>-4.2788771411034681</v>
      </c>
      <c r="J418" s="7">
        <f t="shared" si="104"/>
        <v>-93.503841377176613</v>
      </c>
      <c r="K418" s="8">
        <f t="shared" si="93"/>
        <v>165.0424040139909</v>
      </c>
      <c r="L418" s="8">
        <f t="shared" si="94"/>
        <v>-6.9317809685876171</v>
      </c>
      <c r="M418" s="8">
        <f t="shared" si="91"/>
        <v>151.47622303102608</v>
      </c>
      <c r="N418" s="8">
        <f t="shared" si="95"/>
        <v>25</v>
      </c>
      <c r="O418" s="8">
        <f t="shared" si="96"/>
        <v>26.14403779515413</v>
      </c>
    </row>
    <row r="419" spans="1:15" x14ac:dyDescent="0.3">
      <c r="A419" s="5">
        <f t="shared" si="97"/>
        <v>4.1099999999999568</v>
      </c>
      <c r="B419" s="5">
        <f t="shared" si="92"/>
        <v>158.36521522820266</v>
      </c>
      <c r="C419" s="6">
        <f t="shared" si="90"/>
        <v>6108.3725873735311</v>
      </c>
      <c r="D419" s="6">
        <f t="shared" si="98"/>
        <v>37312215.666176409</v>
      </c>
      <c r="E419" s="7">
        <f t="shared" si="99"/>
        <v>6248571.4285714282</v>
      </c>
      <c r="F419" s="7">
        <f t="shared" si="100"/>
        <v>124.97142857142855</v>
      </c>
      <c r="G419" s="7">
        <f t="shared" si="101"/>
        <v>31063644.237604979</v>
      </c>
      <c r="H419" s="6">
        <f t="shared" si="102"/>
        <v>5573.4768535991052</v>
      </c>
      <c r="I419" s="7">
        <f t="shared" si="103"/>
        <v>-4.2801441888671494</v>
      </c>
      <c r="J419" s="7">
        <f t="shared" si="104"/>
        <v>-93.476161507554266</v>
      </c>
      <c r="K419" s="8">
        <f t="shared" si="93"/>
        <v>165.09127585630432</v>
      </c>
      <c r="L419" s="8">
        <f t="shared" si="94"/>
        <v>-6.9338335859647806</v>
      </c>
      <c r="M419" s="8">
        <f t="shared" si="91"/>
        <v>151.43138164223788</v>
      </c>
      <c r="N419" s="8">
        <f t="shared" si="95"/>
        <v>24.999999999999993</v>
      </c>
      <c r="O419" s="8">
        <f t="shared" si="96"/>
        <v>26.144715433282212</v>
      </c>
    </row>
    <row r="420" spans="1:15" x14ac:dyDescent="0.3">
      <c r="A420" s="5">
        <f t="shared" si="97"/>
        <v>4.1199999999999566</v>
      </c>
      <c r="B420" s="5">
        <f t="shared" si="92"/>
        <v>158.32241378631397</v>
      </c>
      <c r="C420" s="6">
        <f t="shared" si="90"/>
        <v>6106.721674614967</v>
      </c>
      <c r="D420" s="6">
        <f t="shared" si="98"/>
        <v>37292049.611212224</v>
      </c>
      <c r="E420" s="7">
        <f t="shared" si="99"/>
        <v>6248571.4285714282</v>
      </c>
      <c r="F420" s="7">
        <f t="shared" si="100"/>
        <v>124.97142857142855</v>
      </c>
      <c r="G420" s="7">
        <f t="shared" si="101"/>
        <v>31043478.182640795</v>
      </c>
      <c r="H420" s="6">
        <f t="shared" si="102"/>
        <v>5571.6674508302085</v>
      </c>
      <c r="I420" s="7">
        <f t="shared" si="103"/>
        <v>-4.2814123988263724</v>
      </c>
      <c r="J420" s="7">
        <f t="shared" si="104"/>
        <v>-93.448472654453866</v>
      </c>
      <c r="K420" s="8">
        <f t="shared" si="93"/>
        <v>165.14019252616006</v>
      </c>
      <c r="L420" s="8">
        <f t="shared" si="94"/>
        <v>-6.9358880860987222</v>
      </c>
      <c r="M420" s="8">
        <f t="shared" si="91"/>
        <v>151.38652570021526</v>
      </c>
      <c r="N420" s="8">
        <f t="shared" si="95"/>
        <v>25.000000000000025</v>
      </c>
      <c r="O420" s="8">
        <f t="shared" si="96"/>
        <v>26.145393893878268</v>
      </c>
    </row>
    <row r="421" spans="1:15" x14ac:dyDescent="0.3">
      <c r="A421" s="5">
        <f t="shared" si="97"/>
        <v>4.1299999999999564</v>
      </c>
      <c r="B421" s="5">
        <f t="shared" si="92"/>
        <v>158.27959966232572</v>
      </c>
      <c r="C421" s="6">
        <f t="shared" si="90"/>
        <v>6105.0702726897061</v>
      </c>
      <c r="D421" s="6">
        <f t="shared" si="98"/>
        <v>37271883.034479566</v>
      </c>
      <c r="E421" s="7">
        <f t="shared" si="99"/>
        <v>6248571.4285714282</v>
      </c>
      <c r="F421" s="7">
        <f t="shared" si="100"/>
        <v>124.97142857142855</v>
      </c>
      <c r="G421" s="7">
        <f t="shared" si="101"/>
        <v>31023311.605908137</v>
      </c>
      <c r="H421" s="6">
        <f t="shared" si="102"/>
        <v>5569.8574134270384</v>
      </c>
      <c r="I421" s="7">
        <f t="shared" si="103"/>
        <v>-4.2826817727922668</v>
      </c>
      <c r="J421" s="7">
        <f t="shared" si="104"/>
        <v>-93.4207748088903</v>
      </c>
      <c r="K421" s="8">
        <f t="shared" si="93"/>
        <v>165.18915409341599</v>
      </c>
      <c r="L421" s="8">
        <f t="shared" si="94"/>
        <v>-6.9379444719234709</v>
      </c>
      <c r="M421" s="8">
        <f t="shared" si="91"/>
        <v>151.34165519040226</v>
      </c>
      <c r="N421" s="8">
        <f t="shared" si="95"/>
        <v>24.999999999999989</v>
      </c>
      <c r="O421" s="8">
        <f t="shared" si="96"/>
        <v>26.146073178464118</v>
      </c>
    </row>
    <row r="422" spans="1:15" x14ac:dyDescent="0.3">
      <c r="A422" s="5">
        <f t="shared" si="97"/>
        <v>4.1399999999999562</v>
      </c>
      <c r="B422" s="5">
        <f t="shared" si="92"/>
        <v>158.23677284459779</v>
      </c>
      <c r="C422" s="6">
        <f t="shared" si="90"/>
        <v>6103.4183811487719</v>
      </c>
      <c r="D422" s="6">
        <f t="shared" si="98"/>
        <v>37251715.935344696</v>
      </c>
      <c r="E422" s="7">
        <f t="shared" si="99"/>
        <v>6248571.4285714282</v>
      </c>
      <c r="F422" s="7">
        <f t="shared" si="100"/>
        <v>124.97142857142855</v>
      </c>
      <c r="G422" s="7">
        <f t="shared" si="101"/>
        <v>31003144.506773267</v>
      </c>
      <c r="H422" s="6">
        <f t="shared" si="102"/>
        <v>5568.046740713773</v>
      </c>
      <c r="I422" s="7">
        <f t="shared" si="103"/>
        <v>-4.2839523125800101</v>
      </c>
      <c r="J422" s="7">
        <f t="shared" si="104"/>
        <v>-93.393067961863082</v>
      </c>
      <c r="K422" s="8">
        <f t="shared" si="93"/>
        <v>165.23816062808609</v>
      </c>
      <c r="L422" s="8">
        <f t="shared" si="94"/>
        <v>-6.9400027463796148</v>
      </c>
      <c r="M422" s="8">
        <f t="shared" si="91"/>
        <v>151.29677009821819</v>
      </c>
      <c r="N422" s="8">
        <f t="shared" si="95"/>
        <v>24.999999999999989</v>
      </c>
      <c r="O422" s="8">
        <f t="shared" si="96"/>
        <v>26.146753288565623</v>
      </c>
    </row>
    <row r="423" spans="1:15" x14ac:dyDescent="0.3">
      <c r="A423" s="5">
        <f t="shared" si="97"/>
        <v>4.1499999999999559</v>
      </c>
      <c r="B423" s="5">
        <f t="shared" si="92"/>
        <v>158.193933321472</v>
      </c>
      <c r="C423" s="6">
        <f t="shared" si="90"/>
        <v>6101.765999542491</v>
      </c>
      <c r="D423" s="6">
        <f t="shared" si="98"/>
        <v>37231548.313172773</v>
      </c>
      <c r="E423" s="7">
        <f t="shared" si="99"/>
        <v>6248571.4285714282</v>
      </c>
      <c r="F423" s="7">
        <f t="shared" si="100"/>
        <v>124.97142857142855</v>
      </c>
      <c r="G423" s="7">
        <f t="shared" si="101"/>
        <v>30982976.884601343</v>
      </c>
      <c r="H423" s="6">
        <f t="shared" si="102"/>
        <v>5566.2354320133945</v>
      </c>
      <c r="I423" s="7">
        <f t="shared" si="103"/>
        <v>-4.2852240200087746</v>
      </c>
      <c r="J423" s="7">
        <f t="shared" si="104"/>
        <v>-93.365352104356674</v>
      </c>
      <c r="K423" s="8">
        <f t="shared" si="93"/>
        <v>165.28721220033844</v>
      </c>
      <c r="L423" s="8">
        <f t="shared" si="94"/>
        <v>-6.9420629124142144</v>
      </c>
      <c r="M423" s="8">
        <f t="shared" si="91"/>
        <v>151.2518704090578</v>
      </c>
      <c r="N423" s="8">
        <f t="shared" si="95"/>
        <v>25.000000000000028</v>
      </c>
      <c r="O423" s="8">
        <f t="shared" si="96"/>
        <v>26.147434225712335</v>
      </c>
    </row>
    <row r="424" spans="1:15" x14ac:dyDescent="0.3">
      <c r="A424" s="5">
        <f t="shared" si="97"/>
        <v>4.1599999999999557</v>
      </c>
      <c r="B424" s="5">
        <f t="shared" si="92"/>
        <v>158.15108108127191</v>
      </c>
      <c r="C424" s="6">
        <f t="shared" si="90"/>
        <v>6100.1131274204881</v>
      </c>
      <c r="D424" s="6">
        <f t="shared" si="98"/>
        <v>37211380.167327769</v>
      </c>
      <c r="E424" s="7">
        <f t="shared" si="99"/>
        <v>6248571.4285714282</v>
      </c>
      <c r="F424" s="7">
        <f t="shared" si="100"/>
        <v>124.97142857142855</v>
      </c>
      <c r="G424" s="7">
        <f t="shared" si="101"/>
        <v>30962808.73875634</v>
      </c>
      <c r="H424" s="6">
        <f t="shared" si="102"/>
        <v>5564.4234866476818</v>
      </c>
      <c r="I424" s="7">
        <f t="shared" si="103"/>
        <v>-4.2864968969017436</v>
      </c>
      <c r="J424" s="7">
        <f t="shared" si="104"/>
        <v>-93.337627227340192</v>
      </c>
      <c r="K424" s="8">
        <f t="shared" si="93"/>
        <v>165.33630888049581</v>
      </c>
      <c r="L424" s="8">
        <f t="shared" si="94"/>
        <v>-6.9441249729808234</v>
      </c>
      <c r="M424" s="8">
        <f t="shared" si="91"/>
        <v>151.20695610829108</v>
      </c>
      <c r="N424" s="8">
        <f t="shared" si="95"/>
        <v>24.999999999999986</v>
      </c>
      <c r="O424" s="8">
        <f t="shared" si="96"/>
        <v>26.148115991437511</v>
      </c>
    </row>
    <row r="425" spans="1:15" x14ac:dyDescent="0.3">
      <c r="A425" s="5">
        <f t="shared" si="97"/>
        <v>4.1699999999999555</v>
      </c>
      <c r="B425" s="5">
        <f t="shared" si="92"/>
        <v>158.1082161123029</v>
      </c>
      <c r="C425" s="6">
        <f t="shared" si="90"/>
        <v>6098.4597643316829</v>
      </c>
      <c r="D425" s="6">
        <f t="shared" si="98"/>
        <v>37191211.497172445</v>
      </c>
      <c r="E425" s="7">
        <f t="shared" si="99"/>
        <v>6248571.4285714282</v>
      </c>
      <c r="F425" s="7">
        <f t="shared" si="100"/>
        <v>124.97142857142855</v>
      </c>
      <c r="G425" s="7">
        <f t="shared" si="101"/>
        <v>30942640.068601016</v>
      </c>
      <c r="H425" s="6">
        <f t="shared" si="102"/>
        <v>5562.6109039371986</v>
      </c>
      <c r="I425" s="7">
        <f t="shared" si="103"/>
        <v>-4.287770945086181</v>
      </c>
      <c r="J425" s="7">
        <f t="shared" si="104"/>
        <v>-93.309893321767476</v>
      </c>
      <c r="K425" s="8">
        <f t="shared" si="93"/>
        <v>165.38545073903839</v>
      </c>
      <c r="L425" s="8">
        <f t="shared" si="94"/>
        <v>-6.9461889310396119</v>
      </c>
      <c r="M425" s="8">
        <f t="shared" si="91"/>
        <v>151.16202718126328</v>
      </c>
      <c r="N425" s="8">
        <f t="shared" si="95"/>
        <v>25</v>
      </c>
      <c r="O425" s="8">
        <f t="shared" si="96"/>
        <v>26.148798587278506</v>
      </c>
    </row>
    <row r="426" spans="1:15" x14ac:dyDescent="0.3">
      <c r="A426" s="5">
        <f t="shared" si="97"/>
        <v>4.1799999999999553</v>
      </c>
      <c r="B426" s="5">
        <f t="shared" si="92"/>
        <v>158.06533840285203</v>
      </c>
      <c r="C426" s="6">
        <f t="shared" si="90"/>
        <v>6096.805909824292</v>
      </c>
      <c r="D426" s="6">
        <f t="shared" si="98"/>
        <v>37171042.302068412</v>
      </c>
      <c r="E426" s="7">
        <f t="shared" si="99"/>
        <v>6248571.4285714282</v>
      </c>
      <c r="F426" s="7">
        <f t="shared" si="100"/>
        <v>124.97142857142855</v>
      </c>
      <c r="G426" s="7">
        <f t="shared" si="101"/>
        <v>30922470.873496983</v>
      </c>
      <c r="H426" s="6">
        <f t="shared" si="102"/>
        <v>5560.7976832013037</v>
      </c>
      <c r="I426" s="7">
        <f t="shared" si="103"/>
        <v>-4.2890461663933692</v>
      </c>
      <c r="J426" s="7">
        <f t="shared" si="104"/>
        <v>-93.282150378577043</v>
      </c>
      <c r="K426" s="8">
        <f t="shared" si="93"/>
        <v>165.43463784660136</v>
      </c>
      <c r="L426" s="8">
        <f t="shared" si="94"/>
        <v>-6.9482547895572564</v>
      </c>
      <c r="M426" s="8">
        <f t="shared" si="91"/>
        <v>151.11708361329477</v>
      </c>
      <c r="N426" s="8">
        <f t="shared" si="95"/>
        <v>24.999999999999996</v>
      </c>
      <c r="O426" s="8">
        <f t="shared" si="96"/>
        <v>26.149482014776318</v>
      </c>
    </row>
    <row r="427" spans="1:15" x14ac:dyDescent="0.3">
      <c r="A427" s="5">
        <f t="shared" si="97"/>
        <v>4.1899999999999551</v>
      </c>
      <c r="B427" s="5">
        <f t="shared" si="92"/>
        <v>158.02244794118809</v>
      </c>
      <c r="C427" s="6">
        <f t="shared" si="90"/>
        <v>6095.1515634458265</v>
      </c>
      <c r="D427" s="6">
        <f t="shared" si="98"/>
        <v>37150872.581376106</v>
      </c>
      <c r="E427" s="7">
        <f t="shared" si="99"/>
        <v>6248571.4285714282</v>
      </c>
      <c r="F427" s="7">
        <f t="shared" si="100"/>
        <v>124.97142857142855</v>
      </c>
      <c r="G427" s="7">
        <f t="shared" si="101"/>
        <v>30902301.152804676</v>
      </c>
      <c r="H427" s="6">
        <f t="shared" si="102"/>
        <v>5558.9838237581407</v>
      </c>
      <c r="I427" s="7">
        <f t="shared" si="103"/>
        <v>-4.2903225626586661</v>
      </c>
      <c r="J427" s="7">
        <f t="shared" si="104"/>
        <v>-93.254398388692024</v>
      </c>
      <c r="K427" s="8">
        <f t="shared" si="93"/>
        <v>165.48387027397712</v>
      </c>
      <c r="L427" s="8">
        <f t="shared" si="94"/>
        <v>-6.9503225515070381</v>
      </c>
      <c r="M427" s="8">
        <f t="shared" si="91"/>
        <v>151.07212538968105</v>
      </c>
      <c r="N427" s="8">
        <f t="shared" si="95"/>
        <v>24.999999999999982</v>
      </c>
      <c r="O427" s="8">
        <f t="shared" si="96"/>
        <v>26.150166275475872</v>
      </c>
    </row>
    <row r="428" spans="1:15" x14ac:dyDescent="0.3">
      <c r="A428" s="5">
        <f t="shared" si="97"/>
        <v>4.1999999999999549</v>
      </c>
      <c r="B428" s="5">
        <f t="shared" si="92"/>
        <v>157.9795447155615</v>
      </c>
      <c r="C428" s="6">
        <f t="shared" si="90"/>
        <v>6093.4967247430859</v>
      </c>
      <c r="D428" s="6">
        <f t="shared" si="98"/>
        <v>37130702.334454715</v>
      </c>
      <c r="E428" s="7">
        <f t="shared" si="99"/>
        <v>6248571.4285714282</v>
      </c>
      <c r="F428" s="7">
        <f t="shared" si="100"/>
        <v>124.97142857142855</v>
      </c>
      <c r="G428" s="7">
        <f t="shared" si="101"/>
        <v>30882130.905883286</v>
      </c>
      <c r="H428" s="6">
        <f t="shared" si="102"/>
        <v>5557.1693249246318</v>
      </c>
      <c r="I428" s="7">
        <f t="shared" si="103"/>
        <v>-4.291600135721513</v>
      </c>
      <c r="J428" s="7">
        <f t="shared" si="104"/>
        <v>-93.226637343020158</v>
      </c>
      <c r="K428" s="8">
        <f t="shared" si="93"/>
        <v>165.53314809211548</v>
      </c>
      <c r="L428" s="8">
        <f t="shared" si="94"/>
        <v>-6.9523922198688499</v>
      </c>
      <c r="M428" s="8">
        <f t="shared" si="91"/>
        <v>151.02715249569266</v>
      </c>
      <c r="N428" s="8">
        <f t="shared" si="95"/>
        <v>25</v>
      </c>
      <c r="O428" s="8">
        <f t="shared" si="96"/>
        <v>26.150851370926024</v>
      </c>
    </row>
    <row r="429" spans="1:15" x14ac:dyDescent="0.3">
      <c r="A429" s="5">
        <f t="shared" si="97"/>
        <v>4.2099999999999547</v>
      </c>
      <c r="B429" s="5">
        <f t="shared" si="92"/>
        <v>157.93662871420429</v>
      </c>
      <c r="C429" s="6">
        <f t="shared" si="90"/>
        <v>6091.8413932621652</v>
      </c>
      <c r="D429" s="6">
        <f t="shared" si="98"/>
        <v>37110531.560662314</v>
      </c>
      <c r="E429" s="7">
        <f t="shared" si="99"/>
        <v>6248571.4285714282</v>
      </c>
      <c r="F429" s="7">
        <f t="shared" si="100"/>
        <v>124.97142857142855</v>
      </c>
      <c r="G429" s="7">
        <f t="shared" si="101"/>
        <v>30861960.132090885</v>
      </c>
      <c r="H429" s="6">
        <f t="shared" si="102"/>
        <v>5555.3541860164851</v>
      </c>
      <c r="I429" s="7">
        <f t="shared" si="103"/>
        <v>-4.2928788874254247</v>
      </c>
      <c r="J429" s="7">
        <f t="shared" si="104"/>
        <v>-93.198867232453779</v>
      </c>
      <c r="K429" s="8">
        <f t="shared" si="93"/>
        <v>165.58247137212351</v>
      </c>
      <c r="L429" s="8">
        <f t="shared" si="94"/>
        <v>-6.9544637976291863</v>
      </c>
      <c r="M429" s="8">
        <f t="shared" si="91"/>
        <v>150.9821649165751</v>
      </c>
      <c r="N429" s="8">
        <f t="shared" si="95"/>
        <v>25.000000000000025</v>
      </c>
      <c r="O429" s="8">
        <f t="shared" si="96"/>
        <v>26.151537302679429</v>
      </c>
    </row>
    <row r="430" spans="1:15" x14ac:dyDescent="0.3">
      <c r="A430" s="5">
        <f t="shared" si="97"/>
        <v>4.2199999999999545</v>
      </c>
      <c r="B430" s="5">
        <f t="shared" si="92"/>
        <v>157.89369992533003</v>
      </c>
      <c r="C430" s="6">
        <f t="shared" si="90"/>
        <v>6090.1855685484434</v>
      </c>
      <c r="D430" s="6">
        <f t="shared" si="98"/>
        <v>37090360.259355724</v>
      </c>
      <c r="E430" s="7">
        <f t="shared" si="99"/>
        <v>6248571.4285714282</v>
      </c>
      <c r="F430" s="7">
        <f t="shared" si="100"/>
        <v>124.97142857142855</v>
      </c>
      <c r="G430" s="7">
        <f t="shared" si="101"/>
        <v>30841788.830784295</v>
      </c>
      <c r="H430" s="6">
        <f t="shared" si="102"/>
        <v>5553.5384063481815</v>
      </c>
      <c r="I430" s="7">
        <f t="shared" si="103"/>
        <v>-4.2941588196180085</v>
      </c>
      <c r="J430" s="7">
        <f t="shared" si="104"/>
        <v>-93.171088047869659</v>
      </c>
      <c r="K430" s="8">
        <f t="shared" si="93"/>
        <v>165.63184018526604</v>
      </c>
      <c r="L430" s="8">
        <f t="shared" si="94"/>
        <v>-6.9565372877811731</v>
      </c>
      <c r="M430" s="8">
        <f t="shared" si="91"/>
        <v>150.93716263754885</v>
      </c>
      <c r="N430" s="8">
        <f t="shared" si="95"/>
        <v>25</v>
      </c>
      <c r="O430" s="8">
        <f t="shared" si="96"/>
        <v>26.152224072292615</v>
      </c>
    </row>
    <row r="431" spans="1:15" x14ac:dyDescent="0.3">
      <c r="A431" s="5">
        <f t="shared" si="97"/>
        <v>4.2299999999999542</v>
      </c>
      <c r="B431" s="5">
        <f t="shared" si="92"/>
        <v>157.85075833713384</v>
      </c>
      <c r="C431" s="6">
        <f t="shared" si="90"/>
        <v>6088.529250146591</v>
      </c>
      <c r="D431" s="6">
        <f t="shared" si="98"/>
        <v>37070188.42989061</v>
      </c>
      <c r="E431" s="7">
        <f t="shared" si="99"/>
        <v>6248571.4285714282</v>
      </c>
      <c r="F431" s="7">
        <f t="shared" si="100"/>
        <v>124.97142857142855</v>
      </c>
      <c r="G431" s="7">
        <f t="shared" si="101"/>
        <v>30821617.001319181</v>
      </c>
      <c r="H431" s="6">
        <f t="shared" si="102"/>
        <v>5551.7219852329763</v>
      </c>
      <c r="I431" s="7">
        <f t="shared" si="103"/>
        <v>-4.2954399341510108</v>
      </c>
      <c r="J431" s="7">
        <f t="shared" si="104"/>
        <v>-93.143299780129169</v>
      </c>
      <c r="K431" s="8">
        <f t="shared" si="93"/>
        <v>165.68125460296756</v>
      </c>
      <c r="L431" s="8">
        <f t="shared" si="94"/>
        <v>-6.9586126933246364</v>
      </c>
      <c r="M431" s="8">
        <f t="shared" si="91"/>
        <v>150.89214564380922</v>
      </c>
      <c r="N431" s="8">
        <f t="shared" si="95"/>
        <v>25.000000000000014</v>
      </c>
      <c r="O431" s="8">
        <f t="shared" si="96"/>
        <v>26.152911681326174</v>
      </c>
    </row>
    <row r="432" spans="1:15" x14ac:dyDescent="0.3">
      <c r="A432" s="5">
        <f t="shared" si="97"/>
        <v>4.239999999999954</v>
      </c>
      <c r="B432" s="5">
        <f t="shared" si="92"/>
        <v>157.80780393779233</v>
      </c>
      <c r="C432" s="6">
        <f t="shared" si="90"/>
        <v>6086.8724376005612</v>
      </c>
      <c r="D432" s="6">
        <f t="shared" si="98"/>
        <v>37050016.071621396</v>
      </c>
      <c r="E432" s="7">
        <f t="shared" si="99"/>
        <v>6248571.4285714282</v>
      </c>
      <c r="F432" s="7">
        <f t="shared" si="100"/>
        <v>124.97142857142855</v>
      </c>
      <c r="G432" s="7">
        <f t="shared" si="101"/>
        <v>30801444.643049967</v>
      </c>
      <c r="H432" s="6">
        <f t="shared" si="102"/>
        <v>5549.9049219828948</v>
      </c>
      <c r="I432" s="7">
        <f t="shared" si="103"/>
        <v>-4.2967222328802759</v>
      </c>
      <c r="J432" s="7">
        <f t="shared" si="104"/>
        <v>-93.115502420077959</v>
      </c>
      <c r="K432" s="8">
        <f t="shared" si="93"/>
        <v>165.73071469681062</v>
      </c>
      <c r="L432" s="8">
        <f t="shared" si="94"/>
        <v>-6.9606900172660451</v>
      </c>
      <c r="M432" s="8">
        <f t="shared" si="91"/>
        <v>150.84711392052628</v>
      </c>
      <c r="N432" s="8">
        <f t="shared" si="95"/>
        <v>25.000000000000032</v>
      </c>
      <c r="O432" s="8">
        <f t="shared" si="96"/>
        <v>26.153600131344486</v>
      </c>
    </row>
    <row r="433" spans="1:15" x14ac:dyDescent="0.3">
      <c r="A433" s="5">
        <f t="shared" si="97"/>
        <v>4.2499999999999538</v>
      </c>
      <c r="B433" s="5">
        <f t="shared" si="92"/>
        <v>157.76483671546353</v>
      </c>
      <c r="C433" s="6">
        <f t="shared" si="90"/>
        <v>6085.2151304535928</v>
      </c>
      <c r="D433" s="6">
        <f t="shared" si="98"/>
        <v>37029843.18390134</v>
      </c>
      <c r="E433" s="7">
        <f t="shared" si="99"/>
        <v>6248571.4285714282</v>
      </c>
      <c r="F433" s="7">
        <f t="shared" si="100"/>
        <v>124.97142857142855</v>
      </c>
      <c r="G433" s="7">
        <f t="shared" si="101"/>
        <v>30781271.755329911</v>
      </c>
      <c r="H433" s="6">
        <f t="shared" si="102"/>
        <v>5548.0872159087321</v>
      </c>
      <c r="I433" s="7">
        <f t="shared" si="103"/>
        <v>-4.2980057176657818</v>
      </c>
      <c r="J433" s="7">
        <f t="shared" si="104"/>
        <v>-93.087695958546291</v>
      </c>
      <c r="K433" s="8">
        <f t="shared" si="93"/>
        <v>165.78022053853729</v>
      </c>
      <c r="L433" s="8">
        <f t="shared" si="94"/>
        <v>-6.9627692626185658</v>
      </c>
      <c r="M433" s="8">
        <f t="shared" si="91"/>
        <v>150.80206745284497</v>
      </c>
      <c r="N433" s="8">
        <f t="shared" si="95"/>
        <v>25.000000000000014</v>
      </c>
      <c r="O433" s="8">
        <f t="shared" si="96"/>
        <v>26.15428942391587</v>
      </c>
    </row>
    <row r="434" spans="1:15" x14ac:dyDescent="0.3">
      <c r="A434" s="5">
        <f t="shared" si="97"/>
        <v>4.2599999999999536</v>
      </c>
      <c r="B434" s="5">
        <f t="shared" si="92"/>
        <v>157.72185665828687</v>
      </c>
      <c r="C434" s="6">
        <f t="shared" si="90"/>
        <v>6083.5573282482073</v>
      </c>
      <c r="D434" s="6">
        <f t="shared" si="98"/>
        <v>37009669.766082466</v>
      </c>
      <c r="E434" s="7">
        <f t="shared" si="99"/>
        <v>6248571.4285714282</v>
      </c>
      <c r="F434" s="7">
        <f t="shared" si="100"/>
        <v>124.97142857142855</v>
      </c>
      <c r="G434" s="7">
        <f t="shared" si="101"/>
        <v>30761098.337511037</v>
      </c>
      <c r="H434" s="6">
        <f t="shared" si="102"/>
        <v>5546.2688663200452</v>
      </c>
      <c r="I434" s="7">
        <f t="shared" si="103"/>
        <v>-4.2992903903716693</v>
      </c>
      <c r="J434" s="7">
        <f t="shared" si="104"/>
        <v>-93.059880386348638</v>
      </c>
      <c r="K434" s="8">
        <f t="shared" si="93"/>
        <v>165.82977220005009</v>
      </c>
      <c r="L434" s="8">
        <f t="shared" si="94"/>
        <v>-6.9648504324021028</v>
      </c>
      <c r="M434" s="8">
        <f t="shared" si="91"/>
        <v>150.75700622588477</v>
      </c>
      <c r="N434" s="8">
        <f t="shared" si="95"/>
        <v>25.000000000000004</v>
      </c>
      <c r="O434" s="8">
        <f t="shared" si="96"/>
        <v>26.154979560612663</v>
      </c>
    </row>
    <row r="435" spans="1:15" x14ac:dyDescent="0.3">
      <c r="A435" s="5">
        <f t="shared" si="97"/>
        <v>4.2699999999999534</v>
      </c>
      <c r="B435" s="5">
        <f t="shared" si="92"/>
        <v>157.67886375438314</v>
      </c>
      <c r="C435" s="6">
        <f t="shared" si="90"/>
        <v>6081.8990305262068</v>
      </c>
      <c r="D435" s="6">
        <f t="shared" si="98"/>
        <v>36989495.817515612</v>
      </c>
      <c r="E435" s="7">
        <f t="shared" si="99"/>
        <v>6248571.4285714282</v>
      </c>
      <c r="F435" s="7">
        <f t="shared" si="100"/>
        <v>124.97142857142855</v>
      </c>
      <c r="G435" s="7">
        <f t="shared" si="101"/>
        <v>30740924.388944183</v>
      </c>
      <c r="H435" s="6">
        <f t="shared" si="102"/>
        <v>5544.4498725251524</v>
      </c>
      <c r="I435" s="7">
        <f t="shared" si="103"/>
        <v>-4.3005762528662341</v>
      </c>
      <c r="J435" s="7">
        <f t="shared" si="104"/>
        <v>-93.032055694283869</v>
      </c>
      <c r="K435" s="8">
        <f t="shared" si="93"/>
        <v>165.87936975341188</v>
      </c>
      <c r="L435" s="8">
        <f t="shared" si="94"/>
        <v>-6.9669335296432982</v>
      </c>
      <c r="M435" s="8">
        <f t="shared" si="91"/>
        <v>150.71193022473986</v>
      </c>
      <c r="N435" s="8">
        <f t="shared" si="95"/>
        <v>25.000000000000036</v>
      </c>
      <c r="O435" s="8">
        <f t="shared" si="96"/>
        <v>26.155670543011176</v>
      </c>
    </row>
    <row r="436" spans="1:15" x14ac:dyDescent="0.3">
      <c r="A436" s="5">
        <f t="shared" si="97"/>
        <v>4.2799999999999532</v>
      </c>
      <c r="B436" s="5">
        <f t="shared" si="92"/>
        <v>157.63585799185449</v>
      </c>
      <c r="C436" s="6">
        <f t="shared" si="90"/>
        <v>6080.240236828673</v>
      </c>
      <c r="D436" s="6">
        <f t="shared" si="98"/>
        <v>36969321.337550394</v>
      </c>
      <c r="E436" s="7">
        <f t="shared" si="99"/>
        <v>6248571.4285714282</v>
      </c>
      <c r="F436" s="7">
        <f t="shared" si="100"/>
        <v>124.97142857142855</v>
      </c>
      <c r="G436" s="7">
        <f t="shared" si="101"/>
        <v>30720749.908978965</v>
      </c>
      <c r="H436" s="6">
        <f t="shared" si="102"/>
        <v>5542.6302338311334</v>
      </c>
      <c r="I436" s="7">
        <f t="shared" si="103"/>
        <v>-4.3018633070219225</v>
      </c>
      <c r="J436" s="7">
        <f t="shared" si="104"/>
        <v>-93.004221873135194</v>
      </c>
      <c r="K436" s="8">
        <f t="shared" si="93"/>
        <v>165.92901327084559</v>
      </c>
      <c r="L436" s="8">
        <f t="shared" si="94"/>
        <v>-6.9690185573755139</v>
      </c>
      <c r="M436" s="8">
        <f t="shared" si="91"/>
        <v>150.66683943447899</v>
      </c>
      <c r="N436" s="8">
        <f t="shared" si="95"/>
        <v>25.000000000000025</v>
      </c>
      <c r="O436" s="8">
        <f t="shared" si="96"/>
        <v>26.156362372691554</v>
      </c>
    </row>
    <row r="437" spans="1:15" x14ac:dyDescent="0.3">
      <c r="A437" s="5">
        <f t="shared" si="97"/>
        <v>4.289999999999953</v>
      </c>
      <c r="B437" s="5">
        <f t="shared" si="92"/>
        <v>157.59283935878426</v>
      </c>
      <c r="C437" s="6">
        <f t="shared" si="90"/>
        <v>6078.5809466959636</v>
      </c>
      <c r="D437" s="6">
        <f t="shared" si="98"/>
        <v>36949146.325535193</v>
      </c>
      <c r="E437" s="7">
        <f t="shared" si="99"/>
        <v>6248571.4285714282</v>
      </c>
      <c r="F437" s="7">
        <f t="shared" si="100"/>
        <v>124.97142857142855</v>
      </c>
      <c r="G437" s="7">
        <f t="shared" si="101"/>
        <v>30700574.896963764</v>
      </c>
      <c r="H437" s="6">
        <f t="shared" si="102"/>
        <v>5540.8099495438173</v>
      </c>
      <c r="I437" s="7">
        <f t="shared" si="103"/>
        <v>-4.3031515547153916</v>
      </c>
      <c r="J437" s="7">
        <f t="shared" si="104"/>
        <v>-92.976378913669947</v>
      </c>
      <c r="K437" s="8">
        <f t="shared" si="93"/>
        <v>165.97870282473653</v>
      </c>
      <c r="L437" s="8">
        <f t="shared" si="94"/>
        <v>-6.9711055186389332</v>
      </c>
      <c r="M437" s="8">
        <f t="shared" si="91"/>
        <v>150.62173384014534</v>
      </c>
      <c r="N437" s="8">
        <f t="shared" si="95"/>
        <v>25.000000000000043</v>
      </c>
      <c r="O437" s="8">
        <f t="shared" si="96"/>
        <v>26.157055051238093</v>
      </c>
    </row>
    <row r="438" spans="1:15" x14ac:dyDescent="0.3">
      <c r="A438" s="5">
        <f t="shared" si="97"/>
        <v>4.2999999999999527</v>
      </c>
      <c r="B438" s="5">
        <f t="shared" si="92"/>
        <v>157.54980784323712</v>
      </c>
      <c r="C438" s="6">
        <f t="shared" si="90"/>
        <v>6076.9211596677169</v>
      </c>
      <c r="D438" s="6">
        <f t="shared" si="98"/>
        <v>36928970.780817226</v>
      </c>
      <c r="E438" s="7">
        <f t="shared" si="99"/>
        <v>6248571.4285714282</v>
      </c>
      <c r="F438" s="7">
        <f t="shared" si="100"/>
        <v>124.97142857142855</v>
      </c>
      <c r="G438" s="7">
        <f t="shared" si="101"/>
        <v>30680399.352245796</v>
      </c>
      <c r="H438" s="6">
        <f t="shared" si="102"/>
        <v>5538.9890189677935</v>
      </c>
      <c r="I438" s="7">
        <f t="shared" si="103"/>
        <v>-4.3044409978274629</v>
      </c>
      <c r="J438" s="7">
        <f t="shared" si="104"/>
        <v>-92.948526806639904</v>
      </c>
      <c r="K438" s="8">
        <f t="shared" si="93"/>
        <v>166.02843848763069</v>
      </c>
      <c r="L438" s="8">
        <f t="shared" si="94"/>
        <v>-6.9731944164804887</v>
      </c>
      <c r="M438" s="8">
        <f t="shared" si="91"/>
        <v>150.57661342675664</v>
      </c>
      <c r="N438" s="8">
        <f t="shared" si="95"/>
        <v>25.000000000000011</v>
      </c>
      <c r="O438" s="8">
        <f t="shared" si="96"/>
        <v>26.15774858023893</v>
      </c>
    </row>
    <row r="439" spans="1:15" x14ac:dyDescent="0.3">
      <c r="A439" s="5">
        <f t="shared" si="97"/>
        <v>4.3099999999999525</v>
      </c>
      <c r="B439" s="5">
        <f t="shared" si="92"/>
        <v>157.50676343325884</v>
      </c>
      <c r="C439" s="6">
        <f t="shared" si="90"/>
        <v>6075.260875282841</v>
      </c>
      <c r="D439" s="6">
        <f t="shared" si="98"/>
        <v>36908794.702742428</v>
      </c>
      <c r="E439" s="7">
        <f t="shared" si="99"/>
        <v>6248571.4285714282</v>
      </c>
      <c r="F439" s="7">
        <f t="shared" si="100"/>
        <v>124.97142857142855</v>
      </c>
      <c r="G439" s="7">
        <f t="shared" si="101"/>
        <v>30660223.274170998</v>
      </c>
      <c r="H439" s="6">
        <f t="shared" si="102"/>
        <v>5537.1674414063909</v>
      </c>
      <c r="I439" s="7">
        <f t="shared" si="103"/>
        <v>-4.3057316382431994</v>
      </c>
      <c r="J439" s="7">
        <f t="shared" si="104"/>
        <v>-92.920665542780782</v>
      </c>
      <c r="K439" s="8">
        <f t="shared" si="93"/>
        <v>166.07822033223769</v>
      </c>
      <c r="L439" s="8">
        <f t="shared" si="94"/>
        <v>-6.9752852539539827</v>
      </c>
      <c r="M439" s="8">
        <f t="shared" si="91"/>
        <v>150.53147817930486</v>
      </c>
      <c r="N439" s="8">
        <f t="shared" si="95"/>
        <v>25.000000000000021</v>
      </c>
      <c r="O439" s="8">
        <f t="shared" si="96"/>
        <v>26.158442961286401</v>
      </c>
    </row>
    <row r="440" spans="1:15" x14ac:dyDescent="0.3">
      <c r="A440" s="5">
        <f t="shared" si="97"/>
        <v>4.3199999999999523</v>
      </c>
      <c r="B440" s="5">
        <f t="shared" si="92"/>
        <v>157.46370611687641</v>
      </c>
      <c r="C440" s="6">
        <f t="shared" si="90"/>
        <v>6073.600093079518</v>
      </c>
      <c r="D440" s="6">
        <f t="shared" si="98"/>
        <v>36888618.090655528</v>
      </c>
      <c r="E440" s="7">
        <f t="shared" si="99"/>
        <v>6248571.4285714282</v>
      </c>
      <c r="F440" s="7">
        <f t="shared" si="100"/>
        <v>124.97142857142855</v>
      </c>
      <c r="G440" s="7">
        <f t="shared" si="101"/>
        <v>30640046.662084099</v>
      </c>
      <c r="H440" s="6">
        <f t="shared" si="102"/>
        <v>5535.3452161616897</v>
      </c>
      <c r="I440" s="7">
        <f t="shared" si="103"/>
        <v>-4.3070234778518515</v>
      </c>
      <c r="J440" s="7">
        <f t="shared" si="104"/>
        <v>-92.892795112812607</v>
      </c>
      <c r="K440" s="8">
        <f t="shared" si="93"/>
        <v>166.12804843142854</v>
      </c>
      <c r="L440" s="8">
        <f t="shared" si="94"/>
        <v>-6.9773780341199982</v>
      </c>
      <c r="M440" s="8">
        <f t="shared" si="91"/>
        <v>150.48632808275642</v>
      </c>
      <c r="N440" s="8">
        <f t="shared" si="95"/>
        <v>25.000000000000004</v>
      </c>
      <c r="O440" s="8">
        <f t="shared" si="96"/>
        <v>26.159138195976674</v>
      </c>
    </row>
    <row r="441" spans="1:15" x14ac:dyDescent="0.3">
      <c r="A441" s="5">
        <f t="shared" si="97"/>
        <v>4.3299999999999521</v>
      </c>
      <c r="B441" s="5">
        <f t="shared" si="92"/>
        <v>157.42063588209788</v>
      </c>
      <c r="C441" s="6">
        <f t="shared" si="90"/>
        <v>6071.9388125952037</v>
      </c>
      <c r="D441" s="6">
        <f t="shared" si="98"/>
        <v>36868440.943900049</v>
      </c>
      <c r="E441" s="7">
        <f t="shared" si="99"/>
        <v>6248571.4285714282</v>
      </c>
      <c r="F441" s="7">
        <f t="shared" si="100"/>
        <v>124.97142857142855</v>
      </c>
      <c r="G441" s="7">
        <f t="shared" si="101"/>
        <v>30619869.51532862</v>
      </c>
      <c r="H441" s="6">
        <f t="shared" si="102"/>
        <v>5533.5223425345112</v>
      </c>
      <c r="I441" s="7">
        <f t="shared" si="103"/>
        <v>-4.3083165185469232</v>
      </c>
      <c r="J441" s="7">
        <f t="shared" si="104"/>
        <v>-92.864915507439434</v>
      </c>
      <c r="K441" s="8">
        <f t="shared" si="93"/>
        <v>166.17792285823845</v>
      </c>
      <c r="L441" s="8">
        <f t="shared" si="94"/>
        <v>-6.979472760046014</v>
      </c>
      <c r="M441" s="8">
        <f t="shared" si="91"/>
        <v>150.44116312205188</v>
      </c>
      <c r="N441" s="8">
        <f t="shared" si="95"/>
        <v>25.000000000000004</v>
      </c>
      <c r="O441" s="8">
        <f t="shared" si="96"/>
        <v>26.159834285910108</v>
      </c>
    </row>
    <row r="442" spans="1:15" x14ac:dyDescent="0.3">
      <c r="A442" s="5">
        <f t="shared" si="97"/>
        <v>4.3399999999999519</v>
      </c>
      <c r="B442" s="5">
        <f t="shared" si="92"/>
        <v>157.37755271691242</v>
      </c>
      <c r="C442" s="6">
        <f t="shared" si="90"/>
        <v>6070.2770333666213</v>
      </c>
      <c r="D442" s="6">
        <f t="shared" si="98"/>
        <v>36848263.261818267</v>
      </c>
      <c r="E442" s="7">
        <f t="shared" si="99"/>
        <v>6248571.4285714282</v>
      </c>
      <c r="F442" s="7">
        <f t="shared" si="100"/>
        <v>124.97142857142855</v>
      </c>
      <c r="G442" s="7">
        <f t="shared" si="101"/>
        <v>30599691.833246838</v>
      </c>
      <c r="H442" s="6">
        <f t="shared" si="102"/>
        <v>5531.6988198244162</v>
      </c>
      <c r="I442" s="7">
        <f t="shared" si="103"/>
        <v>-4.3096107622261499</v>
      </c>
      <c r="J442" s="7">
        <f t="shared" si="104"/>
        <v>-92.837026717349431</v>
      </c>
      <c r="K442" s="8">
        <f t="shared" si="93"/>
        <v>166.22784368586576</v>
      </c>
      <c r="L442" s="8">
        <f t="shared" si="94"/>
        <v>-6.9815694348063611</v>
      </c>
      <c r="M442" s="8">
        <f t="shared" si="91"/>
        <v>150.39598328210604</v>
      </c>
      <c r="N442" s="8">
        <f t="shared" si="95"/>
        <v>25.000000000000004</v>
      </c>
      <c r="O442" s="8">
        <f t="shared" si="96"/>
        <v>26.160531232691017</v>
      </c>
    </row>
    <row r="443" spans="1:15" x14ac:dyDescent="0.3">
      <c r="A443" s="5">
        <f t="shared" si="97"/>
        <v>4.3499999999999517</v>
      </c>
      <c r="B443" s="5">
        <f t="shared" si="92"/>
        <v>157.33445660929016</v>
      </c>
      <c r="C443" s="6">
        <f t="shared" si="90"/>
        <v>6068.614754929763</v>
      </c>
      <c r="D443" s="6">
        <f t="shared" si="98"/>
        <v>36828085.043751225</v>
      </c>
      <c r="E443" s="7">
        <f t="shared" si="99"/>
        <v>6248571.4285714282</v>
      </c>
      <c r="F443" s="7">
        <f t="shared" si="100"/>
        <v>124.97142857142855</v>
      </c>
      <c r="G443" s="7">
        <f t="shared" si="101"/>
        <v>30579513.615179796</v>
      </c>
      <c r="H443" s="6">
        <f t="shared" si="102"/>
        <v>5529.8746473297024</v>
      </c>
      <c r="I443" s="7">
        <f t="shared" si="103"/>
        <v>-4.3109062107915239</v>
      </c>
      <c r="J443" s="7">
        <f t="shared" si="104"/>
        <v>-92.809128733214763</v>
      </c>
      <c r="K443" s="8">
        <f t="shared" si="93"/>
        <v>166.27781098767306</v>
      </c>
      <c r="L443" s="8">
        <f t="shared" si="94"/>
        <v>-6.9836680614822679</v>
      </c>
      <c r="M443" s="8">
        <f t="shared" si="91"/>
        <v>150.35078854780789</v>
      </c>
      <c r="N443" s="8">
        <f t="shared" si="95"/>
        <v>25</v>
      </c>
      <c r="O443" s="8">
        <f t="shared" si="96"/>
        <v>26.1612290379278</v>
      </c>
    </row>
    <row r="444" spans="1:15" x14ac:dyDescent="0.3">
      <c r="A444" s="5">
        <f t="shared" si="97"/>
        <v>4.3599999999999515</v>
      </c>
      <c r="B444" s="5">
        <f t="shared" si="92"/>
        <v>157.29134754718226</v>
      </c>
      <c r="C444" s="6">
        <f t="shared" si="90"/>
        <v>6066.951976819887</v>
      </c>
      <c r="D444" s="6">
        <f t="shared" si="98"/>
        <v>36807906.289038733</v>
      </c>
      <c r="E444" s="7">
        <f t="shared" si="99"/>
        <v>6248571.4285714282</v>
      </c>
      <c r="F444" s="7">
        <f t="shared" si="100"/>
        <v>124.97142857142855</v>
      </c>
      <c r="G444" s="7">
        <f t="shared" si="101"/>
        <v>30559334.860467304</v>
      </c>
      <c r="H444" s="6">
        <f t="shared" si="102"/>
        <v>5528.0498243473985</v>
      </c>
      <c r="I444" s="7">
        <f t="shared" si="103"/>
        <v>-4.312202866149315</v>
      </c>
      <c r="J444" s="7">
        <f t="shared" si="104"/>
        <v>-92.781221545691608</v>
      </c>
      <c r="K444" s="8">
        <f t="shared" si="93"/>
        <v>166.32782483718785</v>
      </c>
      <c r="L444" s="8">
        <f t="shared" si="94"/>
        <v>-6.9857686431618893</v>
      </c>
      <c r="M444" s="8">
        <f t="shared" si="91"/>
        <v>150.30557890402036</v>
      </c>
      <c r="N444" s="8">
        <f t="shared" si="95"/>
        <v>25.000000000000014</v>
      </c>
      <c r="O444" s="8">
        <f t="shared" si="96"/>
        <v>26.161927703232966</v>
      </c>
    </row>
    <row r="445" spans="1:15" x14ac:dyDescent="0.3">
      <c r="A445" s="5">
        <f t="shared" si="97"/>
        <v>4.3699999999999513</v>
      </c>
      <c r="B445" s="5">
        <f t="shared" si="92"/>
        <v>157.24822551852077</v>
      </c>
      <c r="C445" s="6">
        <f t="shared" si="90"/>
        <v>6065.2886985715149</v>
      </c>
      <c r="D445" s="6">
        <f t="shared" si="98"/>
        <v>36787726.997019343</v>
      </c>
      <c r="E445" s="7">
        <f t="shared" si="99"/>
        <v>6248571.4285714282</v>
      </c>
      <c r="F445" s="7">
        <f t="shared" si="100"/>
        <v>124.97142857142855</v>
      </c>
      <c r="G445" s="7">
        <f t="shared" si="101"/>
        <v>30539155.568447914</v>
      </c>
      <c r="H445" s="6">
        <f t="shared" si="102"/>
        <v>5526.2243501732637</v>
      </c>
      <c r="I445" s="7">
        <f t="shared" si="103"/>
        <v>-4.313500730210059</v>
      </c>
      <c r="J445" s="7">
        <f t="shared" si="104"/>
        <v>-92.753305145420057</v>
      </c>
      <c r="K445" s="8">
        <f t="shared" si="93"/>
        <v>166.37788530810226</v>
      </c>
      <c r="L445" s="8">
        <f t="shared" si="94"/>
        <v>-6.9878711829402942</v>
      </c>
      <c r="M445" s="8">
        <f t="shared" si="91"/>
        <v>150.26035433558047</v>
      </c>
      <c r="N445" s="8">
        <f t="shared" si="95"/>
        <v>25.000000000000014</v>
      </c>
      <c r="O445" s="8">
        <f t="shared" si="96"/>
        <v>26.162627230223048</v>
      </c>
    </row>
    <row r="446" spans="1:15" x14ac:dyDescent="0.3">
      <c r="A446" s="5">
        <f t="shared" si="97"/>
        <v>4.379999999999951</v>
      </c>
      <c r="B446" s="5">
        <f t="shared" si="92"/>
        <v>157.20509051121866</v>
      </c>
      <c r="C446" s="6">
        <f t="shared" si="90"/>
        <v>6063.6249197184334</v>
      </c>
      <c r="D446" s="6">
        <f t="shared" si="98"/>
        <v>36767547.167030379</v>
      </c>
      <c r="E446" s="7">
        <f t="shared" si="99"/>
        <v>6248571.4285714282</v>
      </c>
      <c r="F446" s="7">
        <f t="shared" si="100"/>
        <v>124.97142857142855</v>
      </c>
      <c r="G446" s="7">
        <f t="shared" si="101"/>
        <v>30518975.73845895</v>
      </c>
      <c r="H446" s="6">
        <f t="shared" si="102"/>
        <v>5524.3982241017848</v>
      </c>
      <c r="I446" s="7">
        <f t="shared" si="103"/>
        <v>-4.3147998048885929</v>
      </c>
      <c r="J446" s="7">
        <f t="shared" si="104"/>
        <v>-92.725379523024159</v>
      </c>
      <c r="K446" s="8">
        <f t="shared" si="93"/>
        <v>166.42799247427428</v>
      </c>
      <c r="L446" s="8">
        <f t="shared" si="94"/>
        <v>-6.9899756839195186</v>
      </c>
      <c r="M446" s="8">
        <f t="shared" si="91"/>
        <v>150.21511482729915</v>
      </c>
      <c r="N446" s="8">
        <f t="shared" si="95"/>
        <v>24.999999999999989</v>
      </c>
      <c r="O446" s="8">
        <f t="shared" si="96"/>
        <v>26.163327620518707</v>
      </c>
    </row>
    <row r="447" spans="1:15" x14ac:dyDescent="0.3">
      <c r="A447" s="5">
        <f t="shared" si="97"/>
        <v>4.3899999999999508</v>
      </c>
      <c r="B447" s="5">
        <f t="shared" si="92"/>
        <v>157.16194251316978</v>
      </c>
      <c r="C447" s="6">
        <f t="shared" si="90"/>
        <v>6061.9606397936914</v>
      </c>
      <c r="D447" s="6">
        <f t="shared" si="98"/>
        <v>36747366.798407942</v>
      </c>
      <c r="E447" s="7">
        <f t="shared" si="99"/>
        <v>6248571.4285714282</v>
      </c>
      <c r="F447" s="7">
        <f t="shared" si="100"/>
        <v>124.97142857142855</v>
      </c>
      <c r="G447" s="7">
        <f t="shared" si="101"/>
        <v>30498795.369836513</v>
      </c>
      <c r="H447" s="6">
        <f t="shared" si="102"/>
        <v>5522.5714454261715</v>
      </c>
      <c r="I447" s="7">
        <f t="shared" si="103"/>
        <v>-4.3161000921040689</v>
      </c>
      <c r="J447" s="7">
        <f t="shared" si="104"/>
        <v>-92.697444669111874</v>
      </c>
      <c r="K447" s="8">
        <f t="shared" si="93"/>
        <v>166.47814640972837</v>
      </c>
      <c r="L447" s="8">
        <f t="shared" si="94"/>
        <v>-6.9920821492085903</v>
      </c>
      <c r="M447" s="8">
        <f t="shared" si="91"/>
        <v>150.16986036396119</v>
      </c>
      <c r="N447" s="8">
        <f t="shared" si="95"/>
        <v>24.999999999999996</v>
      </c>
      <c r="O447" s="8">
        <f t="shared" si="96"/>
        <v>26.164028875744794</v>
      </c>
    </row>
    <row r="448" spans="1:15" x14ac:dyDescent="0.3">
      <c r="A448" s="5">
        <f t="shared" si="97"/>
        <v>4.3999999999999506</v>
      </c>
      <c r="B448" s="5">
        <f t="shared" si="92"/>
        <v>157.11878151224875</v>
      </c>
      <c r="C448" s="6">
        <f t="shared" si="90"/>
        <v>6060.295858329594</v>
      </c>
      <c r="D448" s="6">
        <f t="shared" si="98"/>
        <v>36727185.890486829</v>
      </c>
      <c r="E448" s="7">
        <f t="shared" si="99"/>
        <v>6248571.4285714282</v>
      </c>
      <c r="F448" s="7">
        <f t="shared" si="100"/>
        <v>124.97142857142855</v>
      </c>
      <c r="G448" s="7">
        <f t="shared" si="101"/>
        <v>30478614.4619154</v>
      </c>
      <c r="H448" s="6">
        <f t="shared" si="102"/>
        <v>5520.7440134383514</v>
      </c>
      <c r="I448" s="7">
        <f t="shared" si="103"/>
        <v>-4.3174015937799481</v>
      </c>
      <c r="J448" s="7">
        <f t="shared" si="104"/>
        <v>-92.669500574274849</v>
      </c>
      <c r="K448" s="8">
        <f t="shared" si="93"/>
        <v>166.52834718865515</v>
      </c>
      <c r="L448" s="8">
        <f t="shared" si="94"/>
        <v>-6.9941905819235153</v>
      </c>
      <c r="M448" s="8">
        <f t="shared" si="91"/>
        <v>150.12459093032524</v>
      </c>
      <c r="N448" s="8">
        <f t="shared" si="95"/>
        <v>25.000000000000032</v>
      </c>
      <c r="O448" s="8">
        <f t="shared" si="96"/>
        <v>26.164730997530214</v>
      </c>
    </row>
    <row r="449" spans="1:15" x14ac:dyDescent="0.3">
      <c r="A449" s="5">
        <f t="shared" si="97"/>
        <v>4.4099999999999504</v>
      </c>
      <c r="B449" s="5">
        <f t="shared" si="92"/>
        <v>157.07560749631094</v>
      </c>
      <c r="C449" s="6">
        <f t="shared" si="90"/>
        <v>6058.630574857707</v>
      </c>
      <c r="D449" s="6">
        <f t="shared" si="98"/>
        <v>36707004.44260063</v>
      </c>
      <c r="E449" s="7">
        <f t="shared" si="99"/>
        <v>6248571.4285714282</v>
      </c>
      <c r="F449" s="7">
        <f t="shared" si="100"/>
        <v>124.97142857142855</v>
      </c>
      <c r="G449" s="7">
        <f t="shared" si="101"/>
        <v>30458433.014029201</v>
      </c>
      <c r="H449" s="6">
        <f t="shared" si="102"/>
        <v>5518.9159274289732</v>
      </c>
      <c r="I449" s="7">
        <f t="shared" si="103"/>
        <v>-4.3187043118440069</v>
      </c>
      <c r="J449" s="7">
        <f t="shared" si="104"/>
        <v>-92.641547229088687</v>
      </c>
      <c r="K449" s="8">
        <f t="shared" si="93"/>
        <v>166.57859488541169</v>
      </c>
      <c r="L449" s="8">
        <f t="shared" si="94"/>
        <v>-6.9963009851872906</v>
      </c>
      <c r="M449" s="8">
        <f t="shared" si="91"/>
        <v>150.07930651112363</v>
      </c>
      <c r="N449" s="8">
        <f t="shared" si="95"/>
        <v>24.999999999999993</v>
      </c>
      <c r="O449" s="8">
        <f t="shared" si="96"/>
        <v>26.165433987507917</v>
      </c>
    </row>
    <row r="450" spans="1:15" x14ac:dyDescent="0.3">
      <c r="A450" s="5">
        <f t="shared" si="97"/>
        <v>4.4199999999999502</v>
      </c>
      <c r="B450" s="5">
        <f t="shared" si="92"/>
        <v>157.03242045319249</v>
      </c>
      <c r="C450" s="6">
        <f t="shared" si="90"/>
        <v>6056.9647889088528</v>
      </c>
      <c r="D450" s="6">
        <f t="shared" si="98"/>
        <v>36686822.454081662</v>
      </c>
      <c r="E450" s="7">
        <f t="shared" si="99"/>
        <v>6248571.4285714282</v>
      </c>
      <c r="F450" s="7">
        <f t="shared" si="100"/>
        <v>124.97142857142855</v>
      </c>
      <c r="G450" s="7">
        <f t="shared" si="101"/>
        <v>30438251.025510233</v>
      </c>
      <c r="H450" s="6">
        <f t="shared" si="102"/>
        <v>5517.0871866873949</v>
      </c>
      <c r="I450" s="7">
        <f t="shared" si="103"/>
        <v>-4.3200082482284019</v>
      </c>
      <c r="J450" s="7">
        <f t="shared" si="104"/>
        <v>-92.613584624112661</v>
      </c>
      <c r="K450" s="8">
        <f t="shared" si="93"/>
        <v>166.62888957452407</v>
      </c>
      <c r="L450" s="8">
        <f t="shared" si="94"/>
        <v>-6.9984133621300098</v>
      </c>
      <c r="M450" s="8">
        <f t="shared" si="91"/>
        <v>150.03400709106248</v>
      </c>
      <c r="N450" s="8">
        <f t="shared" si="95"/>
        <v>25.000000000000011</v>
      </c>
      <c r="O450" s="8">
        <f t="shared" si="96"/>
        <v>26.166137847315245</v>
      </c>
    </row>
    <row r="451" spans="1:15" x14ac:dyDescent="0.3">
      <c r="A451" s="5">
        <f t="shared" si="97"/>
        <v>4.42999999999995</v>
      </c>
      <c r="B451" s="5">
        <f t="shared" si="92"/>
        <v>156.9892203707102</v>
      </c>
      <c r="C451" s="6">
        <f t="shared" si="90"/>
        <v>6055.2985000131075</v>
      </c>
      <c r="D451" s="6">
        <f t="shared" si="98"/>
        <v>36666639.924260989</v>
      </c>
      <c r="E451" s="7">
        <f t="shared" si="99"/>
        <v>6248571.4285714282</v>
      </c>
      <c r="F451" s="7">
        <f t="shared" si="100"/>
        <v>124.97142857142855</v>
      </c>
      <c r="G451" s="7">
        <f t="shared" si="101"/>
        <v>30418068.49568956</v>
      </c>
      <c r="H451" s="6">
        <f t="shared" si="102"/>
        <v>5515.2577905016879</v>
      </c>
      <c r="I451" s="7">
        <f t="shared" si="103"/>
        <v>-4.3213134048696142</v>
      </c>
      <c r="J451" s="7">
        <f t="shared" si="104"/>
        <v>-92.585612749889791</v>
      </c>
      <c r="K451" s="8">
        <f t="shared" si="93"/>
        <v>166.6792313306851</v>
      </c>
      <c r="L451" s="8">
        <f t="shared" si="94"/>
        <v>-7.0005277158887731</v>
      </c>
      <c r="M451" s="8">
        <f t="shared" si="91"/>
        <v>149.98869265482142</v>
      </c>
      <c r="N451" s="8">
        <f t="shared" si="95"/>
        <v>25.000000000000007</v>
      </c>
      <c r="O451" s="8">
        <f t="shared" si="96"/>
        <v>26.166842578593506</v>
      </c>
    </row>
    <row r="452" spans="1:15" x14ac:dyDescent="0.3">
      <c r="A452" s="5">
        <f t="shared" si="97"/>
        <v>4.4399999999999498</v>
      </c>
      <c r="B452" s="5">
        <f t="shared" si="92"/>
        <v>156.9460072366615</v>
      </c>
      <c r="C452" s="6">
        <f t="shared" si="90"/>
        <v>6053.6317076998002</v>
      </c>
      <c r="D452" s="6">
        <f t="shared" si="98"/>
        <v>36646456.852468401</v>
      </c>
      <c r="E452" s="7">
        <f t="shared" si="99"/>
        <v>6248571.4285714282</v>
      </c>
      <c r="F452" s="7">
        <f t="shared" si="100"/>
        <v>124.97142857142855</v>
      </c>
      <c r="G452" s="7">
        <f t="shared" si="101"/>
        <v>30397885.423896972</v>
      </c>
      <c r="H452" s="6">
        <f t="shared" si="102"/>
        <v>5513.4277381586289</v>
      </c>
      <c r="I452" s="7">
        <f t="shared" si="103"/>
        <v>-4.3226197837085047</v>
      </c>
      <c r="J452" s="7">
        <f t="shared" si="104"/>
        <v>-92.557631596946749</v>
      </c>
      <c r="K452" s="8">
        <f t="shared" si="93"/>
        <v>166.7296202287566</v>
      </c>
      <c r="L452" s="8">
        <f t="shared" si="94"/>
        <v>-7.0026440496077766</v>
      </c>
      <c r="M452" s="8">
        <f t="shared" si="91"/>
        <v>149.94336318705373</v>
      </c>
      <c r="N452" s="8">
        <f t="shared" si="95"/>
        <v>24.999999999999993</v>
      </c>
      <c r="O452" s="8">
        <f t="shared" si="96"/>
        <v>26.167548182988256</v>
      </c>
    </row>
    <row r="453" spans="1:15" x14ac:dyDescent="0.3">
      <c r="A453" s="5">
        <f t="shared" si="97"/>
        <v>4.4499999999999496</v>
      </c>
      <c r="B453" s="5">
        <f t="shared" si="92"/>
        <v>156.90278103882443</v>
      </c>
      <c r="C453" s="6">
        <f t="shared" si="90"/>
        <v>6051.9644114975135</v>
      </c>
      <c r="D453" s="6">
        <f t="shared" si="98"/>
        <v>36626273.238032445</v>
      </c>
      <c r="E453" s="7">
        <f t="shared" si="99"/>
        <v>6248571.4285714282</v>
      </c>
      <c r="F453" s="7">
        <f t="shared" si="100"/>
        <v>124.97142857142855</v>
      </c>
      <c r="G453" s="7">
        <f t="shared" si="101"/>
        <v>30377701.809461016</v>
      </c>
      <c r="H453" s="6">
        <f t="shared" si="102"/>
        <v>5511.5970289436991</v>
      </c>
      <c r="I453" s="7">
        <f t="shared" si="103"/>
        <v>-4.3239273866903316</v>
      </c>
      <c r="J453" s="7">
        <f t="shared" si="104"/>
        <v>-92.529641155793897</v>
      </c>
      <c r="K453" s="8">
        <f t="shared" si="93"/>
        <v>166.78005634376993</v>
      </c>
      <c r="L453" s="8">
        <f t="shared" si="94"/>
        <v>-7.0047623664383361</v>
      </c>
      <c r="M453" s="8">
        <f t="shared" si="91"/>
        <v>149.89801867238609</v>
      </c>
      <c r="N453" s="8">
        <f t="shared" si="95"/>
        <v>25.000000000000028</v>
      </c>
      <c r="O453" s="8">
        <f t="shared" si="96"/>
        <v>26.168254662149334</v>
      </c>
    </row>
    <row r="454" spans="1:15" x14ac:dyDescent="0.3">
      <c r="A454" s="5">
        <f t="shared" si="97"/>
        <v>4.4599999999999493</v>
      </c>
      <c r="B454" s="5">
        <f t="shared" si="92"/>
        <v>156.85954176495753</v>
      </c>
      <c r="C454" s="6">
        <f t="shared" si="90"/>
        <v>6050.2966109340759</v>
      </c>
      <c r="D454" s="6">
        <f t="shared" si="98"/>
        <v>36606089.080280364</v>
      </c>
      <c r="E454" s="7">
        <f t="shared" si="99"/>
        <v>6248571.4285714282</v>
      </c>
      <c r="F454" s="7">
        <f t="shared" si="100"/>
        <v>124.97142857142855</v>
      </c>
      <c r="G454" s="7">
        <f t="shared" si="101"/>
        <v>30357517.651708934</v>
      </c>
      <c r="H454" s="6">
        <f t="shared" si="102"/>
        <v>5509.7656621410797</v>
      </c>
      <c r="I454" s="7">
        <f t="shared" si="103"/>
        <v>-4.3252362157647166</v>
      </c>
      <c r="J454" s="7">
        <f t="shared" si="104"/>
        <v>-92.501641416925139</v>
      </c>
      <c r="K454" s="8">
        <f t="shared" si="93"/>
        <v>166.83053975092477</v>
      </c>
      <c r="L454" s="8">
        <f t="shared" si="94"/>
        <v>-7.0068826695388395</v>
      </c>
      <c r="M454" s="8">
        <f t="shared" si="91"/>
        <v>149.85265909541869</v>
      </c>
      <c r="N454" s="8">
        <f t="shared" si="95"/>
        <v>25.000000000000025</v>
      </c>
      <c r="O454" s="8">
        <f t="shared" si="96"/>
        <v>26.168962017730593</v>
      </c>
    </row>
    <row r="455" spans="1:15" x14ac:dyDescent="0.3">
      <c r="A455" s="5">
        <f t="shared" si="97"/>
        <v>4.4699999999999491</v>
      </c>
      <c r="B455" s="5">
        <f t="shared" si="92"/>
        <v>156.81628940279987</v>
      </c>
      <c r="C455" s="6">
        <f t="shared" si="90"/>
        <v>6048.6283055365657</v>
      </c>
      <c r="D455" s="6">
        <f t="shared" si="98"/>
        <v>36585904.378538147</v>
      </c>
      <c r="E455" s="7">
        <f t="shared" si="99"/>
        <v>6248571.4285714282</v>
      </c>
      <c r="F455" s="7">
        <f t="shared" si="100"/>
        <v>124.97142857142855</v>
      </c>
      <c r="G455" s="7">
        <f t="shared" si="101"/>
        <v>30337332.949966718</v>
      </c>
      <c r="H455" s="6">
        <f t="shared" si="102"/>
        <v>5507.9336370336487</v>
      </c>
      <c r="I455" s="7">
        <f t="shared" si="103"/>
        <v>-4.3265462728857109</v>
      </c>
      <c r="J455" s="7">
        <f t="shared" si="104"/>
        <v>-92.47363237081791</v>
      </c>
      <c r="K455" s="8">
        <f t="shared" si="93"/>
        <v>166.8810705255917</v>
      </c>
      <c r="L455" s="8">
        <f t="shared" si="94"/>
        <v>-7.0090049620748509</v>
      </c>
      <c r="M455" s="8">
        <f t="shared" si="91"/>
        <v>149.80728444072503</v>
      </c>
      <c r="N455" s="8">
        <f t="shared" si="95"/>
        <v>25.000000000000007</v>
      </c>
      <c r="O455" s="8">
        <f t="shared" si="96"/>
        <v>26.16967025139024</v>
      </c>
    </row>
    <row r="456" spans="1:15" x14ac:dyDescent="0.3">
      <c r="A456" s="5">
        <f t="shared" si="97"/>
        <v>4.4799999999999489</v>
      </c>
      <c r="B456" s="5">
        <f t="shared" si="92"/>
        <v>156.773023940071</v>
      </c>
      <c r="C456" s="6">
        <f t="shared" ref="C456:C519" si="105">$B$1*B456</f>
        <v>6046.9594948313097</v>
      </c>
      <c r="D456" s="6">
        <f t="shared" si="98"/>
        <v>36565719.132130526</v>
      </c>
      <c r="E456" s="7">
        <f t="shared" si="99"/>
        <v>6248571.4285714282</v>
      </c>
      <c r="F456" s="7">
        <f t="shared" si="100"/>
        <v>124.97142857142855</v>
      </c>
      <c r="G456" s="7">
        <f t="shared" si="101"/>
        <v>30317147.703559097</v>
      </c>
      <c r="H456" s="6">
        <f t="shared" si="102"/>
        <v>5506.1009529029798</v>
      </c>
      <c r="I456" s="7">
        <f t="shared" si="103"/>
        <v>-4.3278575600117861</v>
      </c>
      <c r="J456" s="7">
        <f t="shared" si="104"/>
        <v>-92.445614007933287</v>
      </c>
      <c r="K456" s="8">
        <f t="shared" si="93"/>
        <v>166.93164874331174</v>
      </c>
      <c r="L456" s="8">
        <f t="shared" si="94"/>
        <v>-7.0111292472190927</v>
      </c>
      <c r="M456" s="8">
        <f t="shared" ref="M456:M519" si="106">B456+L456</f>
        <v>149.76189469285191</v>
      </c>
      <c r="N456" s="8">
        <f t="shared" si="95"/>
        <v>24.999999999999996</v>
      </c>
      <c r="O456" s="8">
        <f t="shared" si="96"/>
        <v>26.170379364790733</v>
      </c>
    </row>
    <row r="457" spans="1:15" x14ac:dyDescent="0.3">
      <c r="A457" s="5">
        <f t="shared" si="97"/>
        <v>4.4899999999999487</v>
      </c>
      <c r="B457" s="5">
        <f t="shared" ref="B457:B520" si="107">I456*$B$5+B456</f>
        <v>156.72974536447089</v>
      </c>
      <c r="C457" s="6">
        <f t="shared" si="105"/>
        <v>6045.2901783438765</v>
      </c>
      <c r="D457" s="6">
        <f t="shared" si="98"/>
        <v>36545533.340380937</v>
      </c>
      <c r="E457" s="7">
        <f t="shared" si="99"/>
        <v>6248571.4285714282</v>
      </c>
      <c r="F457" s="7">
        <f t="shared" si="100"/>
        <v>124.97142857142855</v>
      </c>
      <c r="G457" s="7">
        <f t="shared" si="101"/>
        <v>30296961.911809508</v>
      </c>
      <c r="H457" s="6">
        <f t="shared" si="102"/>
        <v>5504.2676090293344</v>
      </c>
      <c r="I457" s="7">
        <f t="shared" si="103"/>
        <v>-4.3291700791058476</v>
      </c>
      <c r="J457" s="7">
        <f t="shared" si="104"/>
        <v>-92.417586318715692</v>
      </c>
      <c r="K457" s="8">
        <f t="shared" ref="K457:K520" si="108">-$B$1*I457</f>
        <v>166.98227447979698</v>
      </c>
      <c r="L457" s="8">
        <f t="shared" ref="L457:L520" si="109">-$B$2*K457</f>
        <v>-7.0132555281514728</v>
      </c>
      <c r="M457" s="8">
        <f t="shared" si="106"/>
        <v>149.71648983631943</v>
      </c>
      <c r="N457" s="8">
        <f t="shared" ref="N457:N520" si="110">K457*M457/1000</f>
        <v>25.000000000000025</v>
      </c>
      <c r="O457" s="8">
        <f t="shared" ref="O457:O520" si="111">B457*K457/1000</f>
        <v>26.171089359598767</v>
      </c>
    </row>
    <row r="458" spans="1:15" x14ac:dyDescent="0.3">
      <c r="A458" s="5">
        <f t="shared" ref="A458:A521" si="112">A457+$B$5</f>
        <v>4.4999999999999485</v>
      </c>
      <c r="B458" s="5">
        <f t="shared" si="107"/>
        <v>156.68645366367983</v>
      </c>
      <c r="C458" s="6">
        <f t="shared" si="105"/>
        <v>6043.6203555990787</v>
      </c>
      <c r="D458" s="6">
        <f t="shared" ref="D458:D521" si="113">POWER(C458,2)</f>
        <v>36525347.002611533</v>
      </c>
      <c r="E458" s="7">
        <f t="shared" ref="E458:E521" si="114">4*$B$2*$B$3*POWER($B$1,2)</f>
        <v>6248571.4285714282</v>
      </c>
      <c r="F458" s="7">
        <f t="shared" ref="F458:F521" si="115">POWER($B$1,2)*2*$B$2</f>
        <v>124.97142857142855</v>
      </c>
      <c r="G458" s="7">
        <f t="shared" ref="G458:G521" si="116">D458-E458</f>
        <v>30276775.574040104</v>
      </c>
      <c r="H458" s="6">
        <f t="shared" ref="H458:H521" si="117">SQRT(G458)</f>
        <v>5502.4336046916642</v>
      </c>
      <c r="I458" s="7">
        <f t="shared" ref="I458:I521" si="118">(-C458+H458)/F458</f>
        <v>-4.3304838321352337</v>
      </c>
      <c r="J458" s="7">
        <f t="shared" ref="J458:J521" si="119">(-C458-H458)/F458</f>
        <v>-92.389549293593063</v>
      </c>
      <c r="K458" s="8">
        <f t="shared" si="108"/>
        <v>167.03294781093044</v>
      </c>
      <c r="L458" s="8">
        <f t="shared" si="109"/>
        <v>-7.0153838080590774</v>
      </c>
      <c r="M458" s="8">
        <f t="shared" si="106"/>
        <v>149.67106985562074</v>
      </c>
      <c r="N458" s="8">
        <f t="shared" si="110"/>
        <v>25.000000000000021</v>
      </c>
      <c r="O458" s="8">
        <f t="shared" si="111"/>
        <v>26.171800237485204</v>
      </c>
    </row>
    <row r="459" spans="1:15" x14ac:dyDescent="0.3">
      <c r="A459" s="5">
        <f t="shared" si="112"/>
        <v>4.5099999999999483</v>
      </c>
      <c r="B459" s="5">
        <f t="shared" si="107"/>
        <v>156.64314882535848</v>
      </c>
      <c r="C459" s="6">
        <f t="shared" si="105"/>
        <v>6041.9500261209696</v>
      </c>
      <c r="D459" s="6">
        <f t="shared" si="113"/>
        <v>36505160.118143186</v>
      </c>
      <c r="E459" s="7">
        <f t="shared" si="114"/>
        <v>6248571.4285714282</v>
      </c>
      <c r="F459" s="7">
        <f t="shared" si="115"/>
        <v>124.97142857142855</v>
      </c>
      <c r="G459" s="7">
        <f t="shared" si="116"/>
        <v>30256588.689571757</v>
      </c>
      <c r="H459" s="6">
        <f t="shared" si="117"/>
        <v>5500.598939167603</v>
      </c>
      <c r="I459" s="7">
        <f t="shared" si="118"/>
        <v>-4.3317988210717502</v>
      </c>
      <c r="J459" s="7">
        <f t="shared" si="119"/>
        <v>-92.361502922976712</v>
      </c>
      <c r="K459" s="8">
        <f t="shared" si="108"/>
        <v>167.08366881276748</v>
      </c>
      <c r="L459" s="8">
        <f t="shared" si="109"/>
        <v>-7.0175140901362338</v>
      </c>
      <c r="M459" s="8">
        <f t="shared" si="106"/>
        <v>149.62563473522223</v>
      </c>
      <c r="N459" s="8">
        <f t="shared" si="110"/>
        <v>24.999999999999989</v>
      </c>
      <c r="O459" s="8">
        <f t="shared" si="111"/>
        <v>26.172512000125245</v>
      </c>
    </row>
    <row r="460" spans="1:15" x14ac:dyDescent="0.3">
      <c r="A460" s="5">
        <f t="shared" si="112"/>
        <v>4.5199999999999481</v>
      </c>
      <c r="B460" s="5">
        <f t="shared" si="107"/>
        <v>156.59983083714775</v>
      </c>
      <c r="C460" s="6">
        <f t="shared" si="105"/>
        <v>6040.2791894328411</v>
      </c>
      <c r="D460" s="6">
        <f t="shared" si="113"/>
        <v>36484972.686295457</v>
      </c>
      <c r="E460" s="7">
        <f t="shared" si="114"/>
        <v>6248571.4285714282</v>
      </c>
      <c r="F460" s="7">
        <f t="shared" si="115"/>
        <v>124.97142857142855</v>
      </c>
      <c r="G460" s="7">
        <f t="shared" si="116"/>
        <v>30236401.257724028</v>
      </c>
      <c r="H460" s="6">
        <f t="shared" si="117"/>
        <v>5498.7636117334623</v>
      </c>
      <c r="I460" s="7">
        <f t="shared" si="118"/>
        <v>-4.3331150478916927</v>
      </c>
      <c r="J460" s="7">
        <f t="shared" si="119"/>
        <v>-92.333447197261236</v>
      </c>
      <c r="K460" s="8">
        <f t="shared" si="108"/>
        <v>167.13443756153671</v>
      </c>
      <c r="L460" s="8">
        <f t="shared" si="109"/>
        <v>-7.0196463775845412</v>
      </c>
      <c r="M460" s="8">
        <f t="shared" si="106"/>
        <v>149.58018445956321</v>
      </c>
      <c r="N460" s="8">
        <f t="shared" si="110"/>
        <v>25.000000000000011</v>
      </c>
      <c r="O460" s="8">
        <f t="shared" si="111"/>
        <v>26.173224649198481</v>
      </c>
    </row>
    <row r="461" spans="1:15" x14ac:dyDescent="0.3">
      <c r="A461" s="5">
        <f t="shared" si="112"/>
        <v>4.5299999999999478</v>
      </c>
      <c r="B461" s="5">
        <f t="shared" si="107"/>
        <v>156.55649968666884</v>
      </c>
      <c r="C461" s="6">
        <f t="shared" si="105"/>
        <v>6038.6078450572268</v>
      </c>
      <c r="D461" s="6">
        <f t="shared" si="113"/>
        <v>36464784.706386685</v>
      </c>
      <c r="E461" s="7">
        <f t="shared" si="114"/>
        <v>6248571.4285714282</v>
      </c>
      <c r="F461" s="7">
        <f t="shared" si="115"/>
        <v>124.97142857142855</v>
      </c>
      <c r="G461" s="7">
        <f t="shared" si="116"/>
        <v>30216213.277815256</v>
      </c>
      <c r="H461" s="6">
        <f t="shared" si="117"/>
        <v>5496.9276216642384</v>
      </c>
      <c r="I461" s="7">
        <f t="shared" si="118"/>
        <v>-4.3344325145758109</v>
      </c>
      <c r="J461" s="7">
        <f t="shared" si="119"/>
        <v>-92.305382106824723</v>
      </c>
      <c r="K461" s="8">
        <f t="shared" si="108"/>
        <v>167.18525413363841</v>
      </c>
      <c r="L461" s="8">
        <f t="shared" si="109"/>
        <v>-7.0217806736128123</v>
      </c>
      <c r="M461" s="8">
        <f t="shared" si="106"/>
        <v>149.53471901305602</v>
      </c>
      <c r="N461" s="8">
        <f t="shared" si="110"/>
        <v>24.999999999999982</v>
      </c>
      <c r="O461" s="8">
        <f t="shared" si="111"/>
        <v>26.173938186388611</v>
      </c>
    </row>
    <row r="462" spans="1:15" x14ac:dyDescent="0.3">
      <c r="A462" s="5">
        <f t="shared" si="112"/>
        <v>4.5399999999999476</v>
      </c>
      <c r="B462" s="5">
        <f t="shared" si="107"/>
        <v>156.51315536152308</v>
      </c>
      <c r="C462" s="6">
        <f t="shared" si="105"/>
        <v>6036.9359925158897</v>
      </c>
      <c r="D462" s="6">
        <f t="shared" si="113"/>
        <v>36444596.177733809</v>
      </c>
      <c r="E462" s="7">
        <f t="shared" si="114"/>
        <v>6248571.4285714282</v>
      </c>
      <c r="F462" s="7">
        <f t="shared" si="115"/>
        <v>124.97142857142855</v>
      </c>
      <c r="G462" s="7">
        <f t="shared" si="116"/>
        <v>30196024.74916238</v>
      </c>
      <c r="H462" s="6">
        <f t="shared" si="117"/>
        <v>5495.0909682335905</v>
      </c>
      <c r="I462" s="7">
        <f t="shared" si="118"/>
        <v>-4.3357512231093907</v>
      </c>
      <c r="J462" s="7">
        <f t="shared" si="119"/>
        <v>-92.277307642028333</v>
      </c>
      <c r="K462" s="8">
        <f t="shared" si="108"/>
        <v>167.2361186056479</v>
      </c>
      <c r="L462" s="8">
        <f t="shared" si="109"/>
        <v>-7.0239169814372113</v>
      </c>
      <c r="M462" s="8">
        <f t="shared" si="106"/>
        <v>149.48923838008585</v>
      </c>
      <c r="N462" s="8">
        <f t="shared" si="110"/>
        <v>25.000000000000011</v>
      </c>
      <c r="O462" s="8">
        <f t="shared" si="111"/>
        <v>26.17465261338387</v>
      </c>
    </row>
    <row r="463" spans="1:15" x14ac:dyDescent="0.3">
      <c r="A463" s="5">
        <f t="shared" si="112"/>
        <v>4.5499999999999474</v>
      </c>
      <c r="B463" s="5">
        <f t="shared" si="107"/>
        <v>156.46979784929198</v>
      </c>
      <c r="C463" s="6">
        <f t="shared" si="105"/>
        <v>6035.2636313298335</v>
      </c>
      <c r="D463" s="6">
        <f t="shared" si="113"/>
        <v>36424407.099652566</v>
      </c>
      <c r="E463" s="7">
        <f t="shared" si="114"/>
        <v>6248571.4285714282</v>
      </c>
      <c r="F463" s="7">
        <f t="shared" si="115"/>
        <v>124.97142857142855</v>
      </c>
      <c r="G463" s="7">
        <f t="shared" si="116"/>
        <v>30175835.671081137</v>
      </c>
      <c r="H463" s="6">
        <f t="shared" si="117"/>
        <v>5493.2536507138584</v>
      </c>
      <c r="I463" s="7">
        <f t="shared" si="118"/>
        <v>-4.3370711754821976</v>
      </c>
      <c r="J463" s="7">
        <f t="shared" si="119"/>
        <v>-92.249223793216586</v>
      </c>
      <c r="K463" s="8">
        <f t="shared" si="108"/>
        <v>167.28703105431333</v>
      </c>
      <c r="L463" s="8">
        <f t="shared" si="109"/>
        <v>-7.0260553042811589</v>
      </c>
      <c r="M463" s="8">
        <f t="shared" si="106"/>
        <v>149.44374254501082</v>
      </c>
      <c r="N463" s="8">
        <f t="shared" si="110"/>
        <v>25.000000000000032</v>
      </c>
      <c r="O463" s="8">
        <f t="shared" si="111"/>
        <v>26.175367931876636</v>
      </c>
    </row>
    <row r="464" spans="1:15" x14ac:dyDescent="0.3">
      <c r="A464" s="5">
        <f t="shared" si="112"/>
        <v>4.5599999999999472</v>
      </c>
      <c r="B464" s="5">
        <f t="shared" si="107"/>
        <v>156.42642713753716</v>
      </c>
      <c r="C464" s="6">
        <f t="shared" si="105"/>
        <v>6033.5907610192899</v>
      </c>
      <c r="D464" s="6">
        <f t="shared" si="113"/>
        <v>36404217.471457332</v>
      </c>
      <c r="E464" s="7">
        <f t="shared" si="114"/>
        <v>6248571.4285714282</v>
      </c>
      <c r="F464" s="7">
        <f t="shared" si="115"/>
        <v>124.97142857142855</v>
      </c>
      <c r="G464" s="7">
        <f t="shared" si="116"/>
        <v>30155646.042885903</v>
      </c>
      <c r="H464" s="6">
        <f t="shared" si="117"/>
        <v>5491.415668376043</v>
      </c>
      <c r="I464" s="7">
        <f t="shared" si="118"/>
        <v>-4.3383923736885333</v>
      </c>
      <c r="J464" s="7">
        <f t="shared" si="119"/>
        <v>-92.221130550717135</v>
      </c>
      <c r="K464" s="8">
        <f t="shared" si="108"/>
        <v>167.33799155655771</v>
      </c>
      <c r="L464" s="8">
        <f t="shared" si="109"/>
        <v>-7.0281956453754235</v>
      </c>
      <c r="M464" s="8">
        <f t="shared" si="106"/>
        <v>149.39823149216173</v>
      </c>
      <c r="N464" s="8">
        <f t="shared" si="110"/>
        <v>25.000000000000014</v>
      </c>
      <c r="O464" s="8">
        <f t="shared" si="111"/>
        <v>26.176084143563681</v>
      </c>
    </row>
    <row r="465" spans="1:15" x14ac:dyDescent="0.3">
      <c r="A465" s="5">
        <f t="shared" si="112"/>
        <v>4.569999999999947</v>
      </c>
      <c r="B465" s="5">
        <f t="shared" si="107"/>
        <v>156.38304321380028</v>
      </c>
      <c r="C465" s="6">
        <f t="shared" si="105"/>
        <v>6031.9173811037244</v>
      </c>
      <c r="D465" s="6">
        <f t="shared" si="113"/>
        <v>36384027.292461216</v>
      </c>
      <c r="E465" s="7">
        <f t="shared" si="114"/>
        <v>6248571.4285714282</v>
      </c>
      <c r="F465" s="7">
        <f t="shared" si="115"/>
        <v>124.97142857142855</v>
      </c>
      <c r="G465" s="7">
        <f t="shared" si="116"/>
        <v>30135455.863889787</v>
      </c>
      <c r="H465" s="6">
        <f t="shared" si="117"/>
        <v>5489.5770204898108</v>
      </c>
      <c r="I465" s="7">
        <f t="shared" si="118"/>
        <v>-4.3397148197272477</v>
      </c>
      <c r="J465" s="7">
        <f t="shared" si="119"/>
        <v>-92.193027904840847</v>
      </c>
      <c r="K465" s="8">
        <f t="shared" si="108"/>
        <v>167.38900018947953</v>
      </c>
      <c r="L465" s="8">
        <f t="shared" si="109"/>
        <v>-7.0303380079581395</v>
      </c>
      <c r="M465" s="8">
        <f t="shared" si="106"/>
        <v>149.35270520584214</v>
      </c>
      <c r="N465" s="8">
        <f t="shared" si="110"/>
        <v>24.999999999999993</v>
      </c>
      <c r="O465" s="8">
        <f t="shared" si="111"/>
        <v>26.176801250146198</v>
      </c>
    </row>
    <row r="466" spans="1:15" x14ac:dyDescent="0.3">
      <c r="A466" s="5">
        <f t="shared" si="112"/>
        <v>4.5799999999999468</v>
      </c>
      <c r="B466" s="5">
        <f t="shared" si="107"/>
        <v>156.33964606560301</v>
      </c>
      <c r="C466" s="6">
        <f t="shared" si="105"/>
        <v>6030.2434911018299</v>
      </c>
      <c r="D466" s="6">
        <f t="shared" si="113"/>
        <v>36363836.561975986</v>
      </c>
      <c r="E466" s="7">
        <f t="shared" si="114"/>
        <v>6248571.4285714282</v>
      </c>
      <c r="F466" s="7">
        <f t="shared" si="115"/>
        <v>124.97142857142855</v>
      </c>
      <c r="G466" s="7">
        <f t="shared" si="116"/>
        <v>30115265.133404557</v>
      </c>
      <c r="H466" s="6">
        <f t="shared" si="117"/>
        <v>5487.7377063234862</v>
      </c>
      <c r="I466" s="7">
        <f t="shared" si="118"/>
        <v>-4.3410385156017455</v>
      </c>
      <c r="J466" s="7">
        <f t="shared" si="119"/>
        <v>-92.164915845881609</v>
      </c>
      <c r="K466" s="8">
        <f t="shared" si="108"/>
        <v>167.44005703035302</v>
      </c>
      <c r="L466" s="8">
        <f t="shared" si="109"/>
        <v>-7.0324823952748261</v>
      </c>
      <c r="M466" s="8">
        <f t="shared" si="106"/>
        <v>149.30716367032818</v>
      </c>
      <c r="N466" s="8">
        <f t="shared" si="110"/>
        <v>25.000000000000004</v>
      </c>
      <c r="O466" s="8">
        <f t="shared" si="111"/>
        <v>26.177519253329773</v>
      </c>
    </row>
    <row r="467" spans="1:15" x14ac:dyDescent="0.3">
      <c r="A467" s="5">
        <f t="shared" si="112"/>
        <v>4.5899999999999466</v>
      </c>
      <c r="B467" s="5">
        <f t="shared" si="107"/>
        <v>156.29623568044698</v>
      </c>
      <c r="C467" s="6">
        <f t="shared" si="105"/>
        <v>6028.5690905315259</v>
      </c>
      <c r="D467" s="6">
        <f t="shared" si="113"/>
        <v>36343645.279312111</v>
      </c>
      <c r="E467" s="7">
        <f t="shared" si="114"/>
        <v>6248571.4285714282</v>
      </c>
      <c r="F467" s="7">
        <f t="shared" si="115"/>
        <v>124.97142857142855</v>
      </c>
      <c r="G467" s="7">
        <f t="shared" si="116"/>
        <v>30095073.850740682</v>
      </c>
      <c r="H467" s="6">
        <f t="shared" si="117"/>
        <v>5485.8977251440519</v>
      </c>
      <c r="I467" s="7">
        <f t="shared" si="118"/>
        <v>-4.3423634633199804</v>
      </c>
      <c r="J467" s="7">
        <f t="shared" si="119"/>
        <v>-92.13679436411644</v>
      </c>
      <c r="K467" s="8">
        <f t="shared" si="108"/>
        <v>167.49116215662781</v>
      </c>
      <c r="L467" s="8">
        <f t="shared" si="109"/>
        <v>-7.0346288105783676</v>
      </c>
      <c r="M467" s="8">
        <f t="shared" si="106"/>
        <v>149.26160686986861</v>
      </c>
      <c r="N467" s="8">
        <f t="shared" si="110"/>
        <v>24.999999999999996</v>
      </c>
      <c r="O467" s="8">
        <f t="shared" si="111"/>
        <v>26.178238154824264</v>
      </c>
    </row>
    <row r="468" spans="1:15" x14ac:dyDescent="0.3">
      <c r="A468" s="5">
        <f t="shared" si="112"/>
        <v>4.5999999999999464</v>
      </c>
      <c r="B468" s="5">
        <f t="shared" si="107"/>
        <v>156.25281204581378</v>
      </c>
      <c r="C468" s="6">
        <f t="shared" si="105"/>
        <v>6026.8941789099599</v>
      </c>
      <c r="D468" s="6">
        <f t="shared" si="113"/>
        <v>36323453.443778761</v>
      </c>
      <c r="E468" s="7">
        <f t="shared" si="114"/>
        <v>6248571.4285714282</v>
      </c>
      <c r="F468" s="7">
        <f t="shared" si="115"/>
        <v>124.97142857142855</v>
      </c>
      <c r="G468" s="7">
        <f t="shared" si="116"/>
        <v>30074882.015207332</v>
      </c>
      <c r="H468" s="6">
        <f t="shared" si="117"/>
        <v>5484.0570762171437</v>
      </c>
      <c r="I468" s="7">
        <f t="shared" si="118"/>
        <v>-4.343689664894506</v>
      </c>
      <c r="J468" s="7">
        <f t="shared" si="119"/>
        <v>-92.108663449805377</v>
      </c>
      <c r="K468" s="8">
        <f t="shared" si="108"/>
        <v>167.54231564593093</v>
      </c>
      <c r="L468" s="8">
        <f t="shared" si="109"/>
        <v>-7.0367772571290983</v>
      </c>
      <c r="M468" s="8">
        <f t="shared" si="106"/>
        <v>149.21603478868468</v>
      </c>
      <c r="N468" s="8">
        <f t="shared" si="110"/>
        <v>25.000000000000018</v>
      </c>
      <c r="O468" s="8">
        <f t="shared" si="111"/>
        <v>26.17895795634405</v>
      </c>
    </row>
    <row r="469" spans="1:15" x14ac:dyDescent="0.3">
      <c r="A469" s="5">
        <f t="shared" si="112"/>
        <v>4.6099999999999461</v>
      </c>
      <c r="B469" s="5">
        <f t="shared" si="107"/>
        <v>156.20937514916483</v>
      </c>
      <c r="C469" s="6">
        <f t="shared" si="105"/>
        <v>6025.2187557534999</v>
      </c>
      <c r="D469" s="6">
        <f t="shared" si="113"/>
        <v>36303261.054683752</v>
      </c>
      <c r="E469" s="7">
        <f t="shared" si="114"/>
        <v>6248571.4285714282</v>
      </c>
      <c r="F469" s="7">
        <f t="shared" si="115"/>
        <v>124.97142857142855</v>
      </c>
      <c r="G469" s="7">
        <f t="shared" si="116"/>
        <v>30054689.626112323</v>
      </c>
      <c r="H469" s="6">
        <f t="shared" si="117"/>
        <v>5482.2157588070468</v>
      </c>
      <c r="I469" s="7">
        <f t="shared" si="118"/>
        <v>-4.3450171223424467</v>
      </c>
      <c r="J469" s="7">
        <f t="shared" si="119"/>
        <v>-92.080523093191417</v>
      </c>
      <c r="K469" s="8">
        <f t="shared" si="108"/>
        <v>167.59351757606581</v>
      </c>
      <c r="L469" s="8">
        <f t="shared" si="109"/>
        <v>-7.0389277381947633</v>
      </c>
      <c r="M469" s="8">
        <f t="shared" si="106"/>
        <v>149.17044741097007</v>
      </c>
      <c r="N469" s="8">
        <f t="shared" si="110"/>
        <v>25.000000000000011</v>
      </c>
      <c r="O469" s="8">
        <f t="shared" si="111"/>
        <v>26.179678659607813</v>
      </c>
    </row>
    <row r="470" spans="1:15" x14ac:dyDescent="0.3">
      <c r="A470" s="5">
        <f t="shared" si="112"/>
        <v>4.6199999999999459</v>
      </c>
      <c r="B470" s="5">
        <f t="shared" si="107"/>
        <v>156.16592497794142</v>
      </c>
      <c r="C470" s="6">
        <f t="shared" si="105"/>
        <v>6023.5428205777398</v>
      </c>
      <c r="D470" s="6">
        <f t="shared" si="113"/>
        <v>36283068.111333631</v>
      </c>
      <c r="E470" s="7">
        <f t="shared" si="114"/>
        <v>6248571.4285714282</v>
      </c>
      <c r="F470" s="7">
        <f t="shared" si="115"/>
        <v>124.97142857142855</v>
      </c>
      <c r="G470" s="7">
        <f t="shared" si="116"/>
        <v>30034496.682762202</v>
      </c>
      <c r="H470" s="6">
        <f t="shared" si="117"/>
        <v>5480.3737721766938</v>
      </c>
      <c r="I470" s="7">
        <f t="shared" si="118"/>
        <v>-4.3463458376855542</v>
      </c>
      <c r="J470" s="7">
        <f t="shared" si="119"/>
        <v>-92.052373284500518</v>
      </c>
      <c r="K470" s="8">
        <f t="shared" si="108"/>
        <v>167.64476802501423</v>
      </c>
      <c r="L470" s="8">
        <f t="shared" si="109"/>
        <v>-7.0410802570505968</v>
      </c>
      <c r="M470" s="8">
        <f t="shared" si="106"/>
        <v>149.12484472089082</v>
      </c>
      <c r="N470" s="8">
        <f t="shared" si="110"/>
        <v>25.000000000000011</v>
      </c>
      <c r="O470" s="8">
        <f t="shared" si="111"/>
        <v>26.180400266338765</v>
      </c>
    </row>
    <row r="471" spans="1:15" x14ac:dyDescent="0.3">
      <c r="A471" s="5">
        <f t="shared" si="112"/>
        <v>4.6299999999999457</v>
      </c>
      <c r="B471" s="5">
        <f t="shared" si="107"/>
        <v>156.12246151956455</v>
      </c>
      <c r="C471" s="6">
        <f t="shared" si="105"/>
        <v>6021.8663728974898</v>
      </c>
      <c r="D471" s="6">
        <f t="shared" si="113"/>
        <v>36262874.61303357</v>
      </c>
      <c r="E471" s="7">
        <f t="shared" si="114"/>
        <v>6248571.4285714282</v>
      </c>
      <c r="F471" s="7">
        <f t="shared" si="115"/>
        <v>124.97142857142855</v>
      </c>
      <c r="G471" s="7">
        <f t="shared" si="116"/>
        <v>30014303.184462141</v>
      </c>
      <c r="H471" s="6">
        <f t="shared" si="117"/>
        <v>5478.531115587657</v>
      </c>
      <c r="I471" s="7">
        <f t="shared" si="118"/>
        <v>-4.347675812950194</v>
      </c>
      <c r="J471" s="7">
        <f t="shared" si="119"/>
        <v>-92.024214013941517</v>
      </c>
      <c r="K471" s="8">
        <f t="shared" si="108"/>
        <v>167.69606707093604</v>
      </c>
      <c r="L471" s="8">
        <f t="shared" si="109"/>
        <v>-7.0432348169793126</v>
      </c>
      <c r="M471" s="8">
        <f t="shared" si="106"/>
        <v>149.07922670258523</v>
      </c>
      <c r="N471" s="8">
        <f t="shared" si="110"/>
        <v>25.000000000000011</v>
      </c>
      <c r="O471" s="8">
        <f t="shared" si="111"/>
        <v>26.18112277826453</v>
      </c>
    </row>
    <row r="472" spans="1:15" x14ac:dyDescent="0.3">
      <c r="A472" s="5">
        <f t="shared" si="112"/>
        <v>4.6399999999999455</v>
      </c>
      <c r="B472" s="5">
        <f t="shared" si="107"/>
        <v>156.07898476143504</v>
      </c>
      <c r="C472" s="6">
        <f t="shared" si="105"/>
        <v>6020.1894122267795</v>
      </c>
      <c r="D472" s="6">
        <f t="shared" si="113"/>
        <v>36242680.559087418</v>
      </c>
      <c r="E472" s="7">
        <f t="shared" si="114"/>
        <v>6248571.4285714282</v>
      </c>
      <c r="F472" s="7">
        <f t="shared" si="115"/>
        <v>124.97142857142855</v>
      </c>
      <c r="G472" s="7">
        <f t="shared" si="116"/>
        <v>29994109.130515989</v>
      </c>
      <c r="H472" s="6">
        <f t="shared" si="117"/>
        <v>5476.6877883001498</v>
      </c>
      <c r="I472" s="7">
        <f t="shared" si="118"/>
        <v>-4.3490070501673621</v>
      </c>
      <c r="J472" s="7">
        <f t="shared" si="119"/>
        <v>-91.996045271706123</v>
      </c>
      <c r="K472" s="8">
        <f t="shared" si="108"/>
        <v>167.74741479216968</v>
      </c>
      <c r="L472" s="8">
        <f t="shared" si="109"/>
        <v>-7.0453914212711259</v>
      </c>
      <c r="M472" s="8">
        <f t="shared" si="106"/>
        <v>149.03359334016392</v>
      </c>
      <c r="N472" s="8">
        <f t="shared" si="110"/>
        <v>25.000000000000014</v>
      </c>
      <c r="O472" s="8">
        <f t="shared" si="111"/>
        <v>26.181846197117174</v>
      </c>
    </row>
    <row r="473" spans="1:15" x14ac:dyDescent="0.3">
      <c r="A473" s="5">
        <f t="shared" si="112"/>
        <v>4.6499999999999453</v>
      </c>
      <c r="B473" s="5">
        <f t="shared" si="107"/>
        <v>156.03549469093338</v>
      </c>
      <c r="C473" s="6">
        <f t="shared" si="105"/>
        <v>6018.5119380788583</v>
      </c>
      <c r="D473" s="6">
        <f t="shared" si="113"/>
        <v>36222485.948797733</v>
      </c>
      <c r="E473" s="7">
        <f t="shared" si="114"/>
        <v>6248571.4285714282</v>
      </c>
      <c r="F473" s="7">
        <f t="shared" si="115"/>
        <v>124.97142857142855</v>
      </c>
      <c r="G473" s="7">
        <f t="shared" si="116"/>
        <v>29973914.520226303</v>
      </c>
      <c r="H473" s="6">
        <f t="shared" si="117"/>
        <v>5474.8437895730231</v>
      </c>
      <c r="I473" s="7">
        <f t="shared" si="118"/>
        <v>-4.350339551372711</v>
      </c>
      <c r="J473" s="7">
        <f t="shared" si="119"/>
        <v>-91.96786704796888</v>
      </c>
      <c r="K473" s="8">
        <f t="shared" si="108"/>
        <v>167.79881126723313</v>
      </c>
      <c r="L473" s="8">
        <f t="shared" si="109"/>
        <v>-7.0475500732237908</v>
      </c>
      <c r="M473" s="8">
        <f t="shared" si="106"/>
        <v>148.98794461770959</v>
      </c>
      <c r="N473" s="8">
        <f t="shared" si="110"/>
        <v>25.000000000000032</v>
      </c>
      <c r="O473" s="8">
        <f t="shared" si="111"/>
        <v>26.182570524633288</v>
      </c>
    </row>
    <row r="474" spans="1:15" x14ac:dyDescent="0.3">
      <c r="A474" s="5">
        <f t="shared" si="112"/>
        <v>4.6599999999999451</v>
      </c>
      <c r="B474" s="5">
        <f t="shared" si="107"/>
        <v>155.99199129541964</v>
      </c>
      <c r="C474" s="6">
        <f t="shared" si="105"/>
        <v>6016.8339499661861</v>
      </c>
      <c r="D474" s="6">
        <f t="shared" si="113"/>
        <v>36202290.781465694</v>
      </c>
      <c r="E474" s="7">
        <f t="shared" si="114"/>
        <v>6248571.4285714282</v>
      </c>
      <c r="F474" s="7">
        <f t="shared" si="115"/>
        <v>124.97142857142855</v>
      </c>
      <c r="G474" s="7">
        <f t="shared" si="116"/>
        <v>29953719.352894265</v>
      </c>
      <c r="H474" s="6">
        <f t="shared" si="117"/>
        <v>5472.9991186637571</v>
      </c>
      <c r="I474" s="7">
        <f t="shared" si="118"/>
        <v>-4.3516733186065428</v>
      </c>
      <c r="J474" s="7">
        <f t="shared" si="119"/>
        <v>-91.939679332887081</v>
      </c>
      <c r="K474" s="8">
        <f t="shared" si="108"/>
        <v>167.85025657482379</v>
      </c>
      <c r="L474" s="8">
        <f t="shared" si="109"/>
        <v>-7.0497107761425983</v>
      </c>
      <c r="M474" s="8">
        <f t="shared" si="106"/>
        <v>148.94228051927703</v>
      </c>
      <c r="N474" s="8">
        <f t="shared" si="110"/>
        <v>25.000000000000028</v>
      </c>
      <c r="O474" s="8">
        <f t="shared" si="111"/>
        <v>26.183295762553865</v>
      </c>
    </row>
    <row r="475" spans="1:15" x14ac:dyDescent="0.3">
      <c r="A475" s="5">
        <f t="shared" si="112"/>
        <v>4.6699999999999449</v>
      </c>
      <c r="B475" s="5">
        <f t="shared" si="107"/>
        <v>155.94847456223357</v>
      </c>
      <c r="C475" s="6">
        <f t="shared" si="105"/>
        <v>6015.155447400437</v>
      </c>
      <c r="D475" s="6">
        <f t="shared" si="113"/>
        <v>36182095.05639115</v>
      </c>
      <c r="E475" s="7">
        <f t="shared" si="114"/>
        <v>6248571.4285714282</v>
      </c>
      <c r="F475" s="7">
        <f t="shared" si="115"/>
        <v>124.97142857142855</v>
      </c>
      <c r="G475" s="7">
        <f t="shared" si="116"/>
        <v>29933523.627819721</v>
      </c>
      <c r="H475" s="6">
        <f t="shared" si="117"/>
        <v>5471.1537748284609</v>
      </c>
      <c r="I475" s="7">
        <f t="shared" si="118"/>
        <v>-4.3530083539138467</v>
      </c>
      <c r="J475" s="7">
        <f t="shared" si="119"/>
        <v>-91.911482116600709</v>
      </c>
      <c r="K475" s="8">
        <f t="shared" si="108"/>
        <v>167.90175079381979</v>
      </c>
      <c r="L475" s="8">
        <f t="shared" si="109"/>
        <v>-7.0518735333404301</v>
      </c>
      <c r="M475" s="8">
        <f t="shared" si="106"/>
        <v>148.89660102889314</v>
      </c>
      <c r="N475" s="8">
        <f t="shared" si="110"/>
        <v>25.000000000000028</v>
      </c>
      <c r="O475" s="8">
        <f t="shared" si="111"/>
        <v>26.184021912624484</v>
      </c>
    </row>
    <row r="476" spans="1:15" x14ac:dyDescent="0.3">
      <c r="A476" s="5">
        <f t="shared" si="112"/>
        <v>4.6799999999999446</v>
      </c>
      <c r="B476" s="5">
        <f t="shared" si="107"/>
        <v>155.90494447869443</v>
      </c>
      <c r="C476" s="6">
        <f t="shared" si="105"/>
        <v>6013.4764298924993</v>
      </c>
      <c r="D476" s="6">
        <f t="shared" si="113"/>
        <v>36161898.772872642</v>
      </c>
      <c r="E476" s="7">
        <f t="shared" si="114"/>
        <v>6248571.4285714282</v>
      </c>
      <c r="F476" s="7">
        <f t="shared" si="115"/>
        <v>124.97142857142855</v>
      </c>
      <c r="G476" s="7">
        <f t="shared" si="116"/>
        <v>29913327.344301213</v>
      </c>
      <c r="H476" s="6">
        <f t="shared" si="117"/>
        <v>5469.3077573218725</v>
      </c>
      <c r="I476" s="7">
        <f t="shared" si="118"/>
        <v>-4.354344659344294</v>
      </c>
      <c r="J476" s="7">
        <f t="shared" si="119"/>
        <v>-91.883275389232537</v>
      </c>
      <c r="K476" s="8">
        <f t="shared" si="108"/>
        <v>167.95329400327989</v>
      </c>
      <c r="L476" s="8">
        <f t="shared" si="109"/>
        <v>-7.0540383481377544</v>
      </c>
      <c r="M476" s="8">
        <f t="shared" si="106"/>
        <v>148.85090613055667</v>
      </c>
      <c r="N476" s="8">
        <f t="shared" si="110"/>
        <v>25</v>
      </c>
      <c r="O476" s="8">
        <f t="shared" si="111"/>
        <v>26.184748976595195</v>
      </c>
    </row>
    <row r="477" spans="1:15" x14ac:dyDescent="0.3">
      <c r="A477" s="5">
        <f t="shared" si="112"/>
        <v>4.6899999999999444</v>
      </c>
      <c r="B477" s="5">
        <f t="shared" si="107"/>
        <v>155.86140103210099</v>
      </c>
      <c r="C477" s="6">
        <f t="shared" si="105"/>
        <v>6011.7968969524663</v>
      </c>
      <c r="D477" s="6">
        <f t="shared" si="113"/>
        <v>36141701.930207305</v>
      </c>
      <c r="E477" s="7">
        <f t="shared" si="114"/>
        <v>6248571.4285714282</v>
      </c>
      <c r="F477" s="7">
        <f t="shared" si="115"/>
        <v>124.97142857142855</v>
      </c>
      <c r="G477" s="7">
        <f t="shared" si="116"/>
        <v>29893130.501635876</v>
      </c>
      <c r="H477" s="6">
        <f t="shared" si="117"/>
        <v>5467.461065397345</v>
      </c>
      <c r="I477" s="7">
        <f t="shared" si="118"/>
        <v>-4.3556822369522745</v>
      </c>
      <c r="J477" s="7">
        <f t="shared" si="119"/>
        <v>-91.85505914088786</v>
      </c>
      <c r="K477" s="8">
        <f t="shared" si="108"/>
        <v>168.00488628244486</v>
      </c>
      <c r="L477" s="8">
        <f t="shared" si="109"/>
        <v>-7.0562052238626833</v>
      </c>
      <c r="M477" s="8">
        <f t="shared" si="106"/>
        <v>148.8051958082383</v>
      </c>
      <c r="N477" s="8">
        <f t="shared" si="110"/>
        <v>25.000000000000014</v>
      </c>
      <c r="O477" s="8">
        <f t="shared" si="111"/>
        <v>26.185476956220661</v>
      </c>
    </row>
    <row r="478" spans="1:15" x14ac:dyDescent="0.3">
      <c r="A478" s="5">
        <f t="shared" si="112"/>
        <v>4.6999999999999442</v>
      </c>
      <c r="B478" s="5">
        <f t="shared" si="107"/>
        <v>155.81784420973148</v>
      </c>
      <c r="C478" s="6">
        <f t="shared" si="105"/>
        <v>6010.1168480896422</v>
      </c>
      <c r="D478" s="6">
        <f t="shared" si="113"/>
        <v>36121504.527690977</v>
      </c>
      <c r="E478" s="7">
        <f t="shared" si="114"/>
        <v>6248571.4285714282</v>
      </c>
      <c r="F478" s="7">
        <f t="shared" si="115"/>
        <v>124.97142857142855</v>
      </c>
      <c r="G478" s="7">
        <f t="shared" si="116"/>
        <v>29872933.099119548</v>
      </c>
      <c r="H478" s="6">
        <f t="shared" si="117"/>
        <v>5465.6136983068563</v>
      </c>
      <c r="I478" s="7">
        <f t="shared" si="118"/>
        <v>-4.3570210887968699</v>
      </c>
      <c r="J478" s="7">
        <f t="shared" si="119"/>
        <v>-91.826833361654664</v>
      </c>
      <c r="K478" s="8">
        <f t="shared" si="108"/>
        <v>168.05652771073639</v>
      </c>
      <c r="L478" s="8">
        <f t="shared" si="109"/>
        <v>-7.0583741638509281</v>
      </c>
      <c r="M478" s="8">
        <f t="shared" si="106"/>
        <v>148.75947004588056</v>
      </c>
      <c r="N478" s="8">
        <f t="shared" si="110"/>
        <v>24.999999999999986</v>
      </c>
      <c r="O478" s="8">
        <f t="shared" si="111"/>
        <v>26.186205853259946</v>
      </c>
    </row>
    <row r="479" spans="1:15" x14ac:dyDescent="0.3">
      <c r="A479" s="5">
        <f t="shared" si="112"/>
        <v>4.709999999999944</v>
      </c>
      <c r="B479" s="5">
        <f t="shared" si="107"/>
        <v>155.77427399884351</v>
      </c>
      <c r="C479" s="6">
        <f t="shared" si="105"/>
        <v>6008.436282812535</v>
      </c>
      <c r="D479" s="6">
        <f t="shared" si="113"/>
        <v>36101306.564618111</v>
      </c>
      <c r="E479" s="7">
        <f t="shared" si="114"/>
        <v>6248571.4285714282</v>
      </c>
      <c r="F479" s="7">
        <f t="shared" si="115"/>
        <v>124.97142857142855</v>
      </c>
      <c r="G479" s="7">
        <f t="shared" si="116"/>
        <v>29852735.136046682</v>
      </c>
      <c r="H479" s="6">
        <f t="shared" si="117"/>
        <v>5463.765655300992</v>
      </c>
      <c r="I479" s="7">
        <f t="shared" si="118"/>
        <v>-4.3583612169419315</v>
      </c>
      <c r="J479" s="7">
        <f t="shared" si="119"/>
        <v>-91.798598041603455</v>
      </c>
      <c r="K479" s="8">
        <f t="shared" si="108"/>
        <v>168.1082183677602</v>
      </c>
      <c r="L479" s="8">
        <f t="shared" si="109"/>
        <v>-7.060545171445928</v>
      </c>
      <c r="M479" s="8">
        <f t="shared" si="106"/>
        <v>148.71372882739757</v>
      </c>
      <c r="N479" s="8">
        <f t="shared" si="110"/>
        <v>25.000000000000025</v>
      </c>
      <c r="O479" s="8">
        <f t="shared" si="111"/>
        <v>26.186935669476895</v>
      </c>
    </row>
    <row r="480" spans="1:15" x14ac:dyDescent="0.3">
      <c r="A480" s="5">
        <f t="shared" si="112"/>
        <v>4.7199999999999438</v>
      </c>
      <c r="B480" s="5">
        <f t="shared" si="107"/>
        <v>155.7306903866741</v>
      </c>
      <c r="C480" s="6">
        <f t="shared" si="105"/>
        <v>6006.7552006288579</v>
      </c>
      <c r="D480" s="6">
        <f t="shared" si="113"/>
        <v>36081108.040281832</v>
      </c>
      <c r="E480" s="7">
        <f t="shared" si="114"/>
        <v>6248571.4285714282</v>
      </c>
      <c r="F480" s="7">
        <f t="shared" si="115"/>
        <v>124.97142857142855</v>
      </c>
      <c r="G480" s="7">
        <f t="shared" si="116"/>
        <v>29832536.611710403</v>
      </c>
      <c r="H480" s="6">
        <f t="shared" si="117"/>
        <v>5461.9169356289558</v>
      </c>
      <c r="I480" s="7">
        <f t="shared" si="118"/>
        <v>-4.3597026234560072</v>
      </c>
      <c r="J480" s="7">
        <f t="shared" si="119"/>
        <v>-91.770353170787274</v>
      </c>
      <c r="K480" s="8">
        <f t="shared" si="108"/>
        <v>168.15995833330314</v>
      </c>
      <c r="L480" s="8">
        <f t="shared" si="109"/>
        <v>-7.0627182499987313</v>
      </c>
      <c r="M480" s="8">
        <f t="shared" si="106"/>
        <v>148.66797213667536</v>
      </c>
      <c r="N480" s="8">
        <f t="shared" si="110"/>
        <v>25</v>
      </c>
      <c r="O480" s="8">
        <f t="shared" si="111"/>
        <v>26.187666406639647</v>
      </c>
    </row>
    <row r="481" spans="1:15" x14ac:dyDescent="0.3">
      <c r="A481" s="5">
        <f t="shared" si="112"/>
        <v>4.7299999999999436</v>
      </c>
      <c r="B481" s="5">
        <f t="shared" si="107"/>
        <v>155.68709336043955</v>
      </c>
      <c r="C481" s="6">
        <f t="shared" si="105"/>
        <v>6005.0736010455248</v>
      </c>
      <c r="D481" s="6">
        <f t="shared" si="113"/>
        <v>36060908.953973867</v>
      </c>
      <c r="E481" s="7">
        <f t="shared" si="114"/>
        <v>6248571.4285714282</v>
      </c>
      <c r="F481" s="7">
        <f t="shared" si="115"/>
        <v>124.97142857142855</v>
      </c>
      <c r="G481" s="7">
        <f t="shared" si="116"/>
        <v>29812337.525402438</v>
      </c>
      <c r="H481" s="6">
        <f t="shared" si="117"/>
        <v>5460.0675385385521</v>
      </c>
      <c r="I481" s="7">
        <f t="shared" si="118"/>
        <v>-4.3610453104124485</v>
      </c>
      <c r="J481" s="7">
        <f t="shared" si="119"/>
        <v>-91.742098739241598</v>
      </c>
      <c r="K481" s="8">
        <f t="shared" si="108"/>
        <v>168.21174768733729</v>
      </c>
      <c r="L481" s="8">
        <f t="shared" si="109"/>
        <v>-7.064893402868166</v>
      </c>
      <c r="M481" s="8">
        <f t="shared" si="106"/>
        <v>148.62219995757138</v>
      </c>
      <c r="N481" s="8">
        <f t="shared" si="110"/>
        <v>24.999999999999989</v>
      </c>
      <c r="O481" s="8">
        <f t="shared" si="111"/>
        <v>26.188398066521181</v>
      </c>
    </row>
    <row r="482" spans="1:15" x14ac:dyDescent="0.3">
      <c r="A482" s="5">
        <f t="shared" si="112"/>
        <v>4.7399999999999434</v>
      </c>
      <c r="B482" s="5">
        <f t="shared" si="107"/>
        <v>155.64348290733543</v>
      </c>
      <c r="C482" s="6">
        <f t="shared" si="105"/>
        <v>6003.3914835686519</v>
      </c>
      <c r="D482" s="6">
        <f t="shared" si="113"/>
        <v>36040709.304984622</v>
      </c>
      <c r="E482" s="7">
        <f t="shared" si="114"/>
        <v>6248571.4285714282</v>
      </c>
      <c r="F482" s="7">
        <f t="shared" si="115"/>
        <v>124.97142857142855</v>
      </c>
      <c r="G482" s="7">
        <f t="shared" si="116"/>
        <v>29792137.876413193</v>
      </c>
      <c r="H482" s="6">
        <f t="shared" si="117"/>
        <v>5458.2174632761926</v>
      </c>
      <c r="I482" s="7">
        <f t="shared" si="118"/>
        <v>-4.3623892798893644</v>
      </c>
      <c r="J482" s="7">
        <f t="shared" si="119"/>
        <v>-91.713834736984367</v>
      </c>
      <c r="K482" s="8">
        <f t="shared" si="108"/>
        <v>168.26358651001834</v>
      </c>
      <c r="L482" s="8">
        <f t="shared" si="109"/>
        <v>-7.0670706334207694</v>
      </c>
      <c r="M482" s="8">
        <f t="shared" si="106"/>
        <v>148.57641227391466</v>
      </c>
      <c r="N482" s="8">
        <f t="shared" si="110"/>
        <v>24.999999999999989</v>
      </c>
      <c r="O482" s="8">
        <f t="shared" si="111"/>
        <v>26.189130650898996</v>
      </c>
    </row>
    <row r="483" spans="1:15" x14ac:dyDescent="0.3">
      <c r="A483" s="5">
        <f t="shared" si="112"/>
        <v>4.7499999999999432</v>
      </c>
      <c r="B483" s="5">
        <f t="shared" si="107"/>
        <v>155.59985901453652</v>
      </c>
      <c r="C483" s="6">
        <f t="shared" si="105"/>
        <v>6001.7088477035513</v>
      </c>
      <c r="D483" s="6">
        <f t="shared" si="113"/>
        <v>36020509.092603087</v>
      </c>
      <c r="E483" s="7">
        <f t="shared" si="114"/>
        <v>6248571.4285714282</v>
      </c>
      <c r="F483" s="7">
        <f t="shared" si="115"/>
        <v>124.97142857142855</v>
      </c>
      <c r="G483" s="7">
        <f t="shared" si="116"/>
        <v>29771937.664031658</v>
      </c>
      <c r="H483" s="6">
        <f t="shared" si="117"/>
        <v>5456.3667090868867</v>
      </c>
      <c r="I483" s="7">
        <f t="shared" si="118"/>
        <v>-4.3637345339696543</v>
      </c>
      <c r="J483" s="7">
        <f t="shared" si="119"/>
        <v>-91.685561154015872</v>
      </c>
      <c r="K483" s="8">
        <f t="shared" si="108"/>
        <v>168.31547488168667</v>
      </c>
      <c r="L483" s="8">
        <f t="shared" si="109"/>
        <v>-7.0692499450308395</v>
      </c>
      <c r="M483" s="8">
        <f t="shared" si="106"/>
        <v>148.53060906950569</v>
      </c>
      <c r="N483" s="8">
        <f t="shared" si="110"/>
        <v>25.000000000000007</v>
      </c>
      <c r="O483" s="8">
        <f t="shared" si="111"/>
        <v>26.189864161555207</v>
      </c>
    </row>
    <row r="484" spans="1:15" x14ac:dyDescent="0.3">
      <c r="A484" s="5">
        <f t="shared" si="112"/>
        <v>4.7599999999999429</v>
      </c>
      <c r="B484" s="5">
        <f t="shared" si="107"/>
        <v>155.55622166919682</v>
      </c>
      <c r="C484" s="6">
        <f t="shared" si="105"/>
        <v>6000.025692954734</v>
      </c>
      <c r="D484" s="6">
        <f t="shared" si="113"/>
        <v>36000308.316116937</v>
      </c>
      <c r="E484" s="7">
        <f t="shared" si="114"/>
        <v>6248571.4285714282</v>
      </c>
      <c r="F484" s="7">
        <f t="shared" si="115"/>
        <v>124.97142857142855</v>
      </c>
      <c r="G484" s="7">
        <f t="shared" si="116"/>
        <v>29751736.887545507</v>
      </c>
      <c r="H484" s="6">
        <f t="shared" si="117"/>
        <v>5454.515275214243</v>
      </c>
      <c r="I484" s="7">
        <f t="shared" si="118"/>
        <v>-4.3650810747410125</v>
      </c>
      <c r="J484" s="7">
        <f t="shared" si="119"/>
        <v>-91.657277980318767</v>
      </c>
      <c r="K484" s="8">
        <f t="shared" si="108"/>
        <v>168.36741288286763</v>
      </c>
      <c r="L484" s="8">
        <f t="shared" si="109"/>
        <v>-7.0714313410804399</v>
      </c>
      <c r="M484" s="8">
        <f t="shared" si="106"/>
        <v>148.48479032811639</v>
      </c>
      <c r="N484" s="8">
        <f t="shared" si="110"/>
        <v>25</v>
      </c>
      <c r="O484" s="8">
        <f t="shared" si="111"/>
        <v>26.190598600276537</v>
      </c>
    </row>
    <row r="485" spans="1:15" x14ac:dyDescent="0.3">
      <c r="A485" s="5">
        <f t="shared" si="112"/>
        <v>4.7699999999999427</v>
      </c>
      <c r="B485" s="5">
        <f t="shared" si="107"/>
        <v>155.51257085844941</v>
      </c>
      <c r="C485" s="6">
        <f t="shared" si="105"/>
        <v>5998.3420188259051</v>
      </c>
      <c r="D485" s="6">
        <f t="shared" si="113"/>
        <v>35980106.974812433</v>
      </c>
      <c r="E485" s="7">
        <f t="shared" si="114"/>
        <v>6248571.4285714282</v>
      </c>
      <c r="F485" s="7">
        <f t="shared" si="115"/>
        <v>124.97142857142855</v>
      </c>
      <c r="G485" s="7">
        <f t="shared" si="116"/>
        <v>29731535.546241004</v>
      </c>
      <c r="H485" s="6">
        <f t="shared" si="117"/>
        <v>5452.6631609004608</v>
      </c>
      <c r="I485" s="7">
        <f t="shared" si="118"/>
        <v>-4.3664289042959661</v>
      </c>
      <c r="J485" s="7">
        <f t="shared" si="119"/>
        <v>-91.628985205858001</v>
      </c>
      <c r="K485" s="8">
        <f t="shared" si="108"/>
        <v>168.41940059427296</v>
      </c>
      <c r="L485" s="8">
        <f t="shared" si="109"/>
        <v>-7.0736148249594635</v>
      </c>
      <c r="M485" s="8">
        <f t="shared" si="106"/>
        <v>148.43895603348994</v>
      </c>
      <c r="N485" s="8">
        <f t="shared" si="110"/>
        <v>25.000000000000014</v>
      </c>
      <c r="O485" s="8">
        <f t="shared" si="111"/>
        <v>26.191333968854451</v>
      </c>
    </row>
    <row r="486" spans="1:15" x14ac:dyDescent="0.3">
      <c r="A486" s="5">
        <f t="shared" si="112"/>
        <v>4.7799999999999425</v>
      </c>
      <c r="B486" s="5">
        <f t="shared" si="107"/>
        <v>155.46890656940644</v>
      </c>
      <c r="C486" s="6">
        <f t="shared" si="105"/>
        <v>5996.6578248199621</v>
      </c>
      <c r="D486" s="6">
        <f t="shared" si="113"/>
        <v>35959905.067974478</v>
      </c>
      <c r="E486" s="7">
        <f t="shared" si="114"/>
        <v>6248571.4285714282</v>
      </c>
      <c r="F486" s="7">
        <f t="shared" si="115"/>
        <v>124.97142857142855</v>
      </c>
      <c r="G486" s="7">
        <f t="shared" si="116"/>
        <v>29711333.639403049</v>
      </c>
      <c r="H486" s="6">
        <f t="shared" si="117"/>
        <v>5450.8103653863291</v>
      </c>
      <c r="I486" s="7">
        <f t="shared" si="118"/>
        <v>-4.3677780247318614</v>
      </c>
      <c r="J486" s="7">
        <f t="shared" si="119"/>
        <v>-91.600682820580772</v>
      </c>
      <c r="K486" s="8">
        <f t="shared" si="108"/>
        <v>168.47143809680037</v>
      </c>
      <c r="L486" s="8">
        <f t="shared" si="109"/>
        <v>-7.0758004000656145</v>
      </c>
      <c r="M486" s="8">
        <f t="shared" si="106"/>
        <v>148.39310616934083</v>
      </c>
      <c r="N486" s="8">
        <f t="shared" si="110"/>
        <v>25.000000000000028</v>
      </c>
      <c r="O486" s="8">
        <f t="shared" si="111"/>
        <v>26.192070269084997</v>
      </c>
    </row>
    <row r="487" spans="1:15" x14ac:dyDescent="0.3">
      <c r="A487" s="5">
        <f t="shared" si="112"/>
        <v>4.7899999999999423</v>
      </c>
      <c r="B487" s="5">
        <f t="shared" si="107"/>
        <v>155.42522878915912</v>
      </c>
      <c r="C487" s="6">
        <f t="shared" si="105"/>
        <v>5994.9731104389939</v>
      </c>
      <c r="D487" s="6">
        <f t="shared" si="113"/>
        <v>35939702.594886586</v>
      </c>
      <c r="E487" s="7">
        <f t="shared" si="114"/>
        <v>6248571.4285714282</v>
      </c>
      <c r="F487" s="7">
        <f t="shared" si="115"/>
        <v>124.97142857142855</v>
      </c>
      <c r="G487" s="7">
        <f t="shared" si="116"/>
        <v>29691131.166315157</v>
      </c>
      <c r="H487" s="6">
        <f t="shared" si="117"/>
        <v>5448.956887911223</v>
      </c>
      <c r="I487" s="7">
        <f t="shared" si="118"/>
        <v>-4.3691284381508879</v>
      </c>
      <c r="J487" s="7">
        <f t="shared" si="119"/>
        <v>-91.572370814416473</v>
      </c>
      <c r="K487" s="8">
        <f t="shared" si="108"/>
        <v>168.52352547153424</v>
      </c>
      <c r="L487" s="8">
        <f t="shared" si="109"/>
        <v>-7.0779880698044373</v>
      </c>
      <c r="M487" s="8">
        <f t="shared" si="106"/>
        <v>148.34724071935469</v>
      </c>
      <c r="N487" s="8">
        <f t="shared" si="110"/>
        <v>24.999999999999993</v>
      </c>
      <c r="O487" s="8">
        <f t="shared" si="111"/>
        <v>26.192807502768893</v>
      </c>
    </row>
    <row r="488" spans="1:15" x14ac:dyDescent="0.3">
      <c r="A488" s="5">
        <f t="shared" si="112"/>
        <v>4.7999999999999421</v>
      </c>
      <c r="B488" s="5">
        <f t="shared" si="107"/>
        <v>155.38153750477761</v>
      </c>
      <c r="C488" s="6">
        <f t="shared" si="105"/>
        <v>5993.2878751842791</v>
      </c>
      <c r="D488" s="6">
        <f t="shared" si="113"/>
        <v>35919499.554830894</v>
      </c>
      <c r="E488" s="7">
        <f t="shared" si="114"/>
        <v>6248571.4285714282</v>
      </c>
      <c r="F488" s="7">
        <f t="shared" si="115"/>
        <v>124.97142857142855</v>
      </c>
      <c r="G488" s="7">
        <f t="shared" si="116"/>
        <v>29670928.126259465</v>
      </c>
      <c r="H488" s="6">
        <f t="shared" si="117"/>
        <v>5447.102727713097</v>
      </c>
      <c r="I488" s="7">
        <f t="shared" si="118"/>
        <v>-4.3704801466601229</v>
      </c>
      <c r="J488" s="7">
        <f t="shared" si="119"/>
        <v>-91.54404917727669</v>
      </c>
      <c r="K488" s="8">
        <f t="shared" si="108"/>
        <v>168.57566279974759</v>
      </c>
      <c r="L488" s="8">
        <f t="shared" si="109"/>
        <v>-7.0801778375893978</v>
      </c>
      <c r="M488" s="8">
        <f t="shared" si="106"/>
        <v>148.30135966718822</v>
      </c>
      <c r="N488" s="8">
        <f t="shared" si="110"/>
        <v>25.000000000000011</v>
      </c>
      <c r="O488" s="8">
        <f t="shared" si="111"/>
        <v>26.193545671711725</v>
      </c>
    </row>
    <row r="489" spans="1:15" x14ac:dyDescent="0.3">
      <c r="A489" s="5">
        <f t="shared" si="112"/>
        <v>4.8099999999999419</v>
      </c>
      <c r="B489" s="5">
        <f t="shared" si="107"/>
        <v>155.33783270331102</v>
      </c>
      <c r="C489" s="6">
        <f t="shared" si="105"/>
        <v>5991.6021185562822</v>
      </c>
      <c r="D489" s="6">
        <f t="shared" si="113"/>
        <v>35899295.94708813</v>
      </c>
      <c r="E489" s="7">
        <f t="shared" si="114"/>
        <v>6248571.4285714282</v>
      </c>
      <c r="F489" s="7">
        <f t="shared" si="115"/>
        <v>124.97142857142855</v>
      </c>
      <c r="G489" s="7">
        <f t="shared" si="116"/>
        <v>29650724.518516701</v>
      </c>
      <c r="H489" s="6">
        <f t="shared" si="117"/>
        <v>5445.2478840284857</v>
      </c>
      <c r="I489" s="7">
        <f t="shared" si="118"/>
        <v>-4.3718331523714866</v>
      </c>
      <c r="J489" s="7">
        <f t="shared" si="119"/>
        <v>-91.51571789905509</v>
      </c>
      <c r="K489" s="8">
        <f t="shared" si="108"/>
        <v>168.62785016290019</v>
      </c>
      <c r="L489" s="8">
        <f t="shared" si="109"/>
        <v>-7.0823697068418072</v>
      </c>
      <c r="M489" s="8">
        <f t="shared" si="106"/>
        <v>148.25546299646922</v>
      </c>
      <c r="N489" s="8">
        <f t="shared" si="110"/>
        <v>25.000000000000004</v>
      </c>
      <c r="O489" s="8">
        <f t="shared" si="111"/>
        <v>26.194284777723588</v>
      </c>
    </row>
    <row r="490" spans="1:15" x14ac:dyDescent="0.3">
      <c r="A490" s="5">
        <f t="shared" si="112"/>
        <v>4.8199999999999417</v>
      </c>
      <c r="B490" s="5">
        <f t="shared" si="107"/>
        <v>155.29411437178732</v>
      </c>
      <c r="C490" s="6">
        <f t="shared" si="105"/>
        <v>5989.915840054653</v>
      </c>
      <c r="D490" s="6">
        <f t="shared" si="113"/>
        <v>35879091.770937636</v>
      </c>
      <c r="E490" s="7">
        <f t="shared" si="114"/>
        <v>6248571.4285714282</v>
      </c>
      <c r="F490" s="7">
        <f t="shared" si="115"/>
        <v>124.97142857142855</v>
      </c>
      <c r="G490" s="7">
        <f t="shared" si="116"/>
        <v>29630520.342366207</v>
      </c>
      <c r="H490" s="6">
        <f t="shared" si="117"/>
        <v>5443.392356092495</v>
      </c>
      <c r="I490" s="7">
        <f t="shared" si="118"/>
        <v>-4.3731874574018139</v>
      </c>
      <c r="J490" s="7">
        <f t="shared" si="119"/>
        <v>-91.487376969627391</v>
      </c>
      <c r="K490" s="8">
        <f t="shared" si="108"/>
        <v>168.68008764264138</v>
      </c>
      <c r="L490" s="8">
        <f t="shared" si="109"/>
        <v>-7.0845636809909376</v>
      </c>
      <c r="M490" s="8">
        <f t="shared" si="106"/>
        <v>148.20955069079639</v>
      </c>
      <c r="N490" s="8">
        <f t="shared" si="110"/>
        <v>25.000000000000036</v>
      </c>
      <c r="O490" s="8">
        <f t="shared" si="111"/>
        <v>26.195024822619459</v>
      </c>
    </row>
    <row r="491" spans="1:15" x14ac:dyDescent="0.3">
      <c r="A491" s="5">
        <f t="shared" si="112"/>
        <v>4.8299999999999415</v>
      </c>
      <c r="B491" s="5">
        <f t="shared" si="107"/>
        <v>155.25038249721331</v>
      </c>
      <c r="C491" s="6">
        <f t="shared" si="105"/>
        <v>5988.2290391782271</v>
      </c>
      <c r="D491" s="6">
        <f t="shared" si="113"/>
        <v>35858887.025657393</v>
      </c>
      <c r="E491" s="7">
        <f t="shared" si="114"/>
        <v>6248571.4285714282</v>
      </c>
      <c r="F491" s="7">
        <f t="shared" si="115"/>
        <v>124.97142857142855</v>
      </c>
      <c r="G491" s="7">
        <f t="shared" si="116"/>
        <v>29610315.597085964</v>
      </c>
      <c r="H491" s="6">
        <f t="shared" si="117"/>
        <v>5441.5361431388073</v>
      </c>
      <c r="I491" s="7">
        <f t="shared" si="118"/>
        <v>-4.3745430638728156</v>
      </c>
      <c r="J491" s="7">
        <f t="shared" si="119"/>
        <v>-91.459026378851462</v>
      </c>
      <c r="K491" s="8">
        <f t="shared" si="108"/>
        <v>168.73237532080859</v>
      </c>
      <c r="L491" s="8">
        <f t="shared" si="109"/>
        <v>-7.0867597634739603</v>
      </c>
      <c r="M491" s="8">
        <f t="shared" si="106"/>
        <v>148.16362273373934</v>
      </c>
      <c r="N491" s="8">
        <f t="shared" si="110"/>
        <v>24.999999999999996</v>
      </c>
      <c r="O491" s="8">
        <f t="shared" si="111"/>
        <v>26.195765808218887</v>
      </c>
    </row>
    <row r="492" spans="1:15" x14ac:dyDescent="0.3">
      <c r="A492" s="5">
        <f t="shared" si="112"/>
        <v>4.8399999999999412</v>
      </c>
      <c r="B492" s="5">
        <f t="shared" si="107"/>
        <v>155.20663706657459</v>
      </c>
      <c r="C492" s="6">
        <f t="shared" si="105"/>
        <v>5986.5417154250199</v>
      </c>
      <c r="D492" s="6">
        <f t="shared" si="113"/>
        <v>35838681.710523941</v>
      </c>
      <c r="E492" s="7">
        <f t="shared" si="114"/>
        <v>6248571.4285714282</v>
      </c>
      <c r="F492" s="7">
        <f t="shared" si="115"/>
        <v>124.97142857142855</v>
      </c>
      <c r="G492" s="7">
        <f t="shared" si="116"/>
        <v>29590110.281952512</v>
      </c>
      <c r="H492" s="6">
        <f t="shared" si="117"/>
        <v>5439.6792443996655</v>
      </c>
      <c r="I492" s="7">
        <f t="shared" si="118"/>
        <v>-4.3758999739111584</v>
      </c>
      <c r="J492" s="7">
        <f t="shared" si="119"/>
        <v>-91.430666116566996</v>
      </c>
      <c r="K492" s="8">
        <f t="shared" si="108"/>
        <v>168.78471327943038</v>
      </c>
      <c r="L492" s="8">
        <f t="shared" si="109"/>
        <v>-7.0889579577360751</v>
      </c>
      <c r="M492" s="8">
        <f t="shared" si="106"/>
        <v>148.1176791088385</v>
      </c>
      <c r="N492" s="8">
        <f t="shared" si="110"/>
        <v>24.999999999999982</v>
      </c>
      <c r="O492" s="8">
        <f t="shared" si="111"/>
        <v>26.196507736346405</v>
      </c>
    </row>
    <row r="493" spans="1:15" x14ac:dyDescent="0.3">
      <c r="A493" s="5">
        <f t="shared" si="112"/>
        <v>4.849999999999941</v>
      </c>
      <c r="B493" s="5">
        <f t="shared" si="107"/>
        <v>155.16287806683548</v>
      </c>
      <c r="C493" s="6">
        <f t="shared" si="105"/>
        <v>5984.8538682922253</v>
      </c>
      <c r="D493" s="6">
        <f t="shared" si="113"/>
        <v>35818475.824812412</v>
      </c>
      <c r="E493" s="7">
        <f t="shared" si="114"/>
        <v>6248571.4285714282</v>
      </c>
      <c r="F493" s="7">
        <f t="shared" si="115"/>
        <v>124.97142857142855</v>
      </c>
      <c r="G493" s="7">
        <f t="shared" si="116"/>
        <v>29569904.396240983</v>
      </c>
      <c r="H493" s="6">
        <f t="shared" si="117"/>
        <v>5437.8216591058763</v>
      </c>
      <c r="I493" s="7">
        <f t="shared" si="118"/>
        <v>-4.3772581896484271</v>
      </c>
      <c r="J493" s="7">
        <f t="shared" si="119"/>
        <v>-91.402296172595712</v>
      </c>
      <c r="K493" s="8">
        <f t="shared" si="108"/>
        <v>168.83710160072502</v>
      </c>
      <c r="L493" s="8">
        <f t="shared" si="109"/>
        <v>-7.0911582672304503</v>
      </c>
      <c r="M493" s="8">
        <f t="shared" si="106"/>
        <v>148.07171979960503</v>
      </c>
      <c r="N493" s="8">
        <f t="shared" si="110"/>
        <v>25.000000000000004</v>
      </c>
      <c r="O493" s="8">
        <f t="shared" si="111"/>
        <v>26.197250608831208</v>
      </c>
    </row>
    <row r="494" spans="1:15" x14ac:dyDescent="0.3">
      <c r="A494" s="5">
        <f t="shared" si="112"/>
        <v>4.8599999999999408</v>
      </c>
      <c r="B494" s="5">
        <f t="shared" si="107"/>
        <v>155.11910548493898</v>
      </c>
      <c r="C494" s="6">
        <f t="shared" si="105"/>
        <v>5983.165497276218</v>
      </c>
      <c r="D494" s="6">
        <f t="shared" si="113"/>
        <v>35798269.36779657</v>
      </c>
      <c r="E494" s="7">
        <f t="shared" si="114"/>
        <v>6248571.4285714282</v>
      </c>
      <c r="F494" s="7">
        <f t="shared" si="115"/>
        <v>124.97142857142855</v>
      </c>
      <c r="G494" s="7">
        <f t="shared" si="116"/>
        <v>29549697.939225141</v>
      </c>
      <c r="H494" s="6">
        <f t="shared" si="117"/>
        <v>5435.9633864868092</v>
      </c>
      <c r="I494" s="7">
        <f t="shared" si="118"/>
        <v>-4.3786177132211508</v>
      </c>
      <c r="J494" s="7">
        <f t="shared" si="119"/>
        <v>-91.373916536741206</v>
      </c>
      <c r="K494" s="8">
        <f t="shared" si="108"/>
        <v>168.88954036710152</v>
      </c>
      <c r="L494" s="8">
        <f t="shared" si="109"/>
        <v>-7.0933606954182631</v>
      </c>
      <c r="M494" s="8">
        <f t="shared" si="106"/>
        <v>148.02574478952073</v>
      </c>
      <c r="N494" s="8">
        <f t="shared" si="110"/>
        <v>25.000000000000028</v>
      </c>
      <c r="O494" s="8">
        <f t="shared" si="111"/>
        <v>26.197994427507282</v>
      </c>
    </row>
    <row r="495" spans="1:15" x14ac:dyDescent="0.3">
      <c r="A495" s="5">
        <f t="shared" si="112"/>
        <v>4.8699999999999406</v>
      </c>
      <c r="B495" s="5">
        <f t="shared" si="107"/>
        <v>155.07531930780678</v>
      </c>
      <c r="C495" s="6">
        <f t="shared" si="105"/>
        <v>5981.4766018725468</v>
      </c>
      <c r="D495" s="6">
        <f t="shared" si="113"/>
        <v>35778062.338748753</v>
      </c>
      <c r="E495" s="7">
        <f t="shared" si="114"/>
        <v>6248571.4285714282</v>
      </c>
      <c r="F495" s="7">
        <f t="shared" si="115"/>
        <v>124.97142857142855</v>
      </c>
      <c r="G495" s="7">
        <f t="shared" si="116"/>
        <v>29529490.910177324</v>
      </c>
      <c r="H495" s="6">
        <f t="shared" si="117"/>
        <v>5434.1044257703888</v>
      </c>
      <c r="I495" s="7">
        <f t="shared" si="118"/>
        <v>-4.3799785467708121</v>
      </c>
      <c r="J495" s="7">
        <f t="shared" si="119"/>
        <v>-91.345527198788943</v>
      </c>
      <c r="K495" s="8">
        <f t="shared" si="108"/>
        <v>168.94202966115989</v>
      </c>
      <c r="L495" s="8">
        <f t="shared" si="109"/>
        <v>-7.0955652457687144</v>
      </c>
      <c r="M495" s="8">
        <f t="shared" si="106"/>
        <v>147.97975406203807</v>
      </c>
      <c r="N495" s="8">
        <f t="shared" si="110"/>
        <v>24.999999999999982</v>
      </c>
      <c r="O495" s="8">
        <f t="shared" si="111"/>
        <v>26.198739194213331</v>
      </c>
    </row>
    <row r="496" spans="1:15" x14ac:dyDescent="0.3">
      <c r="A496" s="5">
        <f t="shared" si="112"/>
        <v>4.8799999999999404</v>
      </c>
      <c r="B496" s="5">
        <f t="shared" si="107"/>
        <v>155.03151952233907</v>
      </c>
      <c r="C496" s="6">
        <f t="shared" si="105"/>
        <v>5979.7871815759354</v>
      </c>
      <c r="D496" s="6">
        <f t="shared" si="113"/>
        <v>35757854.73693987</v>
      </c>
      <c r="E496" s="7">
        <f t="shared" si="114"/>
        <v>6248571.4285714282</v>
      </c>
      <c r="F496" s="7">
        <f t="shared" si="115"/>
        <v>124.97142857142855</v>
      </c>
      <c r="G496" s="7">
        <f t="shared" si="116"/>
        <v>29509283.308368441</v>
      </c>
      <c r="H496" s="6">
        <f t="shared" si="117"/>
        <v>5432.2447761830872</v>
      </c>
      <c r="I496" s="7">
        <f t="shared" si="118"/>
        <v>-4.3813406924439162</v>
      </c>
      <c r="J496" s="7">
        <f t="shared" si="119"/>
        <v>-91.317128148506157</v>
      </c>
      <c r="K496" s="8">
        <f t="shared" si="108"/>
        <v>168.99456956569389</v>
      </c>
      <c r="L496" s="8">
        <f t="shared" si="109"/>
        <v>-7.0977719217591426</v>
      </c>
      <c r="M496" s="8">
        <f t="shared" si="106"/>
        <v>147.93374760057992</v>
      </c>
      <c r="N496" s="8">
        <f t="shared" si="110"/>
        <v>25.000000000000007</v>
      </c>
      <c r="O496" s="8">
        <f t="shared" si="111"/>
        <v>26.199484910793164</v>
      </c>
    </row>
    <row r="497" spans="1:15" x14ac:dyDescent="0.3">
      <c r="A497" s="5">
        <f t="shared" si="112"/>
        <v>4.8899999999999402</v>
      </c>
      <c r="B497" s="5">
        <f t="shared" si="107"/>
        <v>154.98770611541462</v>
      </c>
      <c r="C497" s="6">
        <f t="shared" si="105"/>
        <v>5978.0972358802783</v>
      </c>
      <c r="D497" s="6">
        <f t="shared" si="113"/>
        <v>35737646.561639421</v>
      </c>
      <c r="E497" s="7">
        <f t="shared" si="114"/>
        <v>6248571.4285714282</v>
      </c>
      <c r="F497" s="7">
        <f t="shared" si="115"/>
        <v>124.97142857142855</v>
      </c>
      <c r="G497" s="7">
        <f t="shared" si="116"/>
        <v>29489075.133067992</v>
      </c>
      <c r="H497" s="6">
        <f t="shared" si="117"/>
        <v>5430.3844369499284</v>
      </c>
      <c r="I497" s="7">
        <f t="shared" si="118"/>
        <v>-4.3827041523919181</v>
      </c>
      <c r="J497" s="7">
        <f t="shared" si="119"/>
        <v>-91.288719375641818</v>
      </c>
      <c r="K497" s="8">
        <f t="shared" si="108"/>
        <v>169.04716016368826</v>
      </c>
      <c r="L497" s="8">
        <f t="shared" si="109"/>
        <v>-7.0999807268749064</v>
      </c>
      <c r="M497" s="8">
        <f t="shared" si="106"/>
        <v>147.88772538853971</v>
      </c>
      <c r="N497" s="8">
        <f t="shared" si="110"/>
        <v>25.000000000000018</v>
      </c>
      <c r="O497" s="8">
        <f t="shared" si="111"/>
        <v>26.200231579095142</v>
      </c>
    </row>
    <row r="498" spans="1:15" x14ac:dyDescent="0.3">
      <c r="A498" s="5">
        <f t="shared" si="112"/>
        <v>4.89999999999994</v>
      </c>
      <c r="B498" s="5">
        <f t="shared" si="107"/>
        <v>154.94387907389071</v>
      </c>
      <c r="C498" s="6">
        <f t="shared" si="105"/>
        <v>5976.4067642786413</v>
      </c>
      <c r="D498" s="6">
        <f t="shared" si="113"/>
        <v>35717437.812115498</v>
      </c>
      <c r="E498" s="7">
        <f t="shared" si="114"/>
        <v>6248571.4285714282</v>
      </c>
      <c r="F498" s="7">
        <f t="shared" si="115"/>
        <v>124.97142857142855</v>
      </c>
      <c r="G498" s="7">
        <f t="shared" si="116"/>
        <v>29468866.383544069</v>
      </c>
      <c r="H498" s="6">
        <f t="shared" si="117"/>
        <v>5428.5234072944795</v>
      </c>
      <c r="I498" s="7">
        <f t="shared" si="118"/>
        <v>-4.3840689287712999</v>
      </c>
      <c r="J498" s="7">
        <f t="shared" si="119"/>
        <v>-91.260300869926681</v>
      </c>
      <c r="K498" s="8">
        <f t="shared" si="108"/>
        <v>169.09980153832157</v>
      </c>
      <c r="L498" s="8">
        <f t="shared" si="109"/>
        <v>-7.1021916646095056</v>
      </c>
      <c r="M498" s="8">
        <f t="shared" si="106"/>
        <v>147.84168740928121</v>
      </c>
      <c r="N498" s="8">
        <f t="shared" si="110"/>
        <v>25.000000000000025</v>
      </c>
      <c r="O498" s="8">
        <f t="shared" si="111"/>
        <v>26.200979200972615</v>
      </c>
    </row>
    <row r="499" spans="1:15" x14ac:dyDescent="0.3">
      <c r="A499" s="5">
        <f t="shared" si="112"/>
        <v>4.9099999999999397</v>
      </c>
      <c r="B499" s="5">
        <f t="shared" si="107"/>
        <v>154.90003838460299</v>
      </c>
      <c r="C499" s="6">
        <f t="shared" si="105"/>
        <v>5974.715766263258</v>
      </c>
      <c r="D499" s="6">
        <f t="shared" si="113"/>
        <v>35697228.487634748</v>
      </c>
      <c r="E499" s="7">
        <f t="shared" si="114"/>
        <v>6248571.4285714282</v>
      </c>
      <c r="F499" s="7">
        <f t="shared" si="115"/>
        <v>124.97142857142855</v>
      </c>
      <c r="G499" s="7">
        <f t="shared" si="116"/>
        <v>29448657.059063319</v>
      </c>
      <c r="H499" s="6">
        <f t="shared" si="117"/>
        <v>5426.6616864388479</v>
      </c>
      <c r="I499" s="7">
        <f t="shared" si="118"/>
        <v>-4.3854350237435664</v>
      </c>
      <c r="J499" s="7">
        <f t="shared" si="119"/>
        <v>-91.231872621073109</v>
      </c>
      <c r="K499" s="8">
        <f t="shared" si="108"/>
        <v>169.15249377296612</v>
      </c>
      <c r="L499" s="8">
        <f t="shared" si="109"/>
        <v>-7.1044047384645763</v>
      </c>
      <c r="M499" s="8">
        <f t="shared" si="106"/>
        <v>147.79563364613841</v>
      </c>
      <c r="N499" s="8">
        <f t="shared" si="110"/>
        <v>25.000000000000011</v>
      </c>
      <c r="O499" s="8">
        <f t="shared" si="111"/>
        <v>26.201727778283772</v>
      </c>
    </row>
    <row r="500" spans="1:15" x14ac:dyDescent="0.3">
      <c r="A500" s="5">
        <f t="shared" si="112"/>
        <v>4.9199999999999395</v>
      </c>
      <c r="B500" s="5">
        <f t="shared" si="107"/>
        <v>154.85618403436555</v>
      </c>
      <c r="C500" s="6">
        <f t="shared" si="105"/>
        <v>5973.0242413255282</v>
      </c>
      <c r="D500" s="6">
        <f t="shared" si="113"/>
        <v>35677018.587462403</v>
      </c>
      <c r="E500" s="7">
        <f t="shared" si="114"/>
        <v>6248571.4285714282</v>
      </c>
      <c r="F500" s="7">
        <f t="shared" si="115"/>
        <v>124.97142857142855</v>
      </c>
      <c r="G500" s="7">
        <f t="shared" si="116"/>
        <v>29428447.158890974</v>
      </c>
      <c r="H500" s="6">
        <f t="shared" si="117"/>
        <v>5424.7992736036758</v>
      </c>
      <c r="I500" s="7">
        <f t="shared" si="118"/>
        <v>-4.3868024394752716</v>
      </c>
      <c r="J500" s="7">
        <f t="shared" si="119"/>
        <v>-91.203434618775091</v>
      </c>
      <c r="K500" s="8">
        <f t="shared" si="108"/>
        <v>169.20523695118905</v>
      </c>
      <c r="L500" s="8">
        <f t="shared" si="109"/>
        <v>-7.1066199519499396</v>
      </c>
      <c r="M500" s="8">
        <f t="shared" si="106"/>
        <v>147.74956408241562</v>
      </c>
      <c r="N500" s="8">
        <f t="shared" si="110"/>
        <v>25.000000000000025</v>
      </c>
      <c r="O500" s="8">
        <f t="shared" si="111"/>
        <v>26.202477312891762</v>
      </c>
    </row>
    <row r="501" spans="1:15" x14ac:dyDescent="0.3">
      <c r="A501" s="5">
        <f t="shared" si="112"/>
        <v>4.9299999999999393</v>
      </c>
      <c r="B501" s="5">
        <f t="shared" si="107"/>
        <v>154.8123160099708</v>
      </c>
      <c r="C501" s="6">
        <f t="shared" si="105"/>
        <v>5971.3321889560166</v>
      </c>
      <c r="D501" s="6">
        <f t="shared" si="113"/>
        <v>35656808.110862255</v>
      </c>
      <c r="E501" s="7">
        <f t="shared" si="114"/>
        <v>6248571.4285714282</v>
      </c>
      <c r="F501" s="7">
        <f t="shared" si="115"/>
        <v>124.97142857142855</v>
      </c>
      <c r="G501" s="7">
        <f t="shared" si="116"/>
        <v>29408236.682290826</v>
      </c>
      <c r="H501" s="6">
        <f t="shared" si="117"/>
        <v>5422.9361680081411</v>
      </c>
      <c r="I501" s="7">
        <f t="shared" si="118"/>
        <v>-4.3881711781380082</v>
      </c>
      <c r="J501" s="7">
        <f t="shared" si="119"/>
        <v>-91.174986852708187</v>
      </c>
      <c r="K501" s="8">
        <f t="shared" si="108"/>
        <v>169.25803115675174</v>
      </c>
      <c r="L501" s="8">
        <f t="shared" si="109"/>
        <v>-7.1088373085835723</v>
      </c>
      <c r="M501" s="8">
        <f t="shared" si="106"/>
        <v>147.70347870138724</v>
      </c>
      <c r="N501" s="8">
        <f t="shared" si="110"/>
        <v>25.000000000000018</v>
      </c>
      <c r="O501" s="8">
        <f t="shared" si="111"/>
        <v>26.203227806664533</v>
      </c>
    </row>
    <row r="502" spans="1:15" x14ac:dyDescent="0.3">
      <c r="A502" s="5">
        <f t="shared" si="112"/>
        <v>4.9399999999999391</v>
      </c>
      <c r="B502" s="5">
        <f t="shared" si="107"/>
        <v>154.76843429818942</v>
      </c>
      <c r="C502" s="6">
        <f t="shared" si="105"/>
        <v>5969.6396086444483</v>
      </c>
      <c r="D502" s="6">
        <f t="shared" si="113"/>
        <v>35636597.057096645</v>
      </c>
      <c r="E502" s="7">
        <f t="shared" si="114"/>
        <v>6248571.4285714282</v>
      </c>
      <c r="F502" s="7">
        <f t="shared" si="115"/>
        <v>124.97142857142855</v>
      </c>
      <c r="G502" s="7">
        <f t="shared" si="116"/>
        <v>29388025.628525216</v>
      </c>
      <c r="H502" s="6">
        <f t="shared" si="117"/>
        <v>5421.0723688699463</v>
      </c>
      <c r="I502" s="7">
        <f t="shared" si="118"/>
        <v>-4.3895412419084536</v>
      </c>
      <c r="J502" s="7">
        <f t="shared" si="119"/>
        <v>-91.146529312529466</v>
      </c>
      <c r="K502" s="8">
        <f t="shared" si="108"/>
        <v>169.31087647361178</v>
      </c>
      <c r="L502" s="8">
        <f t="shared" si="109"/>
        <v>-7.1110568118916939</v>
      </c>
      <c r="M502" s="8">
        <f t="shared" si="106"/>
        <v>147.65737748629772</v>
      </c>
      <c r="N502" s="8">
        <f t="shared" si="110"/>
        <v>25.000000000000018</v>
      </c>
      <c r="O502" s="8">
        <f t="shared" si="111"/>
        <v>26.203979261475052</v>
      </c>
    </row>
    <row r="503" spans="1:15" x14ac:dyDescent="0.3">
      <c r="A503" s="5">
        <f t="shared" si="112"/>
        <v>4.9499999999999389</v>
      </c>
      <c r="B503" s="5">
        <f t="shared" si="107"/>
        <v>154.72453888577033</v>
      </c>
      <c r="C503" s="6">
        <f t="shared" si="105"/>
        <v>5967.9464998797121</v>
      </c>
      <c r="D503" s="6">
        <f t="shared" si="113"/>
        <v>35616385.425426506</v>
      </c>
      <c r="E503" s="7">
        <f t="shared" si="114"/>
        <v>6248571.4285714282</v>
      </c>
      <c r="F503" s="7">
        <f t="shared" si="115"/>
        <v>124.97142857142855</v>
      </c>
      <c r="G503" s="7">
        <f t="shared" si="116"/>
        <v>29367813.996855076</v>
      </c>
      <c r="H503" s="6">
        <f t="shared" si="117"/>
        <v>5419.2078754053227</v>
      </c>
      <c r="I503" s="7">
        <f t="shared" si="118"/>
        <v>-4.390912632968365</v>
      </c>
      <c r="J503" s="7">
        <f t="shared" si="119"/>
        <v>-91.118061987877525</v>
      </c>
      <c r="K503" s="8">
        <f t="shared" si="108"/>
        <v>169.36377298592265</v>
      </c>
      <c r="L503" s="8">
        <f t="shared" si="109"/>
        <v>-7.1132784654087509</v>
      </c>
      <c r="M503" s="8">
        <f t="shared" si="106"/>
        <v>147.61126042036159</v>
      </c>
      <c r="N503" s="8">
        <f t="shared" si="110"/>
        <v>25.000000000000028</v>
      </c>
      <c r="O503" s="8">
        <f t="shared" si="111"/>
        <v>26.204731679201167</v>
      </c>
    </row>
    <row r="504" spans="1:15" x14ac:dyDescent="0.3">
      <c r="A504" s="5">
        <f t="shared" si="112"/>
        <v>4.9599999999999387</v>
      </c>
      <c r="B504" s="5">
        <f t="shared" si="107"/>
        <v>154.68062975944065</v>
      </c>
      <c r="C504" s="6">
        <f t="shared" si="105"/>
        <v>5966.2528621498532</v>
      </c>
      <c r="D504" s="6">
        <f t="shared" si="113"/>
        <v>35596173.215111315</v>
      </c>
      <c r="E504" s="7">
        <f t="shared" si="114"/>
        <v>6248571.4285714282</v>
      </c>
      <c r="F504" s="7">
        <f t="shared" si="115"/>
        <v>124.97142857142855</v>
      </c>
      <c r="G504" s="7">
        <f t="shared" si="116"/>
        <v>29347601.786539886</v>
      </c>
      <c r="H504" s="6">
        <f t="shared" si="117"/>
        <v>5417.3426868290217</v>
      </c>
      <c r="I504" s="7">
        <f t="shared" si="118"/>
        <v>-4.3922853535045965</v>
      </c>
      <c r="J504" s="7">
        <f t="shared" si="119"/>
        <v>-91.08958486837237</v>
      </c>
      <c r="K504" s="8">
        <f t="shared" si="108"/>
        <v>169.41672077803443</v>
      </c>
      <c r="L504" s="8">
        <f t="shared" si="109"/>
        <v>-7.1155022726774453</v>
      </c>
      <c r="M504" s="8">
        <f t="shared" si="106"/>
        <v>147.5651274867632</v>
      </c>
      <c r="N504" s="8">
        <f t="shared" si="110"/>
        <v>25.000000000000014</v>
      </c>
      <c r="O504" s="8">
        <f t="shared" si="111"/>
        <v>26.205485061725678</v>
      </c>
    </row>
    <row r="505" spans="1:15" x14ac:dyDescent="0.3">
      <c r="A505" s="5">
        <f t="shared" si="112"/>
        <v>4.9699999999999385</v>
      </c>
      <c r="B505" s="5">
        <f t="shared" si="107"/>
        <v>154.63670690590561</v>
      </c>
      <c r="C505" s="6">
        <f t="shared" si="105"/>
        <v>5964.5586949420731</v>
      </c>
      <c r="D505" s="6">
        <f t="shared" si="113"/>
        <v>35575960.425409086</v>
      </c>
      <c r="E505" s="7">
        <f t="shared" si="114"/>
        <v>6248571.4285714282</v>
      </c>
      <c r="F505" s="7">
        <f t="shared" si="115"/>
        <v>124.97142857142855</v>
      </c>
      <c r="G505" s="7">
        <f t="shared" si="116"/>
        <v>29327388.996837657</v>
      </c>
      <c r="H505" s="6">
        <f t="shared" si="117"/>
        <v>5415.4768023543093</v>
      </c>
      <c r="I505" s="7">
        <f t="shared" si="118"/>
        <v>-4.3936594057091307</v>
      </c>
      <c r="J505" s="7">
        <f t="shared" si="119"/>
        <v>-91.061097943615337</v>
      </c>
      <c r="K505" s="8">
        <f t="shared" si="108"/>
        <v>169.46971993449503</v>
      </c>
      <c r="L505" s="8">
        <f t="shared" si="109"/>
        <v>-7.1177282372487909</v>
      </c>
      <c r="M505" s="8">
        <f t="shared" si="106"/>
        <v>147.51897866865681</v>
      </c>
      <c r="N505" s="8">
        <f t="shared" si="110"/>
        <v>25.000000000000018</v>
      </c>
      <c r="O505" s="8">
        <f t="shared" si="111"/>
        <v>26.206239410936419</v>
      </c>
    </row>
    <row r="506" spans="1:15" x14ac:dyDescent="0.3">
      <c r="A506" s="5">
        <f t="shared" si="112"/>
        <v>4.9799999999999383</v>
      </c>
      <c r="B506" s="5">
        <f t="shared" si="107"/>
        <v>154.59277031184851</v>
      </c>
      <c r="C506" s="6">
        <f t="shared" si="105"/>
        <v>5962.8639977427283</v>
      </c>
      <c r="D506" s="6">
        <f t="shared" si="113"/>
        <v>35555747.055576392</v>
      </c>
      <c r="E506" s="7">
        <f t="shared" si="114"/>
        <v>6248571.4285714282</v>
      </c>
      <c r="F506" s="7">
        <f t="shared" si="115"/>
        <v>124.97142857142855</v>
      </c>
      <c r="G506" s="7">
        <f t="shared" si="116"/>
        <v>29307175.627004962</v>
      </c>
      <c r="H506" s="6">
        <f t="shared" si="117"/>
        <v>5413.6102211929665</v>
      </c>
      <c r="I506" s="7">
        <f t="shared" si="118"/>
        <v>-4.3950347917790733</v>
      </c>
      <c r="J506" s="7">
        <f t="shared" si="119"/>
        <v>-91.032601203189159</v>
      </c>
      <c r="K506" s="8">
        <f t="shared" si="108"/>
        <v>169.52277054004995</v>
      </c>
      <c r="L506" s="8">
        <f t="shared" si="109"/>
        <v>-7.119956362682097</v>
      </c>
      <c r="M506" s="8">
        <f t="shared" si="106"/>
        <v>147.47281394916641</v>
      </c>
      <c r="N506" s="8">
        <f t="shared" si="110"/>
        <v>25.000000000000014</v>
      </c>
      <c r="O506" s="8">
        <f t="shared" si="111"/>
        <v>26.206994728726141</v>
      </c>
    </row>
    <row r="507" spans="1:15" x14ac:dyDescent="0.3">
      <c r="A507" s="5">
        <f t="shared" si="112"/>
        <v>4.989999999999938</v>
      </c>
      <c r="B507" s="5">
        <f t="shared" si="107"/>
        <v>154.54881996393073</v>
      </c>
      <c r="C507" s="6">
        <f t="shared" si="105"/>
        <v>5961.1687700373277</v>
      </c>
      <c r="D507" s="6">
        <f t="shared" si="113"/>
        <v>35535533.104868345</v>
      </c>
      <c r="E507" s="7">
        <f t="shared" si="114"/>
        <v>6248571.4285714282</v>
      </c>
      <c r="F507" s="7">
        <f t="shared" si="115"/>
        <v>124.97142857142855</v>
      </c>
      <c r="G507" s="7">
        <f t="shared" si="116"/>
        <v>29286961.676296916</v>
      </c>
      <c r="H507" s="6">
        <f t="shared" si="117"/>
        <v>5411.7429425552837</v>
      </c>
      <c r="I507" s="7">
        <f t="shared" si="118"/>
        <v>-4.3964115139166768</v>
      </c>
      <c r="J507" s="7">
        <f t="shared" si="119"/>
        <v>-91.004094636657854</v>
      </c>
      <c r="K507" s="8">
        <f t="shared" si="108"/>
        <v>169.57587267964325</v>
      </c>
      <c r="L507" s="8">
        <f t="shared" si="109"/>
        <v>-7.1221866525450164</v>
      </c>
      <c r="M507" s="8">
        <f t="shared" si="106"/>
        <v>147.4266333113857</v>
      </c>
      <c r="N507" s="8">
        <f t="shared" si="110"/>
        <v>24.999999999999993</v>
      </c>
      <c r="O507" s="8">
        <f t="shared" si="111"/>
        <v>26.207751016992624</v>
      </c>
    </row>
    <row r="508" spans="1:15" x14ac:dyDescent="0.3">
      <c r="A508" s="5">
        <f t="shared" si="112"/>
        <v>4.9999999999999378</v>
      </c>
      <c r="B508" s="5">
        <f t="shared" si="107"/>
        <v>154.50485584879155</v>
      </c>
      <c r="C508" s="6">
        <f t="shared" si="105"/>
        <v>5959.4730113105306</v>
      </c>
      <c r="D508" s="6">
        <f t="shared" si="113"/>
        <v>35515318.572538607</v>
      </c>
      <c r="E508" s="7">
        <f t="shared" si="114"/>
        <v>6248571.4285714282</v>
      </c>
      <c r="F508" s="7">
        <f t="shared" si="115"/>
        <v>124.97142857142855</v>
      </c>
      <c r="G508" s="7">
        <f t="shared" si="116"/>
        <v>29266747.143967178</v>
      </c>
      <c r="H508" s="6">
        <f t="shared" si="117"/>
        <v>5409.874965650054</v>
      </c>
      <c r="I508" s="7">
        <f t="shared" si="118"/>
        <v>-4.3977895743293747</v>
      </c>
      <c r="J508" s="7">
        <f t="shared" si="119"/>
        <v>-90.975578233566651</v>
      </c>
      <c r="K508" s="8">
        <f t="shared" si="108"/>
        <v>169.62902643841872</v>
      </c>
      <c r="L508" s="8">
        <f t="shared" si="109"/>
        <v>-7.1244191104135854</v>
      </c>
      <c r="M508" s="8">
        <f t="shared" si="106"/>
        <v>147.38043673837797</v>
      </c>
      <c r="N508" s="8">
        <f t="shared" si="110"/>
        <v>25.000000000000014</v>
      </c>
      <c r="O508" s="8">
        <f t="shared" si="111"/>
        <v>26.208508277638735</v>
      </c>
    </row>
    <row r="509" spans="1:15" x14ac:dyDescent="0.3">
      <c r="A509" s="5">
        <f t="shared" si="112"/>
        <v>5.0099999999999376</v>
      </c>
      <c r="B509" s="5">
        <f t="shared" si="107"/>
        <v>154.46087795304825</v>
      </c>
      <c r="C509" s="6">
        <f t="shared" si="105"/>
        <v>5957.776721046147</v>
      </c>
      <c r="D509" s="6">
        <f t="shared" si="113"/>
        <v>35495103.457839377</v>
      </c>
      <c r="E509" s="7">
        <f t="shared" si="114"/>
        <v>6248571.4285714282</v>
      </c>
      <c r="F509" s="7">
        <f t="shared" si="115"/>
        <v>124.97142857142855</v>
      </c>
      <c r="G509" s="7">
        <f t="shared" si="116"/>
        <v>29246532.029267948</v>
      </c>
      <c r="H509" s="6">
        <f t="shared" si="117"/>
        <v>5408.0062896845775</v>
      </c>
      <c r="I509" s="7">
        <f t="shared" si="118"/>
        <v>-4.3991689752297525</v>
      </c>
      <c r="J509" s="7">
        <f t="shared" si="119"/>
        <v>-90.947051983442023</v>
      </c>
      <c r="K509" s="8">
        <f t="shared" si="108"/>
        <v>169.68223190171901</v>
      </c>
      <c r="L509" s="8">
        <f t="shared" si="109"/>
        <v>-7.1266537398721974</v>
      </c>
      <c r="M509" s="8">
        <f t="shared" si="106"/>
        <v>147.33422421317604</v>
      </c>
      <c r="N509" s="8">
        <f t="shared" si="110"/>
        <v>25</v>
      </c>
      <c r="O509" s="8">
        <f t="shared" si="111"/>
        <v>26.209266512572249</v>
      </c>
    </row>
    <row r="510" spans="1:15" x14ac:dyDescent="0.3">
      <c r="A510" s="5">
        <f t="shared" si="112"/>
        <v>5.0199999999999374</v>
      </c>
      <c r="B510" s="5">
        <f t="shared" si="107"/>
        <v>154.41688626329596</v>
      </c>
      <c r="C510" s="6">
        <f t="shared" si="105"/>
        <v>5956.0798987271301</v>
      </c>
      <c r="D510" s="6">
        <f t="shared" si="113"/>
        <v>35474887.760021381</v>
      </c>
      <c r="E510" s="7">
        <f t="shared" si="114"/>
        <v>6248571.4285714282</v>
      </c>
      <c r="F510" s="7">
        <f t="shared" si="115"/>
        <v>124.97142857142855</v>
      </c>
      <c r="G510" s="7">
        <f t="shared" si="116"/>
        <v>29226316.331449952</v>
      </c>
      <c r="H510" s="6">
        <f t="shared" si="117"/>
        <v>5406.1369138646451</v>
      </c>
      <c r="I510" s="7">
        <f t="shared" si="118"/>
        <v>-4.4005497188356149</v>
      </c>
      <c r="J510" s="7">
        <f t="shared" si="119"/>
        <v>-90.918515875791542</v>
      </c>
      <c r="K510" s="8">
        <f t="shared" si="108"/>
        <v>169.735489155088</v>
      </c>
      <c r="L510" s="8">
        <f t="shared" si="109"/>
        <v>-7.1288905445136956</v>
      </c>
      <c r="M510" s="8">
        <f t="shared" si="106"/>
        <v>147.28799571878227</v>
      </c>
      <c r="N510" s="8">
        <f t="shared" si="110"/>
        <v>25.000000000000014</v>
      </c>
      <c r="O510" s="8">
        <f t="shared" si="111"/>
        <v>26.210025723706131</v>
      </c>
    </row>
    <row r="511" spans="1:15" x14ac:dyDescent="0.3">
      <c r="A511" s="5">
        <f t="shared" si="112"/>
        <v>5.0299999999999372</v>
      </c>
      <c r="B511" s="5">
        <f t="shared" si="107"/>
        <v>154.37288076610761</v>
      </c>
      <c r="C511" s="6">
        <f t="shared" si="105"/>
        <v>5954.3825438355789</v>
      </c>
      <c r="D511" s="6">
        <f t="shared" si="113"/>
        <v>35454671.478333861</v>
      </c>
      <c r="E511" s="7">
        <f t="shared" si="114"/>
        <v>6248571.4285714282</v>
      </c>
      <c r="F511" s="7">
        <f t="shared" si="115"/>
        <v>124.97142857142855</v>
      </c>
      <c r="G511" s="7">
        <f t="shared" si="116"/>
        <v>29206100.049762432</v>
      </c>
      <c r="H511" s="6">
        <f t="shared" si="117"/>
        <v>5404.2668373945444</v>
      </c>
      <c r="I511" s="7">
        <f t="shared" si="118"/>
        <v>-4.4019318073699614</v>
      </c>
      <c r="J511" s="7">
        <f t="shared" si="119"/>
        <v>-90.889969900103878</v>
      </c>
      <c r="K511" s="8">
        <f t="shared" si="108"/>
        <v>169.78879828426992</v>
      </c>
      <c r="L511" s="8">
        <f t="shared" si="109"/>
        <v>-7.1311295279393354</v>
      </c>
      <c r="M511" s="8">
        <f t="shared" si="106"/>
        <v>147.24175123816829</v>
      </c>
      <c r="N511" s="8">
        <f t="shared" si="110"/>
        <v>25.000000000000007</v>
      </c>
      <c r="O511" s="8">
        <f t="shared" si="111"/>
        <v>26.210785912958297</v>
      </c>
    </row>
    <row r="512" spans="1:15" x14ac:dyDescent="0.3">
      <c r="A512" s="5">
        <f t="shared" si="112"/>
        <v>5.039999999999937</v>
      </c>
      <c r="B512" s="5">
        <f t="shared" si="107"/>
        <v>154.3288614480339</v>
      </c>
      <c r="C512" s="6">
        <f t="shared" si="105"/>
        <v>5952.6846558527359</v>
      </c>
      <c r="D512" s="6">
        <f t="shared" si="113"/>
        <v>35434454.612024605</v>
      </c>
      <c r="E512" s="7">
        <f t="shared" si="114"/>
        <v>6248571.4285714282</v>
      </c>
      <c r="F512" s="7">
        <f t="shared" si="115"/>
        <v>124.97142857142855</v>
      </c>
      <c r="G512" s="7">
        <f t="shared" si="116"/>
        <v>29185883.183453176</v>
      </c>
      <c r="H512" s="6">
        <f t="shared" si="117"/>
        <v>5402.3960594770515</v>
      </c>
      <c r="I512" s="7">
        <f t="shared" si="118"/>
        <v>-4.4033152430610327</v>
      </c>
      <c r="J512" s="7">
        <f t="shared" si="119"/>
        <v>-90.86141404584879</v>
      </c>
      <c r="K512" s="8">
        <f t="shared" si="108"/>
        <v>169.84215937521125</v>
      </c>
      <c r="L512" s="8">
        <f t="shared" si="109"/>
        <v>-7.1333706937588719</v>
      </c>
      <c r="M512" s="8">
        <f t="shared" si="106"/>
        <v>147.19549075427503</v>
      </c>
      <c r="N512" s="8">
        <f t="shared" si="110"/>
        <v>25.000000000000014</v>
      </c>
      <c r="O512" s="8">
        <f t="shared" si="111"/>
        <v>26.211547082251869</v>
      </c>
    </row>
    <row r="513" spans="1:15" x14ac:dyDescent="0.3">
      <c r="A513" s="5">
        <f t="shared" si="112"/>
        <v>5.0499999999999368</v>
      </c>
      <c r="B513" s="5">
        <f t="shared" si="107"/>
        <v>154.28482829560329</v>
      </c>
      <c r="C513" s="6">
        <f t="shared" si="105"/>
        <v>5950.986234258984</v>
      </c>
      <c r="D513" s="6">
        <f t="shared" si="113"/>
        <v>35414237.160339922</v>
      </c>
      <c r="E513" s="7">
        <f t="shared" si="114"/>
        <v>6248571.4285714282</v>
      </c>
      <c r="F513" s="7">
        <f t="shared" si="115"/>
        <v>124.97142857142855</v>
      </c>
      <c r="G513" s="7">
        <f t="shared" si="116"/>
        <v>29165665.731768493</v>
      </c>
      <c r="H513" s="6">
        <f t="shared" si="117"/>
        <v>5400.5245793134291</v>
      </c>
      <c r="I513" s="7">
        <f t="shared" si="118"/>
        <v>-4.4047000281423019</v>
      </c>
      <c r="J513" s="7">
        <f t="shared" si="119"/>
        <v>-90.832848302477032</v>
      </c>
      <c r="K513" s="8">
        <f t="shared" si="108"/>
        <v>169.89557251406021</v>
      </c>
      <c r="L513" s="8">
        <f t="shared" si="109"/>
        <v>-7.1356140455905281</v>
      </c>
      <c r="M513" s="8">
        <f t="shared" si="106"/>
        <v>147.14921425001276</v>
      </c>
      <c r="N513" s="8">
        <f t="shared" si="110"/>
        <v>25.000000000000025</v>
      </c>
      <c r="O513" s="8">
        <f t="shared" si="111"/>
        <v>26.212309233514997</v>
      </c>
    </row>
    <row r="514" spans="1:15" x14ac:dyDescent="0.3">
      <c r="A514" s="5">
        <f t="shared" si="112"/>
        <v>5.0599999999999365</v>
      </c>
      <c r="B514" s="5">
        <f t="shared" si="107"/>
        <v>154.24078129532188</v>
      </c>
      <c r="C514" s="6">
        <f t="shared" si="105"/>
        <v>5949.2872785338441</v>
      </c>
      <c r="D514" s="6">
        <f t="shared" si="113"/>
        <v>35394019.122524634</v>
      </c>
      <c r="E514" s="7">
        <f t="shared" si="114"/>
        <v>6248571.4285714282</v>
      </c>
      <c r="F514" s="7">
        <f t="shared" si="115"/>
        <v>124.97142857142855</v>
      </c>
      <c r="G514" s="7">
        <f t="shared" si="116"/>
        <v>29145447.693953205</v>
      </c>
      <c r="H514" s="6">
        <f t="shared" si="117"/>
        <v>5398.6523961034209</v>
      </c>
      <c r="I514" s="7">
        <f t="shared" si="118"/>
        <v>-4.4060861648524954</v>
      </c>
      <c r="J514" s="7">
        <f t="shared" si="119"/>
        <v>-90.804272659420292</v>
      </c>
      <c r="K514" s="8">
        <f t="shared" si="108"/>
        <v>169.94903778716767</v>
      </c>
      <c r="L514" s="8">
        <f t="shared" si="109"/>
        <v>-7.1378595870610413</v>
      </c>
      <c r="M514" s="8">
        <f t="shared" si="106"/>
        <v>147.10292170826085</v>
      </c>
      <c r="N514" s="8">
        <f t="shared" si="110"/>
        <v>24.999999999999989</v>
      </c>
      <c r="O514" s="8">
        <f t="shared" si="111"/>
        <v>26.213072368680923</v>
      </c>
    </row>
    <row r="515" spans="1:15" x14ac:dyDescent="0.3">
      <c r="A515" s="5">
        <f t="shared" si="112"/>
        <v>5.0699999999999363</v>
      </c>
      <c r="B515" s="5">
        <f t="shared" si="107"/>
        <v>154.19672043367336</v>
      </c>
      <c r="C515" s="6">
        <f t="shared" si="105"/>
        <v>5947.5877881559727</v>
      </c>
      <c r="D515" s="6">
        <f t="shared" si="113"/>
        <v>35373800.497822054</v>
      </c>
      <c r="E515" s="7">
        <f t="shared" si="114"/>
        <v>6248571.4285714282</v>
      </c>
      <c r="F515" s="7">
        <f t="shared" si="115"/>
        <v>124.97142857142855</v>
      </c>
      <c r="G515" s="7">
        <f t="shared" si="116"/>
        <v>29125229.069250625</v>
      </c>
      <c r="H515" s="6">
        <f t="shared" si="117"/>
        <v>5396.7795090452437</v>
      </c>
      <c r="I515" s="7">
        <f t="shared" si="118"/>
        <v>-4.4074736554356466</v>
      </c>
      <c r="J515" s="7">
        <f t="shared" si="119"/>
        <v>-90.775687106091155</v>
      </c>
      <c r="K515" s="8">
        <f t="shared" si="108"/>
        <v>170.00255528108923</v>
      </c>
      <c r="L515" s="8">
        <f t="shared" si="109"/>
        <v>-7.1401073218057469</v>
      </c>
      <c r="M515" s="8">
        <f t="shared" si="106"/>
        <v>147.05661311186762</v>
      </c>
      <c r="N515" s="8">
        <f t="shared" si="110"/>
        <v>25.000000000000025</v>
      </c>
      <c r="O515" s="8">
        <f t="shared" si="111"/>
        <v>26.213836489688216</v>
      </c>
    </row>
    <row r="516" spans="1:15" x14ac:dyDescent="0.3">
      <c r="A516" s="5">
        <f t="shared" si="112"/>
        <v>5.0799999999999361</v>
      </c>
      <c r="B516" s="5">
        <f t="shared" si="107"/>
        <v>154.152645697119</v>
      </c>
      <c r="C516" s="6">
        <f t="shared" si="105"/>
        <v>5945.8877626031608</v>
      </c>
      <c r="D516" s="6">
        <f t="shared" si="113"/>
        <v>35353581.285474025</v>
      </c>
      <c r="E516" s="7">
        <f t="shared" si="114"/>
        <v>6248571.4285714282</v>
      </c>
      <c r="F516" s="7">
        <f t="shared" si="115"/>
        <v>124.97142857142855</v>
      </c>
      <c r="G516" s="7">
        <f t="shared" si="116"/>
        <v>29105009.856902596</v>
      </c>
      <c r="H516" s="6">
        <f t="shared" si="117"/>
        <v>5394.9059173355927</v>
      </c>
      <c r="I516" s="7">
        <f t="shared" si="118"/>
        <v>-4.4088625021410355</v>
      </c>
      <c r="J516" s="7">
        <f t="shared" si="119"/>
        <v>-90.747091631883052</v>
      </c>
      <c r="K516" s="8">
        <f t="shared" si="108"/>
        <v>170.05612508258278</v>
      </c>
      <c r="L516" s="8">
        <f t="shared" si="109"/>
        <v>-7.1423572534684761</v>
      </c>
      <c r="M516" s="8">
        <f t="shared" si="106"/>
        <v>147.01028844365052</v>
      </c>
      <c r="N516" s="8">
        <f t="shared" si="110"/>
        <v>25.000000000000007</v>
      </c>
      <c r="O516" s="8">
        <f t="shared" si="111"/>
        <v>26.214601598480336</v>
      </c>
    </row>
    <row r="517" spans="1:15" x14ac:dyDescent="0.3">
      <c r="A517" s="5">
        <f t="shared" si="112"/>
        <v>5.0899999999999359</v>
      </c>
      <c r="B517" s="5">
        <f t="shared" si="107"/>
        <v>154.1085570720976</v>
      </c>
      <c r="C517" s="6">
        <f t="shared" si="105"/>
        <v>5944.1872013523353</v>
      </c>
      <c r="D517" s="6">
        <f t="shared" si="113"/>
        <v>35333361.484720908</v>
      </c>
      <c r="E517" s="7">
        <f t="shared" si="114"/>
        <v>6248571.4285714282</v>
      </c>
      <c r="F517" s="7">
        <f t="shared" si="115"/>
        <v>124.97142857142855</v>
      </c>
      <c r="G517" s="7">
        <f t="shared" si="116"/>
        <v>29084790.056149479</v>
      </c>
      <c r="H517" s="6">
        <f t="shared" si="117"/>
        <v>5393.0316201696314</v>
      </c>
      <c r="I517" s="7">
        <f t="shared" si="118"/>
        <v>-4.4102527072232824</v>
      </c>
      <c r="J517" s="7">
        <f t="shared" si="119"/>
        <v>-90.718486226170299</v>
      </c>
      <c r="K517" s="8">
        <f t="shared" si="108"/>
        <v>170.1097472786123</v>
      </c>
      <c r="L517" s="8">
        <f t="shared" si="109"/>
        <v>-7.1446093857017159</v>
      </c>
      <c r="M517" s="8">
        <f t="shared" si="106"/>
        <v>146.96394768639587</v>
      </c>
      <c r="N517" s="8">
        <f t="shared" si="110"/>
        <v>25</v>
      </c>
      <c r="O517" s="8">
        <f t="shared" si="111"/>
        <v>26.215367697006123</v>
      </c>
    </row>
    <row r="518" spans="1:15" x14ac:dyDescent="0.3">
      <c r="A518" s="5">
        <f t="shared" si="112"/>
        <v>5.0999999999999357</v>
      </c>
      <c r="B518" s="5">
        <f t="shared" si="107"/>
        <v>154.06445454502537</v>
      </c>
      <c r="C518" s="6">
        <f t="shared" si="105"/>
        <v>5942.4861038795498</v>
      </c>
      <c r="D518" s="6">
        <f t="shared" si="113"/>
        <v>35313141.094801553</v>
      </c>
      <c r="E518" s="7">
        <f t="shared" si="114"/>
        <v>6248571.4285714282</v>
      </c>
      <c r="F518" s="7">
        <f t="shared" si="115"/>
        <v>124.97142857142855</v>
      </c>
      <c r="G518" s="7">
        <f t="shared" si="116"/>
        <v>29064569.666230123</v>
      </c>
      <c r="H518" s="6">
        <f t="shared" si="117"/>
        <v>5391.1566167409865</v>
      </c>
      <c r="I518" s="7">
        <f t="shared" si="118"/>
        <v>-4.4116442729423229</v>
      </c>
      <c r="J518" s="7">
        <f t="shared" si="119"/>
        <v>-90.689870878307929</v>
      </c>
      <c r="K518" s="8">
        <f t="shared" si="108"/>
        <v>170.16342195634672</v>
      </c>
      <c r="L518" s="8">
        <f t="shared" si="109"/>
        <v>-7.1468637221665618</v>
      </c>
      <c r="M518" s="8">
        <f t="shared" si="106"/>
        <v>146.91759082285881</v>
      </c>
      <c r="N518" s="8">
        <f t="shared" si="110"/>
        <v>25.000000000000018</v>
      </c>
      <c r="O518" s="8">
        <f t="shared" si="111"/>
        <v>26.216134787219552</v>
      </c>
    </row>
    <row r="519" spans="1:15" x14ac:dyDescent="0.3">
      <c r="A519" s="5">
        <f t="shared" si="112"/>
        <v>5.1099999999999355</v>
      </c>
      <c r="B519" s="5">
        <f t="shared" si="107"/>
        <v>154.02033810229594</v>
      </c>
      <c r="C519" s="6">
        <f t="shared" si="105"/>
        <v>5940.7844696599859</v>
      </c>
      <c r="D519" s="6">
        <f t="shared" si="113"/>
        <v>35292920.114953279</v>
      </c>
      <c r="E519" s="7">
        <f t="shared" si="114"/>
        <v>6248571.4285714282</v>
      </c>
      <c r="F519" s="7">
        <f t="shared" si="115"/>
        <v>124.97142857142855</v>
      </c>
      <c r="G519" s="7">
        <f t="shared" si="116"/>
        <v>29044348.68638185</v>
      </c>
      <c r="H519" s="6">
        <f t="shared" si="117"/>
        <v>5389.2809062417455</v>
      </c>
      <c r="I519" s="7">
        <f t="shared" si="118"/>
        <v>-4.4130372015634247</v>
      </c>
      <c r="J519" s="7">
        <f t="shared" si="119"/>
        <v>-90.661245577631618</v>
      </c>
      <c r="K519" s="8">
        <f t="shared" si="108"/>
        <v>170.21714920316066</v>
      </c>
      <c r="L519" s="8">
        <f t="shared" si="109"/>
        <v>-7.1491202665327469</v>
      </c>
      <c r="M519" s="8">
        <f t="shared" si="106"/>
        <v>146.87121783576319</v>
      </c>
      <c r="N519" s="8">
        <f t="shared" si="110"/>
        <v>25.000000000000014</v>
      </c>
      <c r="O519" s="8">
        <f t="shared" si="111"/>
        <v>26.216902871079757</v>
      </c>
    </row>
    <row r="520" spans="1:15" x14ac:dyDescent="0.3">
      <c r="A520" s="5">
        <f t="shared" si="112"/>
        <v>5.1199999999999353</v>
      </c>
      <c r="B520" s="5">
        <f t="shared" si="107"/>
        <v>153.97620773028029</v>
      </c>
      <c r="C520" s="6">
        <f t="shared" ref="C520:C583" si="120">$B$1*B520</f>
        <v>5939.0822981679539</v>
      </c>
      <c r="D520" s="6">
        <f t="shared" si="113"/>
        <v>35272698.544411942</v>
      </c>
      <c r="E520" s="7">
        <f t="shared" si="114"/>
        <v>6248571.4285714282</v>
      </c>
      <c r="F520" s="7">
        <f t="shared" si="115"/>
        <v>124.97142857142855</v>
      </c>
      <c r="G520" s="7">
        <f t="shared" si="116"/>
        <v>29024127.115840513</v>
      </c>
      <c r="H520" s="6">
        <f t="shared" si="117"/>
        <v>5387.4044878624545</v>
      </c>
      <c r="I520" s="7">
        <f t="shared" si="118"/>
        <v>-4.4144314953572206</v>
      </c>
      <c r="J520" s="7">
        <f t="shared" si="119"/>
        <v>-90.632610313457789</v>
      </c>
      <c r="K520" s="8">
        <f t="shared" si="108"/>
        <v>170.27092910663563</v>
      </c>
      <c r="L520" s="8">
        <f t="shared" si="109"/>
        <v>-7.1513790224786957</v>
      </c>
      <c r="M520" s="8">
        <f t="shared" ref="M520:M583" si="121">B520+L520</f>
        <v>146.8248287078016</v>
      </c>
      <c r="N520" s="8">
        <f t="shared" si="110"/>
        <v>25.000000000000007</v>
      </c>
      <c r="O520" s="8">
        <f t="shared" si="111"/>
        <v>26.217671950551157</v>
      </c>
    </row>
    <row r="521" spans="1:15" x14ac:dyDescent="0.3">
      <c r="A521" s="5">
        <f t="shared" si="112"/>
        <v>5.1299999999999351</v>
      </c>
      <c r="B521" s="5">
        <f t="shared" ref="B521:B584" si="122">I520*$B$5+B520</f>
        <v>153.93206341532672</v>
      </c>
      <c r="C521" s="6">
        <f t="shared" si="120"/>
        <v>5937.3795888768873</v>
      </c>
      <c r="D521" s="6">
        <f t="shared" si="113"/>
        <v>35252476.382411875</v>
      </c>
      <c r="E521" s="7">
        <f t="shared" si="114"/>
        <v>6248571.4285714282</v>
      </c>
      <c r="F521" s="7">
        <f t="shared" si="115"/>
        <v>124.97142857142855</v>
      </c>
      <c r="G521" s="7">
        <f t="shared" si="116"/>
        <v>29003904.953840446</v>
      </c>
      <c r="H521" s="6">
        <f t="shared" si="117"/>
        <v>5385.5273607921117</v>
      </c>
      <c r="I521" s="7">
        <f t="shared" si="118"/>
        <v>-4.4158271565997138</v>
      </c>
      <c r="J521" s="7">
        <f t="shared" si="119"/>
        <v>-90.603965075083451</v>
      </c>
      <c r="K521" s="8">
        <f t="shared" ref="K521:K584" si="123">-$B$1*I521</f>
        <v>170.32476175456037</v>
      </c>
      <c r="L521" s="8">
        <f t="shared" ref="L521:L584" si="124">-$B$2*K521</f>
        <v>-7.1536399936915345</v>
      </c>
      <c r="M521" s="8">
        <f t="shared" si="121"/>
        <v>146.77842342163518</v>
      </c>
      <c r="N521" s="8">
        <f t="shared" ref="N521:N584" si="125">K521*M521/1000</f>
        <v>24.999999999999996</v>
      </c>
      <c r="O521" s="8">
        <f t="shared" ref="O521:O584" si="126">B521*K521/1000</f>
        <v>26.218442027603402</v>
      </c>
    </row>
    <row r="522" spans="1:15" x14ac:dyDescent="0.3">
      <c r="A522" s="5">
        <f t="shared" ref="A522:A585" si="127">A521+$B$5</f>
        <v>5.1399999999999348</v>
      </c>
      <c r="B522" s="5">
        <f t="shared" si="122"/>
        <v>153.88790514376072</v>
      </c>
      <c r="C522" s="6">
        <f t="shared" si="120"/>
        <v>5935.6763412593418</v>
      </c>
      <c r="D522" s="6">
        <f t="shared" ref="D522:D585" si="128">POWER(C522,2)</f>
        <v>35232253.628185883</v>
      </c>
      <c r="E522" s="7">
        <f t="shared" ref="E522:E585" si="129">4*$B$2*$B$3*POWER($B$1,2)</f>
        <v>6248571.4285714282</v>
      </c>
      <c r="F522" s="7">
        <f t="shared" ref="F522:F585" si="130">POWER($B$1,2)*2*$B$2</f>
        <v>124.97142857142855</v>
      </c>
      <c r="G522" s="7">
        <f t="shared" ref="G522:G585" si="131">D522-E522</f>
        <v>28983682.199614454</v>
      </c>
      <c r="H522" s="6">
        <f t="shared" ref="H522:H585" si="132">SQRT(G522)</f>
        <v>5383.6495242181627</v>
      </c>
      <c r="I522" s="7">
        <f t="shared" ref="I522:I585" si="133">(-C522+H522)/F522</f>
        <v>-4.4172241875723079</v>
      </c>
      <c r="J522" s="7">
        <f t="shared" ref="J522:J585" si="134">(-C522-H522)/F522</f>
        <v>-90.575309851786187</v>
      </c>
      <c r="K522" s="8">
        <f t="shared" si="123"/>
        <v>170.37864723493186</v>
      </c>
      <c r="L522" s="8">
        <f t="shared" si="124"/>
        <v>-7.1559031838671379</v>
      </c>
      <c r="M522" s="8">
        <f t="shared" si="121"/>
        <v>146.73200195989358</v>
      </c>
      <c r="N522" s="8">
        <f t="shared" si="125"/>
        <v>25.000000000000039</v>
      </c>
      <c r="O522" s="8">
        <f t="shared" si="126"/>
        <v>26.219213104211462</v>
      </c>
    </row>
    <row r="523" spans="1:15" x14ac:dyDescent="0.3">
      <c r="A523" s="5">
        <f t="shared" si="127"/>
        <v>5.1499999999999346</v>
      </c>
      <c r="B523" s="5">
        <f t="shared" si="122"/>
        <v>153.84373290188501</v>
      </c>
      <c r="C523" s="6">
        <f t="shared" si="120"/>
        <v>5933.972554786993</v>
      </c>
      <c r="D523" s="6">
        <f t="shared" si="128"/>
        <v>35212030.280965276</v>
      </c>
      <c r="E523" s="7">
        <f t="shared" si="129"/>
        <v>6248571.4285714282</v>
      </c>
      <c r="F523" s="7">
        <f t="shared" si="130"/>
        <v>124.97142857142855</v>
      </c>
      <c r="G523" s="7">
        <f t="shared" si="131"/>
        <v>28963458.852393847</v>
      </c>
      <c r="H523" s="6">
        <f t="shared" si="132"/>
        <v>5381.7709773265015</v>
      </c>
      <c r="I523" s="7">
        <f t="shared" si="133"/>
        <v>-4.4186225905617755</v>
      </c>
      <c r="J523" s="7">
        <f t="shared" si="134"/>
        <v>-90.546644632824041</v>
      </c>
      <c r="K523" s="8">
        <f t="shared" si="123"/>
        <v>170.43258563595418</v>
      </c>
      <c r="L523" s="8">
        <f t="shared" si="124"/>
        <v>-7.158168596710075</v>
      </c>
      <c r="M523" s="8">
        <f t="shared" si="121"/>
        <v>146.68556430517492</v>
      </c>
      <c r="N523" s="8">
        <f t="shared" si="125"/>
        <v>24.999999999999989</v>
      </c>
      <c r="O523" s="8">
        <f t="shared" si="126"/>
        <v>26.21998518235538</v>
      </c>
    </row>
    <row r="524" spans="1:15" x14ac:dyDescent="0.3">
      <c r="A524" s="5">
        <f t="shared" si="127"/>
        <v>5.1599999999999344</v>
      </c>
      <c r="B524" s="5">
        <f t="shared" si="122"/>
        <v>153.7995466759794</v>
      </c>
      <c r="C524" s="6">
        <f t="shared" si="120"/>
        <v>5932.268228930634</v>
      </c>
      <c r="D524" s="6">
        <f t="shared" si="128"/>
        <v>35191806.339979798</v>
      </c>
      <c r="E524" s="7">
        <f t="shared" si="129"/>
        <v>6248571.4285714282</v>
      </c>
      <c r="F524" s="7">
        <f t="shared" si="130"/>
        <v>124.97142857142855</v>
      </c>
      <c r="G524" s="7">
        <f t="shared" si="131"/>
        <v>28943234.911408368</v>
      </c>
      <c r="H524" s="6">
        <f t="shared" si="132"/>
        <v>5379.8917193014549</v>
      </c>
      <c r="I524" s="7">
        <f t="shared" si="133"/>
        <v>-4.4200223678603727</v>
      </c>
      <c r="J524" s="7">
        <f t="shared" si="134"/>
        <v>-90.517969407435572</v>
      </c>
      <c r="K524" s="8">
        <f t="shared" si="123"/>
        <v>170.48657704604295</v>
      </c>
      <c r="L524" s="8">
        <f t="shared" si="124"/>
        <v>-7.160436235933803</v>
      </c>
      <c r="M524" s="8">
        <f t="shared" si="121"/>
        <v>146.63911044004558</v>
      </c>
      <c r="N524" s="8">
        <f t="shared" si="125"/>
        <v>25.000000000000032</v>
      </c>
      <c r="O524" s="8">
        <f t="shared" si="126"/>
        <v>26.220758264020841</v>
      </c>
    </row>
    <row r="525" spans="1:15" x14ac:dyDescent="0.3">
      <c r="A525" s="5">
        <f t="shared" si="127"/>
        <v>5.1699999999999342</v>
      </c>
      <c r="B525" s="5">
        <f t="shared" si="122"/>
        <v>153.75534645230078</v>
      </c>
      <c r="C525" s="6">
        <f t="shared" si="120"/>
        <v>5930.5633631601731</v>
      </c>
      <c r="D525" s="6">
        <f t="shared" si="128"/>
        <v>35171581.804457702</v>
      </c>
      <c r="E525" s="7">
        <f t="shared" si="129"/>
        <v>6248571.4285714282</v>
      </c>
      <c r="F525" s="7">
        <f t="shared" si="130"/>
        <v>124.97142857142855</v>
      </c>
      <c r="G525" s="7">
        <f t="shared" si="131"/>
        <v>28923010.375886273</v>
      </c>
      <c r="H525" s="6">
        <f t="shared" si="132"/>
        <v>5378.0117493257931</v>
      </c>
      <c r="I525" s="7">
        <f t="shared" si="133"/>
        <v>-4.4214235217657309</v>
      </c>
      <c r="J525" s="7">
        <f t="shared" si="134"/>
        <v>-90.489284164839717</v>
      </c>
      <c r="K525" s="8">
        <f t="shared" si="123"/>
        <v>170.54062155382104</v>
      </c>
      <c r="L525" s="8">
        <f t="shared" si="124"/>
        <v>-7.162706105260483</v>
      </c>
      <c r="M525" s="8">
        <f t="shared" si="121"/>
        <v>146.59264034704029</v>
      </c>
      <c r="N525" s="8">
        <f t="shared" si="125"/>
        <v>24.999999999999996</v>
      </c>
      <c r="O525" s="8">
        <f t="shared" si="126"/>
        <v>26.221532351198469</v>
      </c>
    </row>
    <row r="526" spans="1:15" x14ac:dyDescent="0.3">
      <c r="A526" s="5">
        <f t="shared" si="127"/>
        <v>5.179999999999934</v>
      </c>
      <c r="B526" s="5">
        <f t="shared" si="122"/>
        <v>153.71113221708313</v>
      </c>
      <c r="C526" s="6">
        <f t="shared" si="120"/>
        <v>5928.8579569446347</v>
      </c>
      <c r="D526" s="6">
        <f t="shared" si="128"/>
        <v>35151356.673625708</v>
      </c>
      <c r="E526" s="7">
        <f t="shared" si="129"/>
        <v>6248571.4285714282</v>
      </c>
      <c r="F526" s="7">
        <f t="shared" si="130"/>
        <v>124.97142857142855</v>
      </c>
      <c r="G526" s="7">
        <f t="shared" si="131"/>
        <v>28902785.245054279</v>
      </c>
      <c r="H526" s="6">
        <f t="shared" si="132"/>
        <v>5376.1310665807132</v>
      </c>
      <c r="I526" s="7">
        <f t="shared" si="133"/>
        <v>-4.422826054580991</v>
      </c>
      <c r="J526" s="7">
        <f t="shared" si="134"/>
        <v>-90.460588894235769</v>
      </c>
      <c r="K526" s="8">
        <f t="shared" si="123"/>
        <v>170.59471924812394</v>
      </c>
      <c r="L526" s="8">
        <f t="shared" si="124"/>
        <v>-7.1649782084212044</v>
      </c>
      <c r="M526" s="8">
        <f t="shared" si="121"/>
        <v>146.54615400866192</v>
      </c>
      <c r="N526" s="8">
        <f t="shared" si="125"/>
        <v>25.000000000000011</v>
      </c>
      <c r="O526" s="8">
        <f t="shared" si="126"/>
        <v>26.222307445884557</v>
      </c>
    </row>
    <row r="527" spans="1:15" x14ac:dyDescent="0.3">
      <c r="A527" s="5">
        <f t="shared" si="127"/>
        <v>5.1899999999999338</v>
      </c>
      <c r="B527" s="5">
        <f t="shared" si="122"/>
        <v>153.66690395653731</v>
      </c>
      <c r="C527" s="6">
        <f t="shared" si="120"/>
        <v>5927.1520097521534</v>
      </c>
      <c r="D527" s="6">
        <f t="shared" si="128"/>
        <v>35131130.946708992</v>
      </c>
      <c r="E527" s="7">
        <f t="shared" si="129"/>
        <v>6248571.4285714282</v>
      </c>
      <c r="F527" s="7">
        <f t="shared" si="130"/>
        <v>124.97142857142855</v>
      </c>
      <c r="G527" s="7">
        <f t="shared" si="131"/>
        <v>28882559.518137563</v>
      </c>
      <c r="H527" s="6">
        <f t="shared" si="132"/>
        <v>5374.2496702458438</v>
      </c>
      <c r="I527" s="7">
        <f t="shared" si="133"/>
        <v>-4.4242299686147319</v>
      </c>
      <c r="J527" s="7">
        <f t="shared" si="134"/>
        <v>-90.431883584803387</v>
      </c>
      <c r="K527" s="8">
        <f t="shared" si="123"/>
        <v>170.6488702179968</v>
      </c>
      <c r="L527" s="8">
        <f t="shared" si="124"/>
        <v>-7.1672525491558652</v>
      </c>
      <c r="M527" s="8">
        <f t="shared" si="121"/>
        <v>146.49965140738144</v>
      </c>
      <c r="N527" s="8">
        <f t="shared" si="125"/>
        <v>25.000000000000007</v>
      </c>
      <c r="O527" s="8">
        <f t="shared" si="126"/>
        <v>26.223083550080514</v>
      </c>
    </row>
    <row r="528" spans="1:15" x14ac:dyDescent="0.3">
      <c r="A528" s="5">
        <f t="shared" si="127"/>
        <v>5.1999999999999336</v>
      </c>
      <c r="B528" s="5">
        <f t="shared" si="122"/>
        <v>153.62266165685116</v>
      </c>
      <c r="C528" s="6">
        <f t="shared" si="120"/>
        <v>5925.4455210499727</v>
      </c>
      <c r="D528" s="6">
        <f t="shared" si="128"/>
        <v>35110904.622931182</v>
      </c>
      <c r="E528" s="7">
        <f t="shared" si="129"/>
        <v>6248571.4285714282</v>
      </c>
      <c r="F528" s="7">
        <f t="shared" si="130"/>
        <v>124.97142857142855</v>
      </c>
      <c r="G528" s="7">
        <f t="shared" si="131"/>
        <v>28862333.194359753</v>
      </c>
      <c r="H528" s="6">
        <f t="shared" si="132"/>
        <v>5372.3675594992337</v>
      </c>
      <c r="I528" s="7">
        <f t="shared" si="133"/>
        <v>-4.4256352661810405</v>
      </c>
      <c r="J528" s="7">
        <f t="shared" si="134"/>
        <v>-90.403168225702416</v>
      </c>
      <c r="K528" s="8">
        <f t="shared" si="123"/>
        <v>170.70307455269727</v>
      </c>
      <c r="L528" s="8">
        <f t="shared" si="124"/>
        <v>-7.1695291312132845</v>
      </c>
      <c r="M528" s="8">
        <f t="shared" si="121"/>
        <v>146.45313252563787</v>
      </c>
      <c r="N528" s="8">
        <f t="shared" si="125"/>
        <v>25.000000000000014</v>
      </c>
      <c r="O528" s="8">
        <f t="shared" si="126"/>
        <v>26.223860665793254</v>
      </c>
    </row>
    <row r="529" spans="1:15" x14ac:dyDescent="0.3">
      <c r="A529" s="5">
        <f t="shared" si="127"/>
        <v>5.2099999999999334</v>
      </c>
      <c r="B529" s="5">
        <f t="shared" si="122"/>
        <v>153.57840530418935</v>
      </c>
      <c r="C529" s="6">
        <f t="shared" si="120"/>
        <v>5923.7384903044458</v>
      </c>
      <c r="D529" s="6">
        <f t="shared" si="128"/>
        <v>35090677.701514393</v>
      </c>
      <c r="E529" s="7">
        <f t="shared" si="129"/>
        <v>6248571.4285714282</v>
      </c>
      <c r="F529" s="7">
        <f t="shared" si="130"/>
        <v>124.97142857142855</v>
      </c>
      <c r="G529" s="7">
        <f t="shared" si="131"/>
        <v>28842106.272942964</v>
      </c>
      <c r="H529" s="6">
        <f t="shared" si="132"/>
        <v>5370.4847335173536</v>
      </c>
      <c r="I529" s="7">
        <f t="shared" si="133"/>
        <v>-4.4270419495995048</v>
      </c>
      <c r="J529" s="7">
        <f t="shared" si="134"/>
        <v>-90.374442806072935</v>
      </c>
      <c r="K529" s="8">
        <f t="shared" si="123"/>
        <v>170.75733234169519</v>
      </c>
      <c r="L529" s="8">
        <f t="shared" si="124"/>
        <v>-7.1718079583511969</v>
      </c>
      <c r="M529" s="8">
        <f t="shared" si="121"/>
        <v>146.40659734583815</v>
      </c>
      <c r="N529" s="8">
        <f t="shared" si="125"/>
        <v>25.000000000000032</v>
      </c>
      <c r="O529" s="8">
        <f t="shared" si="126"/>
        <v>26.224638795035023</v>
      </c>
    </row>
    <row r="530" spans="1:15" x14ac:dyDescent="0.3">
      <c r="A530" s="5">
        <f t="shared" si="127"/>
        <v>5.2199999999999331</v>
      </c>
      <c r="B530" s="5">
        <f t="shared" si="122"/>
        <v>153.53413488469334</v>
      </c>
      <c r="C530" s="6">
        <f t="shared" si="120"/>
        <v>5922.0309169810289</v>
      </c>
      <c r="D530" s="6">
        <f t="shared" si="128"/>
        <v>35070450.181679167</v>
      </c>
      <c r="E530" s="7">
        <f t="shared" si="129"/>
        <v>6248571.4285714282</v>
      </c>
      <c r="F530" s="7">
        <f t="shared" si="130"/>
        <v>124.97142857142855</v>
      </c>
      <c r="G530" s="7">
        <f t="shared" si="131"/>
        <v>28821878.753107738</v>
      </c>
      <c r="H530" s="6">
        <f t="shared" si="132"/>
        <v>5368.6011914750879</v>
      </c>
      <c r="I530" s="7">
        <f t="shared" si="133"/>
        <v>-4.4284500211952302</v>
      </c>
      <c r="J530" s="7">
        <f t="shared" si="134"/>
        <v>-90.345707315035241</v>
      </c>
      <c r="K530" s="8">
        <f t="shared" si="123"/>
        <v>170.81164367467315</v>
      </c>
      <c r="L530" s="8">
        <f t="shared" si="124"/>
        <v>-7.1740890343362711</v>
      </c>
      <c r="M530" s="8">
        <f t="shared" si="121"/>
        <v>146.36004585035707</v>
      </c>
      <c r="N530" s="8">
        <f t="shared" si="125"/>
        <v>25.000000000000014</v>
      </c>
      <c r="O530" s="8">
        <f t="shared" si="126"/>
        <v>26.225417939823444</v>
      </c>
    </row>
    <row r="531" spans="1:15" x14ac:dyDescent="0.3">
      <c r="A531" s="5">
        <f t="shared" si="127"/>
        <v>5.2299999999999329</v>
      </c>
      <c r="B531" s="5">
        <f t="shared" si="122"/>
        <v>153.4898503844814</v>
      </c>
      <c r="C531" s="6">
        <f t="shared" si="120"/>
        <v>5920.3228005442825</v>
      </c>
      <c r="D531" s="6">
        <f t="shared" si="128"/>
        <v>35050222.062644497</v>
      </c>
      <c r="E531" s="7">
        <f t="shared" si="129"/>
        <v>6248571.4285714282</v>
      </c>
      <c r="F531" s="7">
        <f t="shared" si="130"/>
        <v>124.97142857142855</v>
      </c>
      <c r="G531" s="7">
        <f t="shared" si="131"/>
        <v>28801650.634073067</v>
      </c>
      <c r="H531" s="6">
        <f t="shared" si="132"/>
        <v>5366.7169325457317</v>
      </c>
      <c r="I531" s="7">
        <f t="shared" si="133"/>
        <v>-4.429859483298876</v>
      </c>
      <c r="J531" s="7">
        <f t="shared" si="134"/>
        <v>-90.316961741689653</v>
      </c>
      <c r="K531" s="8">
        <f t="shared" si="123"/>
        <v>170.86600864152805</v>
      </c>
      <c r="L531" s="8">
        <f t="shared" si="124"/>
        <v>-7.1763723629441776</v>
      </c>
      <c r="M531" s="8">
        <f t="shared" si="121"/>
        <v>146.31347802153724</v>
      </c>
      <c r="N531" s="8">
        <f t="shared" si="125"/>
        <v>25.000000000000007</v>
      </c>
      <c r="O531" s="8">
        <f t="shared" si="126"/>
        <v>26.226198102181648</v>
      </c>
    </row>
    <row r="532" spans="1:15" x14ac:dyDescent="0.3">
      <c r="A532" s="5">
        <f t="shared" si="127"/>
        <v>5.2399999999999327</v>
      </c>
      <c r="B532" s="5">
        <f t="shared" si="122"/>
        <v>153.44555178964842</v>
      </c>
      <c r="C532" s="6">
        <f t="shared" si="120"/>
        <v>5918.6141404578675</v>
      </c>
      <c r="D532" s="6">
        <f t="shared" si="128"/>
        <v>35029993.343627825</v>
      </c>
      <c r="E532" s="7">
        <f t="shared" si="129"/>
        <v>6248571.4285714282</v>
      </c>
      <c r="F532" s="7">
        <f t="shared" si="130"/>
        <v>124.97142857142855</v>
      </c>
      <c r="G532" s="7">
        <f t="shared" si="131"/>
        <v>28781421.915056396</v>
      </c>
      <c r="H532" s="6">
        <f t="shared" si="132"/>
        <v>5364.831955900986</v>
      </c>
      <c r="I532" s="7">
        <f t="shared" si="133"/>
        <v>-4.4312703382466516</v>
      </c>
      <c r="J532" s="7">
        <f t="shared" si="134"/>
        <v>-90.288206075116591</v>
      </c>
      <c r="K532" s="8">
        <f t="shared" si="123"/>
        <v>170.92042733237085</v>
      </c>
      <c r="L532" s="8">
        <f t="shared" si="124"/>
        <v>-7.1786579479595751</v>
      </c>
      <c r="M532" s="8">
        <f t="shared" si="121"/>
        <v>146.26689384168884</v>
      </c>
      <c r="N532" s="8">
        <f t="shared" si="125"/>
        <v>24.999999999999979</v>
      </c>
      <c r="O532" s="8">
        <f t="shared" si="126"/>
        <v>26.226979284138149</v>
      </c>
    </row>
    <row r="533" spans="1:15" x14ac:dyDescent="0.3">
      <c r="A533" s="5">
        <f t="shared" si="127"/>
        <v>5.2499999999999325</v>
      </c>
      <c r="B533" s="5">
        <f t="shared" si="122"/>
        <v>153.40123908626595</v>
      </c>
      <c r="C533" s="6">
        <f t="shared" si="120"/>
        <v>5916.9049361845437</v>
      </c>
      <c r="D533" s="6">
        <f t="shared" si="128"/>
        <v>35009764.023845017</v>
      </c>
      <c r="E533" s="7">
        <f t="shared" si="129"/>
        <v>6248571.4285714282</v>
      </c>
      <c r="F533" s="7">
        <f t="shared" si="130"/>
        <v>124.97142857142855</v>
      </c>
      <c r="G533" s="7">
        <f t="shared" si="131"/>
        <v>28761192.595273588</v>
      </c>
      <c r="H533" s="6">
        <f t="shared" si="132"/>
        <v>5362.9462607109526</v>
      </c>
      <c r="I533" s="7">
        <f t="shared" si="133"/>
        <v>-4.4326825883803593</v>
      </c>
      <c r="J533" s="7">
        <f t="shared" si="134"/>
        <v>-90.259440304376412</v>
      </c>
      <c r="K533" s="8">
        <f t="shared" si="123"/>
        <v>170.97489983752814</v>
      </c>
      <c r="L533" s="8">
        <f t="shared" si="124"/>
        <v>-7.1809457931761811</v>
      </c>
      <c r="M533" s="8">
        <f t="shared" si="121"/>
        <v>146.22029329308975</v>
      </c>
      <c r="N533" s="8">
        <f t="shared" si="125"/>
        <v>25.000000000000007</v>
      </c>
      <c r="O533" s="8">
        <f t="shared" si="126"/>
        <v>26.22776148772703</v>
      </c>
    </row>
    <row r="534" spans="1:15" x14ac:dyDescent="0.3">
      <c r="A534" s="5">
        <f t="shared" si="127"/>
        <v>5.2599999999999323</v>
      </c>
      <c r="B534" s="5">
        <f t="shared" si="122"/>
        <v>153.35691226038213</v>
      </c>
      <c r="C534" s="6">
        <f t="shared" si="120"/>
        <v>5915.1951871861675</v>
      </c>
      <c r="D534" s="6">
        <f t="shared" si="128"/>
        <v>34989534.1025104</v>
      </c>
      <c r="E534" s="7">
        <f t="shared" si="129"/>
        <v>6248571.4285714282</v>
      </c>
      <c r="F534" s="7">
        <f t="shared" si="130"/>
        <v>124.97142857142855</v>
      </c>
      <c r="G534" s="7">
        <f t="shared" si="131"/>
        <v>28740962.673938971</v>
      </c>
      <c r="H534" s="6">
        <f t="shared" si="132"/>
        <v>5361.0598461441341</v>
      </c>
      <c r="I534" s="7">
        <f t="shared" si="133"/>
        <v>-4.4340962360473641</v>
      </c>
      <c r="J534" s="7">
        <f t="shared" si="134"/>
        <v>-90.230664418509505</v>
      </c>
      <c r="K534" s="8">
        <f t="shared" si="123"/>
        <v>171.02942624754118</v>
      </c>
      <c r="L534" s="8">
        <f t="shared" si="124"/>
        <v>-7.1832359023967287</v>
      </c>
      <c r="M534" s="8">
        <f t="shared" si="121"/>
        <v>146.17367635798541</v>
      </c>
      <c r="N534" s="8">
        <f t="shared" si="125"/>
        <v>25.000000000000021</v>
      </c>
      <c r="O534" s="8">
        <f t="shared" si="126"/>
        <v>26.22854471498767</v>
      </c>
    </row>
    <row r="535" spans="1:15" x14ac:dyDescent="0.3">
      <c r="A535" s="5">
        <f t="shared" si="127"/>
        <v>5.2699999999999321</v>
      </c>
      <c r="B535" s="5">
        <f t="shared" si="122"/>
        <v>153.31257129802165</v>
      </c>
      <c r="C535" s="6">
        <f t="shared" si="120"/>
        <v>5913.4848929236923</v>
      </c>
      <c r="D535" s="6">
        <f t="shared" si="128"/>
        <v>34969303.578836732</v>
      </c>
      <c r="E535" s="7">
        <f t="shared" si="129"/>
        <v>6248571.4285714282</v>
      </c>
      <c r="F535" s="7">
        <f t="shared" si="130"/>
        <v>124.97142857142855</v>
      </c>
      <c r="G535" s="7">
        <f t="shared" si="131"/>
        <v>28720732.150265303</v>
      </c>
      <c r="H535" s="6">
        <f t="shared" si="132"/>
        <v>5359.1727113674269</v>
      </c>
      <c r="I535" s="7">
        <f t="shared" si="133"/>
        <v>-4.4355112836006612</v>
      </c>
      <c r="J535" s="7">
        <f t="shared" si="134"/>
        <v>-90.201878406536167</v>
      </c>
      <c r="K535" s="8">
        <f t="shared" si="123"/>
        <v>171.08400665316836</v>
      </c>
      <c r="L535" s="8">
        <f t="shared" si="124"/>
        <v>-7.1855282794330702</v>
      </c>
      <c r="M535" s="8">
        <f t="shared" si="121"/>
        <v>146.12704301858858</v>
      </c>
      <c r="N535" s="8">
        <f t="shared" si="125"/>
        <v>25.000000000000028</v>
      </c>
      <c r="O535" s="8">
        <f t="shared" si="126"/>
        <v>26.229328967965085</v>
      </c>
    </row>
    <row r="536" spans="1:15" x14ac:dyDescent="0.3">
      <c r="A536" s="5">
        <f t="shared" si="127"/>
        <v>5.2799999999999319</v>
      </c>
      <c r="B536" s="5">
        <f t="shared" si="122"/>
        <v>153.26821618518565</v>
      </c>
      <c r="C536" s="6">
        <f t="shared" si="120"/>
        <v>5911.7740528571603</v>
      </c>
      <c r="D536" s="6">
        <f t="shared" si="128"/>
        <v>34949072.452035174</v>
      </c>
      <c r="E536" s="7">
        <f t="shared" si="129"/>
        <v>6248571.4285714282</v>
      </c>
      <c r="F536" s="7">
        <f t="shared" si="130"/>
        <v>124.97142857142855</v>
      </c>
      <c r="G536" s="7">
        <f t="shared" si="131"/>
        <v>28700501.023463745</v>
      </c>
      <c r="H536" s="6">
        <f t="shared" si="132"/>
        <v>5357.2848555461142</v>
      </c>
      <c r="I536" s="7">
        <f t="shared" si="133"/>
        <v>-4.4369277333988615</v>
      </c>
      <c r="J536" s="7">
        <f t="shared" si="134"/>
        <v>-90.173082257456485</v>
      </c>
      <c r="K536" s="8">
        <f t="shared" si="123"/>
        <v>171.13864114538464</v>
      </c>
      <c r="L536" s="8">
        <f t="shared" si="124"/>
        <v>-7.1878229281061543</v>
      </c>
      <c r="M536" s="8">
        <f t="shared" si="121"/>
        <v>146.08039325707949</v>
      </c>
      <c r="N536" s="8">
        <f t="shared" si="125"/>
        <v>24.999999999999993</v>
      </c>
      <c r="O536" s="8">
        <f t="shared" si="126"/>
        <v>26.230114248709722</v>
      </c>
    </row>
    <row r="537" spans="1:15" x14ac:dyDescent="0.3">
      <c r="A537" s="5">
        <f t="shared" si="127"/>
        <v>5.2899999999999316</v>
      </c>
      <c r="B537" s="5">
        <f t="shared" si="122"/>
        <v>153.22384690785165</v>
      </c>
      <c r="C537" s="6">
        <f t="shared" si="120"/>
        <v>5910.0626664457059</v>
      </c>
      <c r="D537" s="6">
        <f t="shared" si="128"/>
        <v>34928840.721315324</v>
      </c>
      <c r="E537" s="7">
        <f t="shared" si="129"/>
        <v>6248571.4285714282</v>
      </c>
      <c r="F537" s="7">
        <f t="shared" si="130"/>
        <v>124.97142857142855</v>
      </c>
      <c r="G537" s="7">
        <f t="shared" si="131"/>
        <v>28680269.292743895</v>
      </c>
      <c r="H537" s="6">
        <f t="shared" si="132"/>
        <v>5355.3962778438627</v>
      </c>
      <c r="I537" s="7">
        <f t="shared" si="133"/>
        <v>-4.4383455878062454</v>
      </c>
      <c r="J537" s="7">
        <f t="shared" si="134"/>
        <v>-90.14427596025034</v>
      </c>
      <c r="K537" s="8">
        <f t="shared" si="123"/>
        <v>171.19332981538375</v>
      </c>
      <c r="L537" s="8">
        <f t="shared" si="124"/>
        <v>-7.1901198522461165</v>
      </c>
      <c r="M537" s="8">
        <f t="shared" si="121"/>
        <v>146.03372705560554</v>
      </c>
      <c r="N537" s="8">
        <f t="shared" si="125"/>
        <v>25.000000000000007</v>
      </c>
      <c r="O537" s="8">
        <f t="shared" si="126"/>
        <v>26.230900559277714</v>
      </c>
    </row>
    <row r="538" spans="1:15" x14ac:dyDescent="0.3">
      <c r="A538" s="5">
        <f t="shared" si="127"/>
        <v>5.2999999999999314</v>
      </c>
      <c r="B538" s="5">
        <f t="shared" si="122"/>
        <v>153.17946345197359</v>
      </c>
      <c r="C538" s="6">
        <f t="shared" si="120"/>
        <v>5908.3507331475521</v>
      </c>
      <c r="D538" s="6">
        <f t="shared" si="128"/>
        <v>34908608.385885216</v>
      </c>
      <c r="E538" s="7">
        <f t="shared" si="129"/>
        <v>6248571.4285714282</v>
      </c>
      <c r="F538" s="7">
        <f t="shared" si="130"/>
        <v>124.97142857142855</v>
      </c>
      <c r="G538" s="7">
        <f t="shared" si="131"/>
        <v>28660036.957313787</v>
      </c>
      <c r="H538" s="6">
        <f t="shared" si="132"/>
        <v>5353.506977422724</v>
      </c>
      <c r="I538" s="7">
        <f t="shared" si="133"/>
        <v>-4.4397648491927262</v>
      </c>
      <c r="J538" s="7">
        <f t="shared" si="134"/>
        <v>-90.115459503877389</v>
      </c>
      <c r="K538" s="8">
        <f t="shared" si="123"/>
        <v>171.24807275457658</v>
      </c>
      <c r="L538" s="8">
        <f t="shared" si="124"/>
        <v>-7.1924190556922154</v>
      </c>
      <c r="M538" s="8">
        <f t="shared" si="121"/>
        <v>145.98704439628136</v>
      </c>
      <c r="N538" s="8">
        <f t="shared" si="125"/>
        <v>24.999999999999993</v>
      </c>
      <c r="O538" s="8">
        <f t="shared" si="126"/>
        <v>26.231687901730577</v>
      </c>
    </row>
    <row r="539" spans="1:15" x14ac:dyDescent="0.3">
      <c r="A539" s="5">
        <f t="shared" si="127"/>
        <v>5.3099999999999312</v>
      </c>
      <c r="B539" s="5">
        <f t="shared" si="122"/>
        <v>153.13506580348167</v>
      </c>
      <c r="C539" s="6">
        <f t="shared" si="120"/>
        <v>5906.6382524200071</v>
      </c>
      <c r="D539" s="6">
        <f t="shared" si="128"/>
        <v>34888375.444951274</v>
      </c>
      <c r="E539" s="7">
        <f t="shared" si="129"/>
        <v>6248571.4285714282</v>
      </c>
      <c r="F539" s="7">
        <f t="shared" si="130"/>
        <v>124.97142857142855</v>
      </c>
      <c r="G539" s="7">
        <f t="shared" si="131"/>
        <v>28639804.016379844</v>
      </c>
      <c r="H539" s="6">
        <f t="shared" si="132"/>
        <v>5351.6169534431219</v>
      </c>
      <c r="I539" s="7">
        <f t="shared" si="133"/>
        <v>-4.4411855199339243</v>
      </c>
      <c r="J539" s="7">
        <f t="shared" si="134"/>
        <v>-90.086632877277012</v>
      </c>
      <c r="K539" s="8">
        <f t="shared" si="123"/>
        <v>171.30287005459422</v>
      </c>
      <c r="L539" s="8">
        <f t="shared" si="124"/>
        <v>-7.1947205422929565</v>
      </c>
      <c r="M539" s="8">
        <f t="shared" si="121"/>
        <v>145.9403452611887</v>
      </c>
      <c r="N539" s="8">
        <f t="shared" si="125"/>
        <v>25.000000000000021</v>
      </c>
      <c r="O539" s="8">
        <f t="shared" si="126"/>
        <v>26.232476278135557</v>
      </c>
    </row>
    <row r="540" spans="1:15" x14ac:dyDescent="0.3">
      <c r="A540" s="5">
        <f t="shared" si="127"/>
        <v>5.319999999999931</v>
      </c>
      <c r="B540" s="5">
        <f t="shared" si="122"/>
        <v>153.09065394828232</v>
      </c>
      <c r="C540" s="6">
        <f t="shared" si="120"/>
        <v>5904.9252237194605</v>
      </c>
      <c r="D540" s="6">
        <f t="shared" si="128"/>
        <v>34868141.897718318</v>
      </c>
      <c r="E540" s="7">
        <f t="shared" si="129"/>
        <v>6248571.4285714282</v>
      </c>
      <c r="F540" s="7">
        <f t="shared" si="130"/>
        <v>124.97142857142855</v>
      </c>
      <c r="G540" s="7">
        <f t="shared" si="131"/>
        <v>28619570.469146889</v>
      </c>
      <c r="H540" s="6">
        <f t="shared" si="132"/>
        <v>5349.7262050638528</v>
      </c>
      <c r="I540" s="7">
        <f t="shared" si="133"/>
        <v>-4.4426076024111278</v>
      </c>
      <c r="J540" s="7">
        <f t="shared" si="134"/>
        <v>-90.057796069368081</v>
      </c>
      <c r="K540" s="8">
        <f t="shared" si="123"/>
        <v>171.35772180728634</v>
      </c>
      <c r="L540" s="8">
        <f t="shared" si="124"/>
        <v>-7.1970243159060256</v>
      </c>
      <c r="M540" s="8">
        <f t="shared" si="121"/>
        <v>145.8936296323763</v>
      </c>
      <c r="N540" s="8">
        <f t="shared" si="125"/>
        <v>25.000000000000004</v>
      </c>
      <c r="O540" s="8">
        <f t="shared" si="126"/>
        <v>26.233265690565307</v>
      </c>
    </row>
    <row r="541" spans="1:15" x14ac:dyDescent="0.3">
      <c r="A541" s="5">
        <f t="shared" si="127"/>
        <v>5.3299999999999308</v>
      </c>
      <c r="B541" s="5">
        <f t="shared" si="122"/>
        <v>153.04622787225821</v>
      </c>
      <c r="C541" s="6">
        <f t="shared" si="120"/>
        <v>5903.2116465013878</v>
      </c>
      <c r="D541" s="6">
        <f t="shared" si="128"/>
        <v>34847907.743389629</v>
      </c>
      <c r="E541" s="7">
        <f t="shared" si="129"/>
        <v>6248571.4285714282</v>
      </c>
      <c r="F541" s="7">
        <f t="shared" si="130"/>
        <v>124.97142857142855</v>
      </c>
      <c r="G541" s="7">
        <f t="shared" si="131"/>
        <v>28599336.3148182</v>
      </c>
      <c r="H541" s="6">
        <f t="shared" si="132"/>
        <v>5347.8347314420816</v>
      </c>
      <c r="I541" s="7">
        <f t="shared" si="133"/>
        <v>-4.4440310990113669</v>
      </c>
      <c r="J541" s="7">
        <f t="shared" si="134"/>
        <v>-90.028949069049261</v>
      </c>
      <c r="K541" s="8">
        <f t="shared" si="123"/>
        <v>171.41262810472415</v>
      </c>
      <c r="L541" s="8">
        <f t="shared" si="124"/>
        <v>-7.1993303803984139</v>
      </c>
      <c r="M541" s="8">
        <f t="shared" si="121"/>
        <v>145.84689749185981</v>
      </c>
      <c r="N541" s="8">
        <f t="shared" si="125"/>
        <v>24.999999999999989</v>
      </c>
      <c r="O541" s="8">
        <f t="shared" si="126"/>
        <v>26.234056141098268</v>
      </c>
    </row>
    <row r="542" spans="1:15" x14ac:dyDescent="0.3">
      <c r="A542" s="5">
        <f t="shared" si="127"/>
        <v>5.3399999999999306</v>
      </c>
      <c r="B542" s="5">
        <f t="shared" si="122"/>
        <v>153.00178756126809</v>
      </c>
      <c r="C542" s="6">
        <f t="shared" si="120"/>
        <v>5901.4975202203404</v>
      </c>
      <c r="D542" s="6">
        <f t="shared" si="128"/>
        <v>34827672.981166825</v>
      </c>
      <c r="E542" s="7">
        <f t="shared" si="129"/>
        <v>6248571.4285714282</v>
      </c>
      <c r="F542" s="7">
        <f t="shared" si="130"/>
        <v>124.97142857142855</v>
      </c>
      <c r="G542" s="7">
        <f t="shared" si="131"/>
        <v>28579101.552595396</v>
      </c>
      <c r="H542" s="6">
        <f t="shared" si="132"/>
        <v>5345.9425317333325</v>
      </c>
      <c r="I542" s="7">
        <f t="shared" si="133"/>
        <v>-4.4454560121274076</v>
      </c>
      <c r="J542" s="7">
        <f t="shared" si="134"/>
        <v>-90.000091865198584</v>
      </c>
      <c r="K542" s="8">
        <f t="shared" si="123"/>
        <v>171.46758903919999</v>
      </c>
      <c r="L542" s="8">
        <f t="shared" si="124"/>
        <v>-7.2016387396463992</v>
      </c>
      <c r="M542" s="8">
        <f t="shared" si="121"/>
        <v>145.80014882162169</v>
      </c>
      <c r="N542" s="8">
        <f t="shared" si="125"/>
        <v>25.000000000000025</v>
      </c>
      <c r="O542" s="8">
        <f t="shared" si="126"/>
        <v>26.2348476318185</v>
      </c>
    </row>
    <row r="543" spans="1:15" x14ac:dyDescent="0.3">
      <c r="A543" s="5">
        <f t="shared" si="127"/>
        <v>5.3499999999999304</v>
      </c>
      <c r="B543" s="5">
        <f t="shared" si="122"/>
        <v>152.95733300114682</v>
      </c>
      <c r="C543" s="6">
        <f t="shared" si="120"/>
        <v>5899.7828443299486</v>
      </c>
      <c r="D543" s="6">
        <f t="shared" si="128"/>
        <v>34807437.610249981</v>
      </c>
      <c r="E543" s="7">
        <f t="shared" si="129"/>
        <v>6248571.4285714282</v>
      </c>
      <c r="F543" s="7">
        <f t="shared" si="130"/>
        <v>124.97142857142855</v>
      </c>
      <c r="G543" s="7">
        <f t="shared" si="131"/>
        <v>28558866.181678552</v>
      </c>
      <c r="H543" s="6">
        <f t="shared" si="132"/>
        <v>5344.0496050914935</v>
      </c>
      <c r="I543" s="7">
        <f t="shared" si="133"/>
        <v>-4.4468823441577348</v>
      </c>
      <c r="J543" s="7">
        <f t="shared" si="134"/>
        <v>-89.971224446673659</v>
      </c>
      <c r="K543" s="8">
        <f t="shared" si="123"/>
        <v>171.5226047032269</v>
      </c>
      <c r="L543" s="8">
        <f t="shared" si="124"/>
        <v>-7.2039493975355295</v>
      </c>
      <c r="M543" s="8">
        <f t="shared" si="121"/>
        <v>145.7533836036113</v>
      </c>
      <c r="N543" s="8">
        <f t="shared" si="125"/>
        <v>25.000000000000014</v>
      </c>
      <c r="O543" s="8">
        <f t="shared" si="126"/>
        <v>26.235640164815546</v>
      </c>
    </row>
    <row r="544" spans="1:15" x14ac:dyDescent="0.3">
      <c r="A544" s="5">
        <f t="shared" si="127"/>
        <v>5.3599999999999302</v>
      </c>
      <c r="B544" s="5">
        <f t="shared" si="122"/>
        <v>152.91286417770525</v>
      </c>
      <c r="C544" s="6">
        <f t="shared" si="120"/>
        <v>5898.0676182829166</v>
      </c>
      <c r="D544" s="6">
        <f t="shared" si="128"/>
        <v>34787201.629837513</v>
      </c>
      <c r="E544" s="7">
        <f t="shared" si="129"/>
        <v>6248571.4285714282</v>
      </c>
      <c r="F544" s="7">
        <f t="shared" si="130"/>
        <v>124.97142857142855</v>
      </c>
      <c r="G544" s="7">
        <f t="shared" si="131"/>
        <v>28538630.201266084</v>
      </c>
      <c r="H544" s="6">
        <f t="shared" si="132"/>
        <v>5342.1559506688009</v>
      </c>
      <c r="I544" s="7">
        <f t="shared" si="133"/>
        <v>-4.4483100975066421</v>
      </c>
      <c r="J544" s="7">
        <f t="shared" si="134"/>
        <v>-89.942346802311434</v>
      </c>
      <c r="K544" s="8">
        <f t="shared" si="123"/>
        <v>171.57767518954191</v>
      </c>
      <c r="L544" s="8">
        <f t="shared" si="124"/>
        <v>-7.2062623579607594</v>
      </c>
      <c r="M544" s="8">
        <f t="shared" si="121"/>
        <v>145.70660181974449</v>
      </c>
      <c r="N544" s="8">
        <f t="shared" si="125"/>
        <v>25.000000000000036</v>
      </c>
      <c r="O544" s="8">
        <f t="shared" si="126"/>
        <v>26.23643374218485</v>
      </c>
    </row>
    <row r="545" spans="1:15" x14ac:dyDescent="0.3">
      <c r="A545" s="5">
        <f t="shared" si="127"/>
        <v>5.3699999999999299</v>
      </c>
      <c r="B545" s="5">
        <f t="shared" si="122"/>
        <v>152.86838107673017</v>
      </c>
      <c r="C545" s="6">
        <f t="shared" si="120"/>
        <v>5896.3518415310209</v>
      </c>
      <c r="D545" s="6">
        <f t="shared" si="128"/>
        <v>34766965.039126262</v>
      </c>
      <c r="E545" s="7">
        <f t="shared" si="129"/>
        <v>6248571.4285714282</v>
      </c>
      <c r="F545" s="7">
        <f t="shared" si="130"/>
        <v>124.97142857142855</v>
      </c>
      <c r="G545" s="7">
        <f t="shared" si="131"/>
        <v>28518393.610554833</v>
      </c>
      <c r="H545" s="6">
        <f t="shared" si="132"/>
        <v>5340.2615676158439</v>
      </c>
      <c r="I545" s="7">
        <f t="shared" si="133"/>
        <v>-4.4497392745841795</v>
      </c>
      <c r="J545" s="7">
        <f t="shared" si="134"/>
        <v>-89.913458920928292</v>
      </c>
      <c r="K545" s="8">
        <f t="shared" si="123"/>
        <v>171.63280059110406</v>
      </c>
      <c r="L545" s="8">
        <f t="shared" si="124"/>
        <v>-7.2085776248263693</v>
      </c>
      <c r="M545" s="8">
        <f t="shared" si="121"/>
        <v>145.6598034519038</v>
      </c>
      <c r="N545" s="8">
        <f t="shared" si="125"/>
        <v>25.000000000000014</v>
      </c>
      <c r="O545" s="8">
        <f t="shared" si="126"/>
        <v>26.237228366027335</v>
      </c>
    </row>
    <row r="546" spans="1:15" x14ac:dyDescent="0.3">
      <c r="A546" s="5">
        <f t="shared" si="127"/>
        <v>5.3799999999999297</v>
      </c>
      <c r="B546" s="5">
        <f t="shared" si="122"/>
        <v>152.82388368398432</v>
      </c>
      <c r="C546" s="6">
        <f t="shared" si="120"/>
        <v>5894.6355135251088</v>
      </c>
      <c r="D546" s="6">
        <f t="shared" si="128"/>
        <v>34746727.837311424</v>
      </c>
      <c r="E546" s="7">
        <f t="shared" si="129"/>
        <v>6248571.4285714282</v>
      </c>
      <c r="F546" s="7">
        <f t="shared" si="130"/>
        <v>124.97142857142855</v>
      </c>
      <c r="G546" s="7">
        <f t="shared" si="131"/>
        <v>28498156.408739995</v>
      </c>
      <c r="H546" s="6">
        <f t="shared" si="132"/>
        <v>5338.3664550815538</v>
      </c>
      <c r="I546" s="7">
        <f t="shared" si="133"/>
        <v>-4.4511698778062252</v>
      </c>
      <c r="J546" s="7">
        <f t="shared" si="134"/>
        <v>-89.884560791319899</v>
      </c>
      <c r="K546" s="8">
        <f t="shared" si="123"/>
        <v>171.68798100109726</v>
      </c>
      <c r="L546" s="8">
        <f t="shared" si="124"/>
        <v>-7.2108952020460837</v>
      </c>
      <c r="M546" s="8">
        <f t="shared" si="121"/>
        <v>145.61298848193823</v>
      </c>
      <c r="N546" s="8">
        <f t="shared" si="125"/>
        <v>25.000000000000004</v>
      </c>
      <c r="O546" s="8">
        <f t="shared" si="126"/>
        <v>26.238024038449797</v>
      </c>
    </row>
    <row r="547" spans="1:15" x14ac:dyDescent="0.3">
      <c r="A547" s="5">
        <f t="shared" si="127"/>
        <v>5.3899999999999295</v>
      </c>
      <c r="B547" s="5">
        <f t="shared" si="122"/>
        <v>152.77937198520627</v>
      </c>
      <c r="C547" s="6">
        <f t="shared" si="120"/>
        <v>5892.9186337150986</v>
      </c>
      <c r="D547" s="6">
        <f t="shared" si="128"/>
        <v>34726490.023586623</v>
      </c>
      <c r="E547" s="7">
        <f t="shared" si="129"/>
        <v>6248571.4285714282</v>
      </c>
      <c r="F547" s="7">
        <f t="shared" si="130"/>
        <v>124.97142857142855</v>
      </c>
      <c r="G547" s="7">
        <f t="shared" si="131"/>
        <v>28477918.595015194</v>
      </c>
      <c r="H547" s="6">
        <f t="shared" si="132"/>
        <v>5336.4706122132066</v>
      </c>
      <c r="I547" s="7">
        <f t="shared" si="133"/>
        <v>-4.4526019095944731</v>
      </c>
      <c r="J547" s="7">
        <f t="shared" si="134"/>
        <v>-89.855652402261256</v>
      </c>
      <c r="K547" s="8">
        <f t="shared" si="123"/>
        <v>171.74321651292968</v>
      </c>
      <c r="L547" s="8">
        <f t="shared" si="124"/>
        <v>-7.2132150935430461</v>
      </c>
      <c r="M547" s="8">
        <f t="shared" si="121"/>
        <v>145.56615689166321</v>
      </c>
      <c r="N547" s="8">
        <f t="shared" si="125"/>
        <v>25.000000000000007</v>
      </c>
      <c r="O547" s="8">
        <f t="shared" si="126"/>
        <v>26.238820761564703</v>
      </c>
    </row>
    <row r="548" spans="1:15" x14ac:dyDescent="0.3">
      <c r="A548" s="5">
        <f t="shared" si="127"/>
        <v>5.3999999999999293</v>
      </c>
      <c r="B548" s="5">
        <f t="shared" si="122"/>
        <v>152.73484596611033</v>
      </c>
      <c r="C548" s="6">
        <f t="shared" si="120"/>
        <v>5891.2012015499695</v>
      </c>
      <c r="D548" s="6">
        <f t="shared" si="128"/>
        <v>34706251.597143807</v>
      </c>
      <c r="E548" s="7">
        <f t="shared" si="129"/>
        <v>6248571.4285714282</v>
      </c>
      <c r="F548" s="7">
        <f t="shared" si="130"/>
        <v>124.97142857142855</v>
      </c>
      <c r="G548" s="7">
        <f t="shared" si="131"/>
        <v>28457680.168572377</v>
      </c>
      <c r="H548" s="6">
        <f t="shared" si="132"/>
        <v>5334.5740381564092</v>
      </c>
      <c r="I548" s="7">
        <f t="shared" si="133"/>
        <v>-4.4540353723764552</v>
      </c>
      <c r="J548" s="7">
        <f t="shared" si="134"/>
        <v>-89.826733742506477</v>
      </c>
      <c r="K548" s="8">
        <f t="shared" si="123"/>
        <v>171.79850722023468</v>
      </c>
      <c r="L548" s="8">
        <f t="shared" si="124"/>
        <v>-7.2155373032498558</v>
      </c>
      <c r="M548" s="8">
        <f t="shared" si="121"/>
        <v>145.51930866286048</v>
      </c>
      <c r="N548" s="8">
        <f t="shared" si="125"/>
        <v>24.999999999999996</v>
      </c>
      <c r="O548" s="8">
        <f t="shared" si="126"/>
        <v>26.239618537490237</v>
      </c>
    </row>
    <row r="549" spans="1:15" x14ac:dyDescent="0.3">
      <c r="A549" s="5">
        <f t="shared" si="127"/>
        <v>5.4099999999999291</v>
      </c>
      <c r="B549" s="5">
        <f t="shared" si="122"/>
        <v>152.69030561238657</v>
      </c>
      <c r="C549" s="6">
        <f t="shared" si="120"/>
        <v>5889.4832164777672</v>
      </c>
      <c r="D549" s="6">
        <f t="shared" si="128"/>
        <v>34686012.557173304</v>
      </c>
      <c r="E549" s="7">
        <f t="shared" si="129"/>
        <v>6248571.4285714282</v>
      </c>
      <c r="F549" s="7">
        <f t="shared" si="130"/>
        <v>124.97142857142855</v>
      </c>
      <c r="G549" s="7">
        <f t="shared" si="131"/>
        <v>28437441.128601875</v>
      </c>
      <c r="H549" s="6">
        <f t="shared" si="132"/>
        <v>5332.6767320551016</v>
      </c>
      <c r="I549" s="7">
        <f t="shared" si="133"/>
        <v>-4.4554702685855734</v>
      </c>
      <c r="J549" s="7">
        <f t="shared" si="134"/>
        <v>-89.797804800788867</v>
      </c>
      <c r="K549" s="8">
        <f t="shared" si="123"/>
        <v>171.8538532168721</v>
      </c>
      <c r="L549" s="8">
        <f t="shared" si="124"/>
        <v>-7.2178618351086277</v>
      </c>
      <c r="M549" s="8">
        <f t="shared" si="121"/>
        <v>145.47244377727793</v>
      </c>
      <c r="N549" s="8">
        <f t="shared" si="125"/>
        <v>25</v>
      </c>
      <c r="O549" s="8">
        <f t="shared" si="126"/>
        <v>26.240417368350425</v>
      </c>
    </row>
    <row r="550" spans="1:15" x14ac:dyDescent="0.3">
      <c r="A550" s="5">
        <f t="shared" si="127"/>
        <v>5.4199999999999289</v>
      </c>
      <c r="B550" s="5">
        <f t="shared" si="122"/>
        <v>152.64575090970072</v>
      </c>
      <c r="C550" s="6">
        <f t="shared" si="120"/>
        <v>5887.764677945599</v>
      </c>
      <c r="D550" s="6">
        <f t="shared" si="128"/>
        <v>34665772.902863845</v>
      </c>
      <c r="E550" s="7">
        <f t="shared" si="129"/>
        <v>6248571.4285714282</v>
      </c>
      <c r="F550" s="7">
        <f t="shared" si="130"/>
        <v>124.97142857142855</v>
      </c>
      <c r="G550" s="7">
        <f t="shared" si="131"/>
        <v>28417201.474292416</v>
      </c>
      <c r="H550" s="6">
        <f t="shared" si="132"/>
        <v>5330.7786930515522</v>
      </c>
      <c r="I550" s="7">
        <f t="shared" si="133"/>
        <v>-4.4569066006610978</v>
      </c>
      <c r="J550" s="7">
        <f t="shared" si="134"/>
        <v>-89.768865565820846</v>
      </c>
      <c r="K550" s="8">
        <f t="shared" si="123"/>
        <v>171.90925459692804</v>
      </c>
      <c r="L550" s="8">
        <f t="shared" si="124"/>
        <v>-7.2201886930709769</v>
      </c>
      <c r="M550" s="8">
        <f t="shared" si="121"/>
        <v>145.42556221662974</v>
      </c>
      <c r="N550" s="8">
        <f t="shared" si="125"/>
        <v>25</v>
      </c>
      <c r="O550" s="8">
        <f t="shared" si="126"/>
        <v>26.241217256275004</v>
      </c>
    </row>
    <row r="551" spans="1:15" x14ac:dyDescent="0.3">
      <c r="A551" s="5">
        <f t="shared" si="127"/>
        <v>5.4299999999999287</v>
      </c>
      <c r="B551" s="5">
        <f t="shared" si="122"/>
        <v>152.60118184369412</v>
      </c>
      <c r="C551" s="6">
        <f t="shared" si="120"/>
        <v>5886.04558539963</v>
      </c>
      <c r="D551" s="6">
        <f t="shared" si="128"/>
        <v>34645532.633402474</v>
      </c>
      <c r="E551" s="7">
        <f t="shared" si="129"/>
        <v>6248571.4285714282</v>
      </c>
      <c r="F551" s="7">
        <f t="shared" si="130"/>
        <v>124.97142857142855</v>
      </c>
      <c r="G551" s="7">
        <f t="shared" si="131"/>
        <v>28396961.204831045</v>
      </c>
      <c r="H551" s="6">
        <f t="shared" si="132"/>
        <v>5328.8799202863493</v>
      </c>
      <c r="I551" s="7">
        <f t="shared" si="133"/>
        <v>-4.4583443710482005</v>
      </c>
      <c r="J551" s="7">
        <f t="shared" si="134"/>
        <v>-89.739916026293869</v>
      </c>
      <c r="K551" s="8">
        <f t="shared" si="123"/>
        <v>171.96471145471631</v>
      </c>
      <c r="L551" s="8">
        <f t="shared" si="124"/>
        <v>-7.2225178810980841</v>
      </c>
      <c r="M551" s="8">
        <f t="shared" si="121"/>
        <v>145.37866396259605</v>
      </c>
      <c r="N551" s="8">
        <f t="shared" si="125"/>
        <v>24.999999999999993</v>
      </c>
      <c r="O551" s="8">
        <f t="shared" si="126"/>
        <v>26.242018203399553</v>
      </c>
    </row>
    <row r="552" spans="1:15" x14ac:dyDescent="0.3">
      <c r="A552" s="5">
        <f t="shared" si="127"/>
        <v>5.4399999999999284</v>
      </c>
      <c r="B552" s="5">
        <f t="shared" si="122"/>
        <v>152.55659839998364</v>
      </c>
      <c r="C552" s="6">
        <f t="shared" si="120"/>
        <v>5884.3259382850829</v>
      </c>
      <c r="D552" s="6">
        <f t="shared" si="128"/>
        <v>34625291.747974619</v>
      </c>
      <c r="E552" s="7">
        <f t="shared" si="129"/>
        <v>6248571.4285714282</v>
      </c>
      <c r="F552" s="7">
        <f t="shared" si="130"/>
        <v>124.97142857142855</v>
      </c>
      <c r="G552" s="7">
        <f t="shared" si="131"/>
        <v>28376720.31940319</v>
      </c>
      <c r="H552" s="6">
        <f t="shared" si="132"/>
        <v>5326.9804128983988</v>
      </c>
      <c r="I552" s="7">
        <f t="shared" si="133"/>
        <v>-4.4597835821979759</v>
      </c>
      <c r="J552" s="7">
        <f t="shared" si="134"/>
        <v>-89.710956170878347</v>
      </c>
      <c r="K552" s="8">
        <f t="shared" si="123"/>
        <v>172.02022388477906</v>
      </c>
      <c r="L552" s="8">
        <f t="shared" si="124"/>
        <v>-7.2248494031607198</v>
      </c>
      <c r="M552" s="8">
        <f t="shared" si="121"/>
        <v>145.33174899682291</v>
      </c>
      <c r="N552" s="8">
        <f t="shared" si="125"/>
        <v>24.999999999999993</v>
      </c>
      <c r="O552" s="8">
        <f t="shared" si="126"/>
        <v>26.242820211865514</v>
      </c>
    </row>
    <row r="553" spans="1:15" x14ac:dyDescent="0.3">
      <c r="A553" s="5">
        <f t="shared" si="127"/>
        <v>5.4499999999999282</v>
      </c>
      <c r="B553" s="5">
        <f t="shared" si="122"/>
        <v>152.51200056416167</v>
      </c>
      <c r="C553" s="6">
        <f t="shared" si="120"/>
        <v>5882.6057360462355</v>
      </c>
      <c r="D553" s="6">
        <f t="shared" si="128"/>
        <v>34605050.245764069</v>
      </c>
      <c r="E553" s="7">
        <f t="shared" si="129"/>
        <v>6248571.4285714282</v>
      </c>
      <c r="F553" s="7">
        <f t="shared" si="130"/>
        <v>124.97142857142855</v>
      </c>
      <c r="G553" s="7">
        <f t="shared" si="131"/>
        <v>28356478.81719264</v>
      </c>
      <c r="H553" s="6">
        <f t="shared" si="132"/>
        <v>5325.0801700249212</v>
      </c>
      <c r="I553" s="7">
        <f t="shared" si="133"/>
        <v>-4.4612242365674444</v>
      </c>
      <c r="J553" s="7">
        <f t="shared" si="134"/>
        <v>-89.68198598822373</v>
      </c>
      <c r="K553" s="8">
        <f t="shared" si="123"/>
        <v>172.07579198188714</v>
      </c>
      <c r="L553" s="8">
        <f t="shared" si="124"/>
        <v>-7.227183263239259</v>
      </c>
      <c r="M553" s="8">
        <f t="shared" si="121"/>
        <v>145.28481730092241</v>
      </c>
      <c r="N553" s="8">
        <f t="shared" si="125"/>
        <v>25.000000000000004</v>
      </c>
      <c r="O553" s="8">
        <f t="shared" si="126"/>
        <v>26.243623283820135</v>
      </c>
    </row>
    <row r="554" spans="1:15" x14ac:dyDescent="0.3">
      <c r="A554" s="5">
        <f t="shared" si="127"/>
        <v>5.459999999999928</v>
      </c>
      <c r="B554" s="5">
        <f t="shared" si="122"/>
        <v>152.46738832179599</v>
      </c>
      <c r="C554" s="6">
        <f t="shared" si="120"/>
        <v>5880.8849781264162</v>
      </c>
      <c r="D554" s="6">
        <f t="shared" si="128"/>
        <v>34584808.125952937</v>
      </c>
      <c r="E554" s="7">
        <f t="shared" si="129"/>
        <v>6248571.4285714282</v>
      </c>
      <c r="F554" s="7">
        <f t="shared" si="130"/>
        <v>124.97142857142855</v>
      </c>
      <c r="G554" s="7">
        <f t="shared" si="131"/>
        <v>28336236.697381508</v>
      </c>
      <c r="H554" s="6">
        <f t="shared" si="132"/>
        <v>5323.1791908014429</v>
      </c>
      <c r="I554" s="7">
        <f t="shared" si="133"/>
        <v>-4.462666336619586</v>
      </c>
      <c r="J554" s="7">
        <f t="shared" si="134"/>
        <v>-89.653005466958206</v>
      </c>
      <c r="K554" s="8">
        <f t="shared" si="123"/>
        <v>172.13141584104116</v>
      </c>
      <c r="L554" s="8">
        <f t="shared" si="124"/>
        <v>-7.2295194653237278</v>
      </c>
      <c r="M554" s="8">
        <f t="shared" si="121"/>
        <v>145.23786885647226</v>
      </c>
      <c r="N554" s="8">
        <f t="shared" si="125"/>
        <v>25.000000000000028</v>
      </c>
      <c r="O554" s="8">
        <f t="shared" si="126"/>
        <v>26.244427421416571</v>
      </c>
    </row>
    <row r="555" spans="1:15" x14ac:dyDescent="0.3">
      <c r="A555" s="5">
        <f t="shared" si="127"/>
        <v>5.4699999999999278</v>
      </c>
      <c r="B555" s="5">
        <f t="shared" si="122"/>
        <v>152.42276165842981</v>
      </c>
      <c r="C555" s="6">
        <f t="shared" si="120"/>
        <v>5879.1636639680064</v>
      </c>
      <c r="D555" s="6">
        <f t="shared" si="128"/>
        <v>34564565.387721717</v>
      </c>
      <c r="E555" s="7">
        <f t="shared" si="129"/>
        <v>6248571.4285714282</v>
      </c>
      <c r="F555" s="7">
        <f t="shared" si="130"/>
        <v>124.97142857142855</v>
      </c>
      <c r="G555" s="7">
        <f t="shared" si="131"/>
        <v>28315993.959150288</v>
      </c>
      <c r="H555" s="6">
        <f t="shared" si="132"/>
        <v>5321.2774743617992</v>
      </c>
      <c r="I555" s="7">
        <f t="shared" si="133"/>
        <v>-4.4641098848233316</v>
      </c>
      <c r="J555" s="7">
        <f t="shared" si="134"/>
        <v>-89.624014595688919</v>
      </c>
      <c r="K555" s="8">
        <f t="shared" si="123"/>
        <v>172.18709555747137</v>
      </c>
      <c r="L555" s="8">
        <f t="shared" si="124"/>
        <v>-7.2318580134137962</v>
      </c>
      <c r="M555" s="8">
        <f t="shared" si="121"/>
        <v>145.19090364501602</v>
      </c>
      <c r="N555" s="8">
        <f t="shared" si="125"/>
        <v>24.999999999999993</v>
      </c>
      <c r="O555" s="8">
        <f t="shared" si="126"/>
        <v>26.245232626813738</v>
      </c>
    </row>
    <row r="556" spans="1:15" x14ac:dyDescent="0.3">
      <c r="A556" s="5">
        <f t="shared" si="127"/>
        <v>5.4799999999999276</v>
      </c>
      <c r="B556" s="5">
        <f t="shared" si="122"/>
        <v>152.37812055958156</v>
      </c>
      <c r="C556" s="6">
        <f t="shared" si="120"/>
        <v>5877.4417930124309</v>
      </c>
      <c r="D556" s="6">
        <f t="shared" si="128"/>
        <v>34544322.030249178</v>
      </c>
      <c r="E556" s="7">
        <f t="shared" si="129"/>
        <v>6248571.4285714282</v>
      </c>
      <c r="F556" s="7">
        <f t="shared" si="130"/>
        <v>124.97142857142855</v>
      </c>
      <c r="G556" s="7">
        <f t="shared" si="131"/>
        <v>28295750.601677749</v>
      </c>
      <c r="H556" s="6">
        <f t="shared" si="132"/>
        <v>5319.3750198381149</v>
      </c>
      <c r="I556" s="7">
        <f t="shared" si="133"/>
        <v>-4.4655548836536498</v>
      </c>
      <c r="J556" s="7">
        <f t="shared" si="134"/>
        <v>-89.595013363001641</v>
      </c>
      <c r="K556" s="8">
        <f t="shared" si="123"/>
        <v>172.24283122664076</v>
      </c>
      <c r="L556" s="8">
        <f t="shared" si="124"/>
        <v>-7.2341989115189111</v>
      </c>
      <c r="M556" s="8">
        <f t="shared" si="121"/>
        <v>145.14392164806264</v>
      </c>
      <c r="N556" s="8">
        <f t="shared" si="125"/>
        <v>25.000000000000025</v>
      </c>
      <c r="O556" s="8">
        <f t="shared" si="126"/>
        <v>26.246038902176725</v>
      </c>
    </row>
    <row r="557" spans="1:15" x14ac:dyDescent="0.3">
      <c r="A557" s="5">
        <f t="shared" si="127"/>
        <v>5.4899999999999274</v>
      </c>
      <c r="B557" s="5">
        <f t="shared" si="122"/>
        <v>152.33346501074502</v>
      </c>
      <c r="C557" s="6">
        <f t="shared" si="120"/>
        <v>5875.719364700165</v>
      </c>
      <c r="D557" s="6">
        <f t="shared" si="128"/>
        <v>34524078.052712508</v>
      </c>
      <c r="E557" s="7">
        <f t="shared" si="129"/>
        <v>6248571.4285714282</v>
      </c>
      <c r="F557" s="7">
        <f t="shared" si="130"/>
        <v>124.97142857142855</v>
      </c>
      <c r="G557" s="7">
        <f t="shared" si="131"/>
        <v>28275506.624141078</v>
      </c>
      <c r="H557" s="6">
        <f t="shared" si="132"/>
        <v>5317.4718263608202</v>
      </c>
      <c r="I557" s="7">
        <f t="shared" si="133"/>
        <v>-4.4670013355914664</v>
      </c>
      <c r="J557" s="7">
        <f t="shared" si="134"/>
        <v>-89.566001757461038</v>
      </c>
      <c r="K557" s="8">
        <f t="shared" si="123"/>
        <v>172.29862294424225</v>
      </c>
      <c r="L557" s="8">
        <f t="shared" si="124"/>
        <v>-7.2365421636581742</v>
      </c>
      <c r="M557" s="8">
        <f t="shared" si="121"/>
        <v>145.09692284708683</v>
      </c>
      <c r="N557" s="8">
        <f t="shared" si="125"/>
        <v>25.000000000000021</v>
      </c>
      <c r="O557" s="8">
        <f t="shared" si="126"/>
        <v>26.246846249676278</v>
      </c>
    </row>
    <row r="558" spans="1:15" x14ac:dyDescent="0.3">
      <c r="A558" s="5">
        <f t="shared" si="127"/>
        <v>5.4999999999999272</v>
      </c>
      <c r="B558" s="5">
        <f t="shared" si="122"/>
        <v>152.28879499738909</v>
      </c>
      <c r="C558" s="6">
        <f t="shared" si="120"/>
        <v>5873.9963784707215</v>
      </c>
      <c r="D558" s="6">
        <f t="shared" si="128"/>
        <v>34503833.454287149</v>
      </c>
      <c r="E558" s="7">
        <f t="shared" si="129"/>
        <v>6248571.4285714282</v>
      </c>
      <c r="F558" s="7">
        <f t="shared" si="130"/>
        <v>124.97142857142855</v>
      </c>
      <c r="G558" s="7">
        <f t="shared" si="131"/>
        <v>28255262.02571572</v>
      </c>
      <c r="H558" s="6">
        <f t="shared" si="132"/>
        <v>5315.5678930586264</v>
      </c>
      <c r="I558" s="7">
        <f t="shared" si="133"/>
        <v>-4.4684492431237617</v>
      </c>
      <c r="J558" s="7">
        <f t="shared" si="134"/>
        <v>-89.536979767610248</v>
      </c>
      <c r="K558" s="8">
        <f t="shared" si="123"/>
        <v>172.35447080620222</v>
      </c>
      <c r="L558" s="8">
        <f t="shared" si="124"/>
        <v>-7.2388877738604922</v>
      </c>
      <c r="M558" s="8">
        <f t="shared" si="121"/>
        <v>145.04990722352861</v>
      </c>
      <c r="N558" s="8">
        <f t="shared" si="125"/>
        <v>25</v>
      </c>
      <c r="O558" s="8">
        <f t="shared" si="126"/>
        <v>26.247654671489212</v>
      </c>
    </row>
    <row r="559" spans="1:15" x14ac:dyDescent="0.3">
      <c r="A559" s="5">
        <f t="shared" si="127"/>
        <v>5.509999999999927</v>
      </c>
      <c r="B559" s="5">
        <f t="shared" si="122"/>
        <v>152.24411050495786</v>
      </c>
      <c r="C559" s="6">
        <f t="shared" si="120"/>
        <v>5872.2728337626604</v>
      </c>
      <c r="D559" s="6">
        <f t="shared" si="128"/>
        <v>34483588.234146945</v>
      </c>
      <c r="E559" s="7">
        <f t="shared" si="129"/>
        <v>6248571.4285714282</v>
      </c>
      <c r="F559" s="7">
        <f t="shared" si="130"/>
        <v>124.97142857142855</v>
      </c>
      <c r="G559" s="7">
        <f t="shared" si="131"/>
        <v>28235016.805575516</v>
      </c>
      <c r="H559" s="6">
        <f t="shared" si="132"/>
        <v>5313.6632190585351</v>
      </c>
      <c r="I559" s="7">
        <f t="shared" si="133"/>
        <v>-4.4698986087435735</v>
      </c>
      <c r="J559" s="7">
        <f t="shared" si="134"/>
        <v>-89.507947381971164</v>
      </c>
      <c r="K559" s="8">
        <f t="shared" si="123"/>
        <v>172.41037490868069</v>
      </c>
      <c r="L559" s="8">
        <f t="shared" si="124"/>
        <v>-7.2412357461645884</v>
      </c>
      <c r="M559" s="8">
        <f t="shared" si="121"/>
        <v>145.00287475879327</v>
      </c>
      <c r="N559" s="8">
        <f t="shared" si="125"/>
        <v>25.000000000000021</v>
      </c>
      <c r="O559" s="8">
        <f t="shared" si="126"/>
        <v>26.248464169798396</v>
      </c>
    </row>
    <row r="560" spans="1:15" x14ac:dyDescent="0.3">
      <c r="A560" s="5">
        <f t="shared" si="127"/>
        <v>5.5199999999999267</v>
      </c>
      <c r="B560" s="5">
        <f t="shared" si="122"/>
        <v>152.19941151887042</v>
      </c>
      <c r="C560" s="6">
        <f t="shared" si="120"/>
        <v>5870.5487300135728</v>
      </c>
      <c r="D560" s="6">
        <f t="shared" si="128"/>
        <v>34463342.391463973</v>
      </c>
      <c r="E560" s="7">
        <f t="shared" si="129"/>
        <v>6248571.4285714282</v>
      </c>
      <c r="F560" s="7">
        <f t="shared" si="130"/>
        <v>124.97142857142855</v>
      </c>
      <c r="G560" s="7">
        <f t="shared" si="131"/>
        <v>28214770.962892544</v>
      </c>
      <c r="H560" s="6">
        <f t="shared" si="132"/>
        <v>5311.7578034858234</v>
      </c>
      <c r="I560" s="7">
        <f t="shared" si="133"/>
        <v>-4.4713494349499845</v>
      </c>
      <c r="J560" s="7">
        <f t="shared" si="134"/>
        <v>-89.478904589044106</v>
      </c>
      <c r="K560" s="8">
        <f t="shared" si="123"/>
        <v>172.46633534807083</v>
      </c>
      <c r="L560" s="8">
        <f t="shared" si="124"/>
        <v>-7.2435860846189737</v>
      </c>
      <c r="M560" s="8">
        <f t="shared" si="121"/>
        <v>144.95582543425144</v>
      </c>
      <c r="N560" s="8">
        <f t="shared" si="125"/>
        <v>25.000000000000021</v>
      </c>
      <c r="O560" s="8">
        <f t="shared" si="126"/>
        <v>26.24927474679254</v>
      </c>
    </row>
    <row r="561" spans="1:15" x14ac:dyDescent="0.3">
      <c r="A561" s="5">
        <f t="shared" si="127"/>
        <v>5.5299999999999265</v>
      </c>
      <c r="B561" s="5">
        <f t="shared" si="122"/>
        <v>152.15469802452091</v>
      </c>
      <c r="C561" s="6">
        <f t="shared" si="120"/>
        <v>5868.8240666600923</v>
      </c>
      <c r="D561" s="6">
        <f t="shared" si="128"/>
        <v>34443095.925408706</v>
      </c>
      <c r="E561" s="7">
        <f t="shared" si="129"/>
        <v>6248571.4285714282</v>
      </c>
      <c r="F561" s="7">
        <f t="shared" si="130"/>
        <v>124.97142857142855</v>
      </c>
      <c r="G561" s="7">
        <f t="shared" si="131"/>
        <v>28194524.496837277</v>
      </c>
      <c r="H561" s="6">
        <f t="shared" si="132"/>
        <v>5309.8516454640494</v>
      </c>
      <c r="I561" s="7">
        <f t="shared" si="133"/>
        <v>-4.4728017242481721</v>
      </c>
      <c r="J561" s="7">
        <f t="shared" si="134"/>
        <v>-89.449851377307965</v>
      </c>
      <c r="K561" s="8">
        <f t="shared" si="123"/>
        <v>172.52235222100092</v>
      </c>
      <c r="L561" s="8">
        <f t="shared" si="124"/>
        <v>-7.245938793282038</v>
      </c>
      <c r="M561" s="8">
        <f t="shared" si="121"/>
        <v>144.90875923123886</v>
      </c>
      <c r="N561" s="8">
        <f t="shared" si="125"/>
        <v>25.000000000000007</v>
      </c>
      <c r="O561" s="8">
        <f t="shared" si="126"/>
        <v>26.25008640466643</v>
      </c>
    </row>
    <row r="562" spans="1:15" x14ac:dyDescent="0.3">
      <c r="A562" s="5">
        <f t="shared" si="127"/>
        <v>5.5399999999999263</v>
      </c>
      <c r="B562" s="5">
        <f t="shared" si="122"/>
        <v>152.10997000727843</v>
      </c>
      <c r="C562" s="6">
        <f t="shared" si="120"/>
        <v>5867.0988431378819</v>
      </c>
      <c r="D562" s="6">
        <f t="shared" si="128"/>
        <v>34422848.835149869</v>
      </c>
      <c r="E562" s="7">
        <f t="shared" si="129"/>
        <v>6248571.4285714282</v>
      </c>
      <c r="F562" s="7">
        <f t="shared" si="130"/>
        <v>124.97142857142855</v>
      </c>
      <c r="G562" s="7">
        <f t="shared" si="131"/>
        <v>28174277.40657844</v>
      </c>
      <c r="H562" s="6">
        <f t="shared" si="132"/>
        <v>5307.9447441150369</v>
      </c>
      <c r="I562" s="7">
        <f t="shared" si="133"/>
        <v>-4.4742554791494236</v>
      </c>
      <c r="J562" s="7">
        <f t="shared" si="134"/>
        <v>-89.420787735220003</v>
      </c>
      <c r="K562" s="8">
        <f t="shared" si="123"/>
        <v>172.5784256243349</v>
      </c>
      <c r="L562" s="8">
        <f t="shared" si="124"/>
        <v>-7.248293876222065</v>
      </c>
      <c r="M562" s="8">
        <f t="shared" si="121"/>
        <v>144.86167613105636</v>
      </c>
      <c r="N562" s="8">
        <f t="shared" si="125"/>
        <v>25</v>
      </c>
      <c r="O562" s="8">
        <f t="shared" si="126"/>
        <v>26.250899145620917</v>
      </c>
    </row>
    <row r="563" spans="1:15" x14ac:dyDescent="0.3">
      <c r="A563" s="5">
        <f t="shared" si="127"/>
        <v>5.5499999999999261</v>
      </c>
      <c r="B563" s="5">
        <f t="shared" si="122"/>
        <v>152.06522745248694</v>
      </c>
      <c r="C563" s="6">
        <f t="shared" si="120"/>
        <v>5865.3730588816388</v>
      </c>
      <c r="D563" s="6">
        <f t="shared" si="128"/>
        <v>34402601.119854555</v>
      </c>
      <c r="E563" s="7">
        <f t="shared" si="129"/>
        <v>6248571.4285714282</v>
      </c>
      <c r="F563" s="7">
        <f t="shared" si="130"/>
        <v>124.97142857142855</v>
      </c>
      <c r="G563" s="7">
        <f t="shared" si="131"/>
        <v>28154029.691283125</v>
      </c>
      <c r="H563" s="6">
        <f t="shared" si="132"/>
        <v>5306.0370985588788</v>
      </c>
      <c r="I563" s="7">
        <f t="shared" si="133"/>
        <v>-4.4757107021711482</v>
      </c>
      <c r="J563" s="7">
        <f t="shared" si="134"/>
        <v>-89.391713651215866</v>
      </c>
      <c r="K563" s="8">
        <f t="shared" si="123"/>
        <v>172.63455565517285</v>
      </c>
      <c r="L563" s="8">
        <f t="shared" si="124"/>
        <v>-7.250651337517259</v>
      </c>
      <c r="M563" s="8">
        <f t="shared" si="121"/>
        <v>144.81457611496967</v>
      </c>
      <c r="N563" s="8">
        <f t="shared" si="125"/>
        <v>24.999999999999996</v>
      </c>
      <c r="O563" s="8">
        <f t="shared" si="126"/>
        <v>26.251712971862876</v>
      </c>
    </row>
    <row r="564" spans="1:15" x14ac:dyDescent="0.3">
      <c r="A564" s="5">
        <f t="shared" si="127"/>
        <v>5.5599999999999259</v>
      </c>
      <c r="B564" s="5">
        <f t="shared" si="122"/>
        <v>152.02047034546521</v>
      </c>
      <c r="C564" s="6">
        <f t="shared" si="120"/>
        <v>5863.6467133250862</v>
      </c>
      <c r="D564" s="6">
        <f t="shared" si="128"/>
        <v>34382352.778688088</v>
      </c>
      <c r="E564" s="7">
        <f t="shared" si="129"/>
        <v>6248571.4285714282</v>
      </c>
      <c r="F564" s="7">
        <f t="shared" si="130"/>
        <v>124.97142857142855</v>
      </c>
      <c r="G564" s="7">
        <f t="shared" si="131"/>
        <v>28133781.350116659</v>
      </c>
      <c r="H564" s="6">
        <f t="shared" si="132"/>
        <v>5304.1287079139265</v>
      </c>
      <c r="I564" s="7">
        <f t="shared" si="133"/>
        <v>-4.4771673958368989</v>
      </c>
      <c r="J564" s="7">
        <f t="shared" si="134"/>
        <v>-89.362629113709545</v>
      </c>
      <c r="K564" s="8">
        <f t="shared" si="123"/>
        <v>172.69074241085181</v>
      </c>
      <c r="L564" s="8">
        <f t="shared" si="124"/>
        <v>-7.2530111812557756</v>
      </c>
      <c r="M564" s="8">
        <f t="shared" si="121"/>
        <v>144.76745916420944</v>
      </c>
      <c r="N564" s="8">
        <f t="shared" si="125"/>
        <v>25</v>
      </c>
      <c r="O564" s="8">
        <f t="shared" si="126"/>
        <v>26.252527885605268</v>
      </c>
    </row>
    <row r="565" spans="1:15" x14ac:dyDescent="0.3">
      <c r="A565" s="5">
        <f t="shared" si="127"/>
        <v>5.5699999999999257</v>
      </c>
      <c r="B565" s="5">
        <f t="shared" si="122"/>
        <v>151.97569867150685</v>
      </c>
      <c r="C565" s="6">
        <f t="shared" si="120"/>
        <v>5861.9198059009777</v>
      </c>
      <c r="D565" s="6">
        <f t="shared" si="128"/>
        <v>34362103.810814157</v>
      </c>
      <c r="E565" s="7">
        <f t="shared" si="129"/>
        <v>6248571.4285714282</v>
      </c>
      <c r="F565" s="7">
        <f t="shared" si="130"/>
        <v>124.97142857142855</v>
      </c>
      <c r="G565" s="7">
        <f t="shared" si="131"/>
        <v>28113532.382242728</v>
      </c>
      <c r="H565" s="6">
        <f t="shared" si="132"/>
        <v>5302.2195712967914</v>
      </c>
      <c r="I565" s="7">
        <f t="shared" si="133"/>
        <v>-4.4786255626763891</v>
      </c>
      <c r="J565" s="7">
        <f t="shared" si="134"/>
        <v>-89.333534111093272</v>
      </c>
      <c r="K565" s="8">
        <f t="shared" si="123"/>
        <v>172.74698598894642</v>
      </c>
      <c r="L565" s="8">
        <f t="shared" si="124"/>
        <v>-7.2553734115357491</v>
      </c>
      <c r="M565" s="8">
        <f t="shared" si="121"/>
        <v>144.7203252599711</v>
      </c>
      <c r="N565" s="8">
        <f t="shared" si="125"/>
        <v>24.999999999999996</v>
      </c>
      <c r="O565" s="8">
        <f t="shared" si="126"/>
        <v>26.253343889067136</v>
      </c>
    </row>
    <row r="566" spans="1:15" x14ac:dyDescent="0.3">
      <c r="A566" s="5">
        <f t="shared" si="127"/>
        <v>5.5799999999999255</v>
      </c>
      <c r="B566" s="5">
        <f t="shared" si="122"/>
        <v>151.93091241588007</v>
      </c>
      <c r="C566" s="6">
        <f t="shared" si="120"/>
        <v>5860.1923360410883</v>
      </c>
      <c r="D566" s="6">
        <f t="shared" si="128"/>
        <v>34341854.215394706</v>
      </c>
      <c r="E566" s="7">
        <f t="shared" si="129"/>
        <v>6248571.4285714282</v>
      </c>
      <c r="F566" s="7">
        <f t="shared" si="130"/>
        <v>124.97142857142855</v>
      </c>
      <c r="G566" s="7">
        <f t="shared" si="131"/>
        <v>28093282.786823276</v>
      </c>
      <c r="H566" s="6">
        <f t="shared" si="132"/>
        <v>5300.3096878223332</v>
      </c>
      <c r="I566" s="7">
        <f t="shared" si="133"/>
        <v>-4.4800852052255218</v>
      </c>
      <c r="J566" s="7">
        <f t="shared" si="134"/>
        <v>-89.304428631737494</v>
      </c>
      <c r="K566" s="8">
        <f t="shared" si="123"/>
        <v>172.80328648727013</v>
      </c>
      <c r="L566" s="8">
        <f t="shared" si="124"/>
        <v>-7.2577380324653449</v>
      </c>
      <c r="M566" s="8">
        <f t="shared" si="121"/>
        <v>144.67317438341473</v>
      </c>
      <c r="N566" s="8">
        <f t="shared" si="125"/>
        <v>25.000000000000007</v>
      </c>
      <c r="O566" s="8">
        <f t="shared" si="126"/>
        <v>26.254160984473671</v>
      </c>
    </row>
    <row r="567" spans="1:15" x14ac:dyDescent="0.3">
      <c r="A567" s="5">
        <f t="shared" si="127"/>
        <v>5.5899999999999253</v>
      </c>
      <c r="B567" s="5">
        <f t="shared" si="122"/>
        <v>151.88611156382782</v>
      </c>
      <c r="C567" s="6">
        <f t="shared" si="120"/>
        <v>5858.4643031762162</v>
      </c>
      <c r="D567" s="6">
        <f t="shared" si="128"/>
        <v>34321603.991589986</v>
      </c>
      <c r="E567" s="7">
        <f t="shared" si="129"/>
        <v>6248571.4285714282</v>
      </c>
      <c r="F567" s="7">
        <f t="shared" si="130"/>
        <v>124.97142857142855</v>
      </c>
      <c r="G567" s="7">
        <f t="shared" si="131"/>
        <v>28073032.563018557</v>
      </c>
      <c r="H567" s="6">
        <f t="shared" si="132"/>
        <v>5298.39905660366</v>
      </c>
      <c r="I567" s="7">
        <f t="shared" si="133"/>
        <v>-4.4815463260263986</v>
      </c>
      <c r="J567" s="7">
        <f t="shared" si="134"/>
        <v>-89.275312663990803</v>
      </c>
      <c r="K567" s="8">
        <f t="shared" si="123"/>
        <v>172.85964400387536</v>
      </c>
      <c r="L567" s="8">
        <f t="shared" si="124"/>
        <v>-7.2601050481627647</v>
      </c>
      <c r="M567" s="8">
        <f t="shared" si="121"/>
        <v>144.62600651566507</v>
      </c>
      <c r="N567" s="8">
        <f t="shared" si="125"/>
        <v>25.000000000000021</v>
      </c>
      <c r="O567" s="8">
        <f t="shared" si="126"/>
        <v>26.254979174056174</v>
      </c>
    </row>
    <row r="568" spans="1:15" x14ac:dyDescent="0.3">
      <c r="A568" s="5">
        <f t="shared" si="127"/>
        <v>5.599999999999925</v>
      </c>
      <c r="B568" s="5">
        <f t="shared" si="122"/>
        <v>151.84129610056755</v>
      </c>
      <c r="C568" s="6">
        <f t="shared" si="120"/>
        <v>5856.7357067361763</v>
      </c>
      <c r="D568" s="6">
        <f t="shared" si="128"/>
        <v>34301353.1385585</v>
      </c>
      <c r="E568" s="7">
        <f t="shared" si="129"/>
        <v>6248571.4285714282</v>
      </c>
      <c r="F568" s="7">
        <f t="shared" si="130"/>
        <v>124.97142857142855</v>
      </c>
      <c r="G568" s="7">
        <f t="shared" si="131"/>
        <v>28052781.70998707</v>
      </c>
      <c r="H568" s="6">
        <f t="shared" si="132"/>
        <v>5296.48767675212</v>
      </c>
      <c r="I568" s="7">
        <f t="shared" si="133"/>
        <v>-4.4830089276273375</v>
      </c>
      <c r="J568" s="7">
        <f t="shared" si="134"/>
        <v>-89.246186196179806</v>
      </c>
      <c r="K568" s="8">
        <f t="shared" si="123"/>
        <v>172.91605863705445</v>
      </c>
      <c r="L568" s="8">
        <f t="shared" si="124"/>
        <v>-7.2624744627562858</v>
      </c>
      <c r="M568" s="8">
        <f t="shared" si="121"/>
        <v>144.57882163781127</v>
      </c>
      <c r="N568" s="8">
        <f t="shared" si="125"/>
        <v>25.000000000000011</v>
      </c>
      <c r="O568" s="8">
        <f t="shared" si="126"/>
        <v>26.255798460052084</v>
      </c>
    </row>
    <row r="569" spans="1:15" x14ac:dyDescent="0.3">
      <c r="A569" s="5">
        <f t="shared" si="127"/>
        <v>5.6099999999999248</v>
      </c>
      <c r="B569" s="5">
        <f t="shared" si="122"/>
        <v>151.79646601129127</v>
      </c>
      <c r="C569" s="6">
        <f t="shared" si="120"/>
        <v>5855.0065461498061</v>
      </c>
      <c r="D569" s="6">
        <f t="shared" si="128"/>
        <v>34281101.655457079</v>
      </c>
      <c r="E569" s="7">
        <f t="shared" si="129"/>
        <v>6248571.4285714282</v>
      </c>
      <c r="F569" s="7">
        <f t="shared" si="130"/>
        <v>124.97142857142855</v>
      </c>
      <c r="G569" s="7">
        <f t="shared" si="131"/>
        <v>28032530.22688565</v>
      </c>
      <c r="H569" s="6">
        <f t="shared" si="132"/>
        <v>5294.5755473773015</v>
      </c>
      <c r="I569" s="7">
        <f t="shared" si="133"/>
        <v>-4.4844730125829138</v>
      </c>
      <c r="J569" s="7">
        <f t="shared" si="134"/>
        <v>-89.21704921660924</v>
      </c>
      <c r="K569" s="8">
        <f t="shared" si="123"/>
        <v>172.97253048534094</v>
      </c>
      <c r="L569" s="8">
        <f t="shared" si="124"/>
        <v>-7.2648462803843188</v>
      </c>
      <c r="M569" s="8">
        <f t="shared" si="121"/>
        <v>144.53161973090695</v>
      </c>
      <c r="N569" s="8">
        <f t="shared" si="125"/>
        <v>25.000000000000007</v>
      </c>
      <c r="O569" s="8">
        <f t="shared" si="126"/>
        <v>26.256618844705098</v>
      </c>
    </row>
    <row r="570" spans="1:15" x14ac:dyDescent="0.3">
      <c r="A570" s="5">
        <f t="shared" si="127"/>
        <v>5.6199999999999246</v>
      </c>
      <c r="B570" s="5">
        <f t="shared" si="122"/>
        <v>151.75162128116546</v>
      </c>
      <c r="C570" s="6">
        <f t="shared" si="120"/>
        <v>5853.2768208449534</v>
      </c>
      <c r="D570" s="6">
        <f t="shared" si="128"/>
        <v>34260849.541440807</v>
      </c>
      <c r="E570" s="7">
        <f t="shared" si="129"/>
        <v>6248571.4285714282</v>
      </c>
      <c r="F570" s="7">
        <f t="shared" si="130"/>
        <v>124.97142857142855</v>
      </c>
      <c r="G570" s="7">
        <f t="shared" si="131"/>
        <v>28012278.112869378</v>
      </c>
      <c r="H570" s="6">
        <f t="shared" si="132"/>
        <v>5292.662667587023</v>
      </c>
      <c r="I570" s="7">
        <f t="shared" si="133"/>
        <v>-4.4859385834539482</v>
      </c>
      <c r="J570" s="7">
        <f t="shared" si="134"/>
        <v>-89.187901713561786</v>
      </c>
      <c r="K570" s="8">
        <f t="shared" si="123"/>
        <v>173.02905964750943</v>
      </c>
      <c r="L570" s="8">
        <f t="shared" si="124"/>
        <v>-7.2672205051953949</v>
      </c>
      <c r="M570" s="8">
        <f t="shared" si="121"/>
        <v>144.48440077597007</v>
      </c>
      <c r="N570" s="8">
        <f t="shared" si="125"/>
        <v>24.999999999999982</v>
      </c>
      <c r="O570" s="8">
        <f t="shared" si="126"/>
        <v>26.257440330265037</v>
      </c>
    </row>
    <row r="571" spans="1:15" x14ac:dyDescent="0.3">
      <c r="A571" s="5">
        <f t="shared" si="127"/>
        <v>5.6299999999999244</v>
      </c>
      <c r="B571" s="5">
        <f t="shared" si="122"/>
        <v>151.70676189533091</v>
      </c>
      <c r="C571" s="6">
        <f t="shared" si="120"/>
        <v>5851.5465302484781</v>
      </c>
      <c r="D571" s="6">
        <f t="shared" si="128"/>
        <v>34240596.795663007</v>
      </c>
      <c r="E571" s="7">
        <f t="shared" si="129"/>
        <v>6248571.4285714282</v>
      </c>
      <c r="F571" s="7">
        <f t="shared" si="130"/>
        <v>124.97142857142855</v>
      </c>
      <c r="G571" s="7">
        <f t="shared" si="131"/>
        <v>27992025.367091578</v>
      </c>
      <c r="H571" s="6">
        <f t="shared" si="132"/>
        <v>5290.7490364873265</v>
      </c>
      <c r="I571" s="7">
        <f t="shared" si="133"/>
        <v>-4.4874056428075697</v>
      </c>
      <c r="J571" s="7">
        <f t="shared" si="134"/>
        <v>-89.158743675297941</v>
      </c>
      <c r="K571" s="8">
        <f t="shared" si="123"/>
        <v>173.08564622257768</v>
      </c>
      <c r="L571" s="8">
        <f t="shared" si="124"/>
        <v>-7.2695971413482621</v>
      </c>
      <c r="M571" s="8">
        <f t="shared" si="121"/>
        <v>144.43716475398264</v>
      </c>
      <c r="N571" s="8">
        <f t="shared" si="125"/>
        <v>25.000000000000007</v>
      </c>
      <c r="O571" s="8">
        <f t="shared" si="126"/>
        <v>26.258262918988077</v>
      </c>
    </row>
    <row r="572" spans="1:15" x14ac:dyDescent="0.3">
      <c r="A572" s="5">
        <f t="shared" si="127"/>
        <v>5.6399999999999242</v>
      </c>
      <c r="B572" s="5">
        <f t="shared" si="122"/>
        <v>151.66188783890283</v>
      </c>
      <c r="C572" s="6">
        <f t="shared" si="120"/>
        <v>5849.8156737862519</v>
      </c>
      <c r="D572" s="6">
        <f t="shared" si="128"/>
        <v>34220343.417275302</v>
      </c>
      <c r="E572" s="7">
        <f t="shared" si="129"/>
        <v>6248571.4285714282</v>
      </c>
      <c r="F572" s="7">
        <f t="shared" si="130"/>
        <v>124.97142857142855</v>
      </c>
      <c r="G572" s="7">
        <f t="shared" si="131"/>
        <v>27971771.988703873</v>
      </c>
      <c r="H572" s="6">
        <f t="shared" si="132"/>
        <v>5288.8346531824827</v>
      </c>
      <c r="I572" s="7">
        <f t="shared" si="133"/>
        <v>-4.4888741932171747</v>
      </c>
      <c r="J572" s="7">
        <f t="shared" si="134"/>
        <v>-89.129575090056193</v>
      </c>
      <c r="K572" s="8">
        <f t="shared" si="123"/>
        <v>173.1422903098053</v>
      </c>
      <c r="L572" s="8">
        <f t="shared" si="124"/>
        <v>-7.2719761930118221</v>
      </c>
      <c r="M572" s="8">
        <f t="shared" si="121"/>
        <v>144.389911645891</v>
      </c>
      <c r="N572" s="8">
        <f t="shared" si="125"/>
        <v>24.999999999999996</v>
      </c>
      <c r="O572" s="8">
        <f t="shared" si="126"/>
        <v>26.259086613136446</v>
      </c>
    </row>
    <row r="573" spans="1:15" x14ac:dyDescent="0.3">
      <c r="A573" s="5">
        <f t="shared" si="127"/>
        <v>5.649999999999924</v>
      </c>
      <c r="B573" s="5">
        <f t="shared" si="122"/>
        <v>151.61699909697066</v>
      </c>
      <c r="C573" s="6">
        <f t="shared" si="120"/>
        <v>5848.0842508831538</v>
      </c>
      <c r="D573" s="6">
        <f t="shared" si="128"/>
        <v>34200089.405427575</v>
      </c>
      <c r="E573" s="7">
        <f t="shared" si="129"/>
        <v>6248571.4285714282</v>
      </c>
      <c r="F573" s="7">
        <f t="shared" si="130"/>
        <v>124.97142857142855</v>
      </c>
      <c r="G573" s="7">
        <f t="shared" si="131"/>
        <v>27951517.976856146</v>
      </c>
      <c r="H573" s="6">
        <f t="shared" si="132"/>
        <v>5286.9195167749758</v>
      </c>
      <c r="I573" s="7">
        <f t="shared" si="133"/>
        <v>-4.4903442372625131</v>
      </c>
      <c r="J573" s="7">
        <f t="shared" si="134"/>
        <v>-89.100395946052728</v>
      </c>
      <c r="K573" s="8">
        <f t="shared" si="123"/>
        <v>173.19899200869693</v>
      </c>
      <c r="L573" s="8">
        <f t="shared" si="124"/>
        <v>-7.2743576643652705</v>
      </c>
      <c r="M573" s="8">
        <f t="shared" si="121"/>
        <v>144.34264143260538</v>
      </c>
      <c r="N573" s="8">
        <f t="shared" si="125"/>
        <v>25.000000000000025</v>
      </c>
      <c r="O573" s="8">
        <f t="shared" si="126"/>
        <v>26.259911414978834</v>
      </c>
    </row>
    <row r="574" spans="1:15" x14ac:dyDescent="0.3">
      <c r="A574" s="5">
        <f t="shared" si="127"/>
        <v>5.6599999999999238</v>
      </c>
      <c r="B574" s="5">
        <f t="shared" si="122"/>
        <v>151.57209565459803</v>
      </c>
      <c r="C574" s="6">
        <f t="shared" si="120"/>
        <v>5846.3522609630663</v>
      </c>
      <c r="D574" s="6">
        <f t="shared" si="128"/>
        <v>34179834.759267956</v>
      </c>
      <c r="E574" s="7">
        <f t="shared" si="129"/>
        <v>6248571.4285714282</v>
      </c>
      <c r="F574" s="7">
        <f t="shared" si="130"/>
        <v>124.97142857142855</v>
      </c>
      <c r="G574" s="7">
        <f t="shared" si="131"/>
        <v>27931263.330696527</v>
      </c>
      <c r="H574" s="6">
        <f t="shared" si="132"/>
        <v>5285.0036263655038</v>
      </c>
      <c r="I574" s="7">
        <f t="shared" si="133"/>
        <v>-4.4918157775296503</v>
      </c>
      <c r="J574" s="7">
        <f t="shared" si="134"/>
        <v>-89.071206231481483</v>
      </c>
      <c r="K574" s="8">
        <f t="shared" si="123"/>
        <v>173.2557514190008</v>
      </c>
      <c r="L574" s="8">
        <f t="shared" si="124"/>
        <v>-7.2767415595980331</v>
      </c>
      <c r="M574" s="8">
        <f t="shared" si="121"/>
        <v>144.29535409499999</v>
      </c>
      <c r="N574" s="8">
        <f t="shared" si="125"/>
        <v>25.000000000000018</v>
      </c>
      <c r="O574" s="8">
        <f t="shared" si="126"/>
        <v>26.260737326790046</v>
      </c>
    </row>
    <row r="575" spans="1:15" x14ac:dyDescent="0.3">
      <c r="A575" s="5">
        <f t="shared" si="127"/>
        <v>5.6699999999999235</v>
      </c>
      <c r="B575" s="5">
        <f t="shared" si="122"/>
        <v>151.52717749682273</v>
      </c>
      <c r="C575" s="6">
        <f t="shared" si="120"/>
        <v>5844.6197034488769</v>
      </c>
      <c r="D575" s="6">
        <f t="shared" si="128"/>
        <v>34159579.477942839</v>
      </c>
      <c r="E575" s="7">
        <f t="shared" si="129"/>
        <v>6248571.4285714282</v>
      </c>
      <c r="F575" s="7">
        <f t="shared" si="130"/>
        <v>124.97142857142855</v>
      </c>
      <c r="G575" s="7">
        <f t="shared" si="131"/>
        <v>27911008.04937141</v>
      </c>
      <c r="H575" s="6">
        <f t="shared" si="132"/>
        <v>5283.0869810529721</v>
      </c>
      <c r="I575" s="7">
        <f t="shared" si="133"/>
        <v>-4.4932888166110363</v>
      </c>
      <c r="J575" s="7">
        <f t="shared" si="134"/>
        <v>-89.042005934514123</v>
      </c>
      <c r="K575" s="8">
        <f t="shared" si="123"/>
        <v>173.31256864071139</v>
      </c>
      <c r="L575" s="8">
        <f t="shared" si="124"/>
        <v>-7.2791278829098776</v>
      </c>
      <c r="M575" s="8">
        <f t="shared" si="121"/>
        <v>144.24804961391285</v>
      </c>
      <c r="N575" s="8">
        <f t="shared" si="125"/>
        <v>25.000000000000014</v>
      </c>
      <c r="O575" s="8">
        <f t="shared" si="126"/>
        <v>26.261564350851348</v>
      </c>
    </row>
    <row r="576" spans="1:15" x14ac:dyDescent="0.3">
      <c r="A576" s="5">
        <f t="shared" si="127"/>
        <v>5.6799999999999233</v>
      </c>
      <c r="B576" s="5">
        <f t="shared" si="122"/>
        <v>151.48224460865663</v>
      </c>
      <c r="C576" s="6">
        <f t="shared" si="120"/>
        <v>5842.8865777624696</v>
      </c>
      <c r="D576" s="6">
        <f t="shared" si="128"/>
        <v>34139323.560596824</v>
      </c>
      <c r="E576" s="7">
        <f t="shared" si="129"/>
        <v>6248571.4285714282</v>
      </c>
      <c r="F576" s="7">
        <f t="shared" si="130"/>
        <v>124.97142857142855</v>
      </c>
      <c r="G576" s="7">
        <f t="shared" si="131"/>
        <v>27890752.132025395</v>
      </c>
      <c r="H576" s="6">
        <f t="shared" si="132"/>
        <v>5281.1695799344861</v>
      </c>
      <c r="I576" s="7">
        <f t="shared" si="133"/>
        <v>-4.4947633571054935</v>
      </c>
      <c r="J576" s="7">
        <f t="shared" si="134"/>
        <v>-89.012795043299846</v>
      </c>
      <c r="K576" s="8">
        <f t="shared" si="123"/>
        <v>173.36944377406903</v>
      </c>
      <c r="L576" s="8">
        <f t="shared" si="124"/>
        <v>-7.2815166385108983</v>
      </c>
      <c r="M576" s="8">
        <f t="shared" si="121"/>
        <v>144.20072797014572</v>
      </c>
      <c r="N576" s="8">
        <f t="shared" si="125"/>
        <v>25</v>
      </c>
      <c r="O576" s="8">
        <f t="shared" si="126"/>
        <v>26.262392489450267</v>
      </c>
    </row>
    <row r="577" spans="1:15" x14ac:dyDescent="0.3">
      <c r="A577" s="5">
        <f t="shared" si="127"/>
        <v>5.6899999999999231</v>
      </c>
      <c r="B577" s="5">
        <f t="shared" si="122"/>
        <v>151.43729697508559</v>
      </c>
      <c r="C577" s="6">
        <f t="shared" si="120"/>
        <v>5841.1528833247294</v>
      </c>
      <c r="D577" s="6">
        <f t="shared" si="128"/>
        <v>34119067.006372802</v>
      </c>
      <c r="E577" s="7">
        <f t="shared" si="129"/>
        <v>6248571.4285714282</v>
      </c>
      <c r="F577" s="7">
        <f t="shared" si="130"/>
        <v>124.97142857142855</v>
      </c>
      <c r="G577" s="7">
        <f t="shared" si="131"/>
        <v>27870495.577801373</v>
      </c>
      <c r="H577" s="6">
        <f t="shared" si="132"/>
        <v>5279.2514221053516</v>
      </c>
      <c r="I577" s="7">
        <f t="shared" si="133"/>
        <v>-4.4962394016182499</v>
      </c>
      <c r="J577" s="7">
        <f t="shared" si="134"/>
        <v>-88.98357354596547</v>
      </c>
      <c r="K577" s="8">
        <f t="shared" si="123"/>
        <v>173.42637691956105</v>
      </c>
      <c r="L577" s="8">
        <f t="shared" si="124"/>
        <v>-7.2839078306215637</v>
      </c>
      <c r="M577" s="8">
        <f t="shared" si="121"/>
        <v>144.15338914446403</v>
      </c>
      <c r="N577" s="8">
        <f t="shared" si="125"/>
        <v>24.999999999999979</v>
      </c>
      <c r="O577" s="8">
        <f t="shared" si="126"/>
        <v>26.263221744880695</v>
      </c>
    </row>
    <row r="578" spans="1:15" x14ac:dyDescent="0.3">
      <c r="A578" s="5">
        <f t="shared" si="127"/>
        <v>5.6999999999999229</v>
      </c>
      <c r="B578" s="5">
        <f t="shared" si="122"/>
        <v>151.39233458106941</v>
      </c>
      <c r="C578" s="6">
        <f t="shared" si="120"/>
        <v>5839.418619555534</v>
      </c>
      <c r="D578" s="6">
        <f t="shared" si="128"/>
        <v>34098809.814411856</v>
      </c>
      <c r="E578" s="7">
        <f t="shared" si="129"/>
        <v>6248571.4285714282</v>
      </c>
      <c r="F578" s="7">
        <f t="shared" si="130"/>
        <v>124.97142857142855</v>
      </c>
      <c r="G578" s="7">
        <f t="shared" si="131"/>
        <v>27850238.385840427</v>
      </c>
      <c r="H578" s="6">
        <f t="shared" si="132"/>
        <v>5277.3325066590633</v>
      </c>
      <c r="I578" s="7">
        <f t="shared" si="133"/>
        <v>-4.4977169527609693</v>
      </c>
      <c r="J578" s="7">
        <f t="shared" si="134"/>
        <v>-88.954341430615216</v>
      </c>
      <c r="K578" s="8">
        <f t="shared" si="123"/>
        <v>173.4833681779231</v>
      </c>
      <c r="L578" s="8">
        <f t="shared" si="124"/>
        <v>-7.2863014634727694</v>
      </c>
      <c r="M578" s="8">
        <f t="shared" si="121"/>
        <v>144.10603311759664</v>
      </c>
      <c r="N578" s="8">
        <f t="shared" si="125"/>
        <v>24.999999999999996</v>
      </c>
      <c r="O578" s="8">
        <f t="shared" si="126"/>
        <v>26.264052119442983</v>
      </c>
    </row>
    <row r="579" spans="1:15" x14ac:dyDescent="0.3">
      <c r="A579" s="5">
        <f t="shared" si="127"/>
        <v>5.7099999999999227</v>
      </c>
      <c r="B579" s="5">
        <f t="shared" si="122"/>
        <v>151.34735741154179</v>
      </c>
      <c r="C579" s="6">
        <f t="shared" si="120"/>
        <v>5837.6837858737545</v>
      </c>
      <c r="D579" s="6">
        <f t="shared" si="128"/>
        <v>34078551.983853333</v>
      </c>
      <c r="E579" s="7">
        <f t="shared" si="129"/>
        <v>6248571.4285714282</v>
      </c>
      <c r="F579" s="7">
        <f t="shared" si="130"/>
        <v>124.97142857142855</v>
      </c>
      <c r="G579" s="7">
        <f t="shared" si="131"/>
        <v>27829980.555281904</v>
      </c>
      <c r="H579" s="6">
        <f t="shared" si="132"/>
        <v>5275.412832687306</v>
      </c>
      <c r="I579" s="7">
        <f t="shared" si="133"/>
        <v>-4.499196013151737</v>
      </c>
      <c r="J579" s="7">
        <f t="shared" si="134"/>
        <v>-88.925098685330852</v>
      </c>
      <c r="K579" s="8">
        <f t="shared" si="123"/>
        <v>173.54041765013841</v>
      </c>
      <c r="L579" s="8">
        <f t="shared" si="124"/>
        <v>-7.2886975413058126</v>
      </c>
      <c r="M579" s="8">
        <f t="shared" si="121"/>
        <v>144.05865987023597</v>
      </c>
      <c r="N579" s="8">
        <f t="shared" si="125"/>
        <v>24.999999999999986</v>
      </c>
      <c r="O579" s="8">
        <f t="shared" si="126"/>
        <v>26.264883615443733</v>
      </c>
    </row>
    <row r="580" spans="1:15" x14ac:dyDescent="0.3">
      <c r="A580" s="5">
        <f t="shared" si="127"/>
        <v>5.7199999999999225</v>
      </c>
      <c r="B580" s="5">
        <f t="shared" si="122"/>
        <v>151.30236545141028</v>
      </c>
      <c r="C580" s="6">
        <f t="shared" si="120"/>
        <v>5835.9483816972534</v>
      </c>
      <c r="D580" s="6">
        <f t="shared" si="128"/>
        <v>34058293.513834789</v>
      </c>
      <c r="E580" s="7">
        <f t="shared" si="129"/>
        <v>6248571.4285714282</v>
      </c>
      <c r="F580" s="7">
        <f t="shared" si="130"/>
        <v>124.97142857142855</v>
      </c>
      <c r="G580" s="7">
        <f t="shared" si="131"/>
        <v>27809722.08526336</v>
      </c>
      <c r="H580" s="6">
        <f t="shared" si="132"/>
        <v>5273.4923992799459</v>
      </c>
      <c r="I580" s="7">
        <f t="shared" si="133"/>
        <v>-4.5006765854151274</v>
      </c>
      <c r="J580" s="7">
        <f t="shared" si="134"/>
        <v>-88.895845298171466</v>
      </c>
      <c r="K580" s="8">
        <f t="shared" si="123"/>
        <v>173.59752543744062</v>
      </c>
      <c r="L580" s="8">
        <f t="shared" si="124"/>
        <v>-7.2910960683725055</v>
      </c>
      <c r="M580" s="8">
        <f t="shared" si="121"/>
        <v>144.01126938303779</v>
      </c>
      <c r="N580" s="8">
        <f t="shared" si="125"/>
        <v>25.000000000000014</v>
      </c>
      <c r="O580" s="8">
        <f t="shared" si="126"/>
        <v>26.265716235196134</v>
      </c>
    </row>
    <row r="581" spans="1:15" x14ac:dyDescent="0.3">
      <c r="A581" s="5">
        <f t="shared" si="127"/>
        <v>5.7299999999999223</v>
      </c>
      <c r="B581" s="5">
        <f t="shared" si="122"/>
        <v>151.25735868555614</v>
      </c>
      <c r="C581" s="6">
        <f t="shared" si="120"/>
        <v>5834.212406442879</v>
      </c>
      <c r="D581" s="6">
        <f t="shared" si="128"/>
        <v>34038034.403492011</v>
      </c>
      <c r="E581" s="7">
        <f t="shared" si="129"/>
        <v>6248571.4285714282</v>
      </c>
      <c r="F581" s="7">
        <f t="shared" si="130"/>
        <v>124.97142857142855</v>
      </c>
      <c r="G581" s="7">
        <f t="shared" si="131"/>
        <v>27789462.974920582</v>
      </c>
      <c r="H581" s="6">
        <f t="shared" si="132"/>
        <v>5271.5712055250269</v>
      </c>
      <c r="I581" s="7">
        <f t="shared" si="133"/>
        <v>-4.5021586721821736</v>
      </c>
      <c r="J581" s="7">
        <f t="shared" si="134"/>
        <v>-88.866581257173465</v>
      </c>
      <c r="K581" s="8">
        <f t="shared" si="123"/>
        <v>173.65469164131241</v>
      </c>
      <c r="L581" s="8">
        <f t="shared" si="124"/>
        <v>-7.2934970489351203</v>
      </c>
      <c r="M581" s="8">
        <f t="shared" si="121"/>
        <v>143.96386163662103</v>
      </c>
      <c r="N581" s="8">
        <f t="shared" si="125"/>
        <v>24.999999999999993</v>
      </c>
      <c r="O581" s="8">
        <f t="shared" si="126"/>
        <v>26.266549981019637</v>
      </c>
    </row>
    <row r="582" spans="1:15" x14ac:dyDescent="0.3">
      <c r="A582" s="5">
        <f t="shared" si="127"/>
        <v>5.7399999999999221</v>
      </c>
      <c r="B582" s="5">
        <f t="shared" si="122"/>
        <v>151.21233709883433</v>
      </c>
      <c r="C582" s="6">
        <f t="shared" si="120"/>
        <v>5832.4758595264666</v>
      </c>
      <c r="D582" s="6">
        <f t="shared" si="128"/>
        <v>34017774.651958995</v>
      </c>
      <c r="E582" s="7">
        <f t="shared" si="129"/>
        <v>6248571.4285714282</v>
      </c>
      <c r="F582" s="7">
        <f t="shared" si="130"/>
        <v>124.97142857142855</v>
      </c>
      <c r="G582" s="7">
        <f t="shared" si="131"/>
        <v>27769203.223387565</v>
      </c>
      <c r="H582" s="6">
        <f t="shared" si="132"/>
        <v>5269.6492505087626</v>
      </c>
      <c r="I582" s="7">
        <f t="shared" si="133"/>
        <v>-4.5036422760904529</v>
      </c>
      <c r="J582" s="7">
        <f t="shared" si="134"/>
        <v>-88.837306550350505</v>
      </c>
      <c r="K582" s="8">
        <f t="shared" si="123"/>
        <v>173.71191636348888</v>
      </c>
      <c r="L582" s="8">
        <f t="shared" si="124"/>
        <v>-7.2959004872665325</v>
      </c>
      <c r="M582" s="8">
        <f t="shared" si="121"/>
        <v>143.9164366115678</v>
      </c>
      <c r="N582" s="8">
        <f t="shared" si="125"/>
        <v>25.000000000000014</v>
      </c>
      <c r="O582" s="8">
        <f t="shared" si="126"/>
        <v>26.267384855240394</v>
      </c>
    </row>
    <row r="583" spans="1:15" x14ac:dyDescent="0.3">
      <c r="A583" s="5">
        <f t="shared" si="127"/>
        <v>5.7499999999999218</v>
      </c>
      <c r="B583" s="5">
        <f t="shared" si="122"/>
        <v>151.16730067607341</v>
      </c>
      <c r="C583" s="6">
        <f t="shared" si="120"/>
        <v>5830.7387403628309</v>
      </c>
      <c r="D583" s="6">
        <f t="shared" si="128"/>
        <v>33997514.258367933</v>
      </c>
      <c r="E583" s="7">
        <f t="shared" si="129"/>
        <v>6248571.4285714282</v>
      </c>
      <c r="F583" s="7">
        <f t="shared" si="130"/>
        <v>124.97142857142855</v>
      </c>
      <c r="G583" s="7">
        <f t="shared" si="131"/>
        <v>27748942.829796504</v>
      </c>
      <c r="H583" s="6">
        <f t="shared" si="132"/>
        <v>5267.7265333155347</v>
      </c>
      <c r="I583" s="7">
        <f t="shared" si="133"/>
        <v>-4.5051273997840351</v>
      </c>
      <c r="J583" s="7">
        <f t="shared" si="134"/>
        <v>-88.808021165693376</v>
      </c>
      <c r="K583" s="8">
        <f t="shared" si="123"/>
        <v>173.76919970595563</v>
      </c>
      <c r="L583" s="8">
        <f t="shared" si="124"/>
        <v>-7.2983063876501353</v>
      </c>
      <c r="M583" s="8">
        <f t="shared" si="121"/>
        <v>143.86899428842327</v>
      </c>
      <c r="N583" s="8">
        <f t="shared" si="125"/>
        <v>25.000000000000011</v>
      </c>
      <c r="O583" s="8">
        <f t="shared" si="126"/>
        <v>26.268220860190841</v>
      </c>
    </row>
    <row r="584" spans="1:15" x14ac:dyDescent="0.3">
      <c r="A584" s="5">
        <f t="shared" si="127"/>
        <v>5.7599999999999216</v>
      </c>
      <c r="B584" s="5">
        <f t="shared" si="122"/>
        <v>151.12224940207557</v>
      </c>
      <c r="C584" s="6">
        <f t="shared" ref="C584:C647" si="135">$B$1*B584</f>
        <v>5829.0010483657716</v>
      </c>
      <c r="D584" s="6">
        <f t="shared" si="128"/>
        <v>33977253.221849263</v>
      </c>
      <c r="E584" s="7">
        <f t="shared" si="129"/>
        <v>6248571.4285714282</v>
      </c>
      <c r="F584" s="7">
        <f t="shared" si="130"/>
        <v>124.97142857142855</v>
      </c>
      <c r="G584" s="7">
        <f t="shared" si="131"/>
        <v>27728681.793277834</v>
      </c>
      <c r="H584" s="6">
        <f t="shared" si="132"/>
        <v>5265.8030530278884</v>
      </c>
      <c r="I584" s="7">
        <f t="shared" si="133"/>
        <v>-4.5066140459135609</v>
      </c>
      <c r="J584" s="7">
        <f t="shared" si="134"/>
        <v>-88.778725091170131</v>
      </c>
      <c r="K584" s="8">
        <f t="shared" si="123"/>
        <v>173.82654177095162</v>
      </c>
      <c r="L584" s="8">
        <f t="shared" si="124"/>
        <v>-7.3007147543799675</v>
      </c>
      <c r="M584" s="8">
        <f t="shared" ref="M584:M647" si="136">B584+L584</f>
        <v>143.82153464769561</v>
      </c>
      <c r="N584" s="8">
        <f t="shared" si="125"/>
        <v>25.000000000000028</v>
      </c>
      <c r="O584" s="8">
        <f t="shared" si="126"/>
        <v>26.269057998210059</v>
      </c>
    </row>
    <row r="585" spans="1:15" x14ac:dyDescent="0.3">
      <c r="A585" s="5">
        <f t="shared" si="127"/>
        <v>5.7699999999999214</v>
      </c>
      <c r="B585" s="5">
        <f t="shared" ref="B585:B648" si="137">I584*$B$5+B584</f>
        <v>151.07718326161643</v>
      </c>
      <c r="C585" s="6">
        <f t="shared" si="135"/>
        <v>5827.2627829480616</v>
      </c>
      <c r="D585" s="6">
        <f t="shared" si="128"/>
        <v>33956991.541531585</v>
      </c>
      <c r="E585" s="7">
        <f t="shared" si="129"/>
        <v>6248571.4285714282</v>
      </c>
      <c r="F585" s="7">
        <f t="shared" si="130"/>
        <v>124.97142857142855</v>
      </c>
      <c r="G585" s="7">
        <f t="shared" si="131"/>
        <v>27708420.112960156</v>
      </c>
      <c r="H585" s="6">
        <f t="shared" si="132"/>
        <v>5263.8788087265229</v>
      </c>
      <c r="I585" s="7">
        <f t="shared" si="133"/>
        <v>-4.5081022171362273</v>
      </c>
      <c r="J585" s="7">
        <f t="shared" si="134"/>
        <v>-88.749418314725773</v>
      </c>
      <c r="K585" s="8">
        <f t="shared" ref="K585:K648" si="138">-$B$1*I585</f>
        <v>173.88394266096876</v>
      </c>
      <c r="L585" s="8">
        <f t="shared" ref="L585:L648" si="139">-$B$2*K585</f>
        <v>-7.3031255917606872</v>
      </c>
      <c r="M585" s="8">
        <f t="shared" si="136"/>
        <v>143.77405766985575</v>
      </c>
      <c r="N585" s="8">
        <f t="shared" ref="N585:N648" si="140">K585*M585/1000</f>
        <v>25.000000000000011</v>
      </c>
      <c r="O585" s="8">
        <f t="shared" ref="O585:O648" si="141">B585*K585/1000</f>
        <v>26.269896271643578</v>
      </c>
    </row>
    <row r="586" spans="1:15" x14ac:dyDescent="0.3">
      <c r="A586" s="5">
        <f t="shared" ref="A586:A649" si="142">A585+$B$5</f>
        <v>5.7799999999999212</v>
      </c>
      <c r="B586" s="5">
        <f t="shared" si="137"/>
        <v>151.03210223944507</v>
      </c>
      <c r="C586" s="6">
        <f t="shared" si="135"/>
        <v>5825.5239435214526</v>
      </c>
      <c r="D586" s="6">
        <f t="shared" ref="D586:D649" si="143">POWER(C586,2)</f>
        <v>33936729.216541737</v>
      </c>
      <c r="E586" s="7">
        <f t="shared" ref="E586:E649" si="144">4*$B$2*$B$3*POWER($B$1,2)</f>
        <v>6248571.4285714282</v>
      </c>
      <c r="F586" s="7">
        <f t="shared" ref="F586:F649" si="145">POWER($B$1,2)*2*$B$2</f>
        <v>124.97142857142855</v>
      </c>
      <c r="G586" s="7">
        <f t="shared" ref="G586:G649" si="146">D586-E586</f>
        <v>27688157.787970308</v>
      </c>
      <c r="H586" s="6">
        <f t="shared" ref="H586:H649" si="147">SQRT(G586)</f>
        <v>5261.9537994902912</v>
      </c>
      <c r="I586" s="7">
        <f t="shared" ref="I586:I649" si="148">(-C586+H586)/F586</f>
        <v>-4.5095919161158324</v>
      </c>
      <c r="J586" s="7">
        <f t="shared" ref="J586:J649" si="149">(-C586-H586)/F586</f>
        <v>-88.720100824282369</v>
      </c>
      <c r="K586" s="8">
        <f t="shared" si="138"/>
        <v>173.94140247875353</v>
      </c>
      <c r="L586" s="8">
        <f t="shared" si="139"/>
        <v>-7.3055389041076477</v>
      </c>
      <c r="M586" s="8">
        <f t="shared" si="136"/>
        <v>143.72656333533743</v>
      </c>
      <c r="N586" s="8">
        <f t="shared" si="140"/>
        <v>24.999999999999989</v>
      </c>
      <c r="O586" s="8">
        <f t="shared" si="141"/>
        <v>26.270735682843565</v>
      </c>
    </row>
    <row r="587" spans="1:15" x14ac:dyDescent="0.3">
      <c r="A587" s="5">
        <f t="shared" si="142"/>
        <v>5.789999999999921</v>
      </c>
      <c r="B587" s="5">
        <f t="shared" si="137"/>
        <v>150.98700632028391</v>
      </c>
      <c r="C587" s="6">
        <f t="shared" si="135"/>
        <v>5823.7845294966646</v>
      </c>
      <c r="D587" s="6">
        <f t="shared" si="143"/>
        <v>33916466.246004686</v>
      </c>
      <c r="E587" s="7">
        <f t="shared" si="144"/>
        <v>6248571.4285714282</v>
      </c>
      <c r="F587" s="7">
        <f t="shared" si="145"/>
        <v>124.97142857142855</v>
      </c>
      <c r="G587" s="7">
        <f t="shared" si="146"/>
        <v>27667894.817433257</v>
      </c>
      <c r="H587" s="6">
        <f t="shared" si="147"/>
        <v>5260.028024396187</v>
      </c>
      <c r="I587" s="7">
        <f t="shared" si="148"/>
        <v>-4.5110831455227984</v>
      </c>
      <c r="J587" s="7">
        <f t="shared" si="149"/>
        <v>-88.690772607738879</v>
      </c>
      <c r="K587" s="8">
        <f t="shared" si="138"/>
        <v>173.99892132730793</v>
      </c>
      <c r="L587" s="8">
        <f t="shared" si="139"/>
        <v>-7.3079546957469326</v>
      </c>
      <c r="M587" s="8">
        <f t="shared" si="136"/>
        <v>143.67905162453698</v>
      </c>
      <c r="N587" s="8">
        <f t="shared" si="140"/>
        <v>25.000000000000025</v>
      </c>
      <c r="O587" s="8">
        <f t="shared" si="141"/>
        <v>26.271576234168823</v>
      </c>
    </row>
    <row r="588" spans="1:15" x14ac:dyDescent="0.3">
      <c r="A588" s="5">
        <f t="shared" si="142"/>
        <v>5.7999999999999208</v>
      </c>
      <c r="B588" s="5">
        <f t="shared" si="137"/>
        <v>150.94189548882869</v>
      </c>
      <c r="C588" s="6">
        <f t="shared" si="135"/>
        <v>5822.0445402833921</v>
      </c>
      <c r="D588" s="6">
        <f t="shared" si="143"/>
        <v>33896202.629043654</v>
      </c>
      <c r="E588" s="7">
        <f t="shared" si="144"/>
        <v>6248571.4285714282</v>
      </c>
      <c r="F588" s="7">
        <f t="shared" si="145"/>
        <v>124.97142857142855</v>
      </c>
      <c r="G588" s="7">
        <f t="shared" si="146"/>
        <v>27647631.200472225</v>
      </c>
      <c r="H588" s="6">
        <f t="shared" si="147"/>
        <v>5258.1014825193533</v>
      </c>
      <c r="I588" s="7">
        <f t="shared" si="148"/>
        <v>-4.5125759080341465</v>
      </c>
      <c r="J588" s="7">
        <f t="shared" si="149"/>
        <v>-88.66143365297124</v>
      </c>
      <c r="K588" s="8">
        <f t="shared" si="138"/>
        <v>174.05649930988849</v>
      </c>
      <c r="L588" s="8">
        <f t="shared" si="139"/>
        <v>-7.3103729710153162</v>
      </c>
      <c r="M588" s="8">
        <f t="shared" si="136"/>
        <v>143.63152251781338</v>
      </c>
      <c r="N588" s="8">
        <f t="shared" si="140"/>
        <v>25.000000000000018</v>
      </c>
      <c r="O588" s="8">
        <f t="shared" si="141"/>
        <v>26.272417927984574</v>
      </c>
    </row>
    <row r="589" spans="1:15" x14ac:dyDescent="0.3">
      <c r="A589" s="5">
        <f t="shared" si="142"/>
        <v>5.8099999999999206</v>
      </c>
      <c r="B589" s="5">
        <f t="shared" si="137"/>
        <v>150.89676972974834</v>
      </c>
      <c r="C589" s="6">
        <f t="shared" si="135"/>
        <v>5820.3039752902932</v>
      </c>
      <c r="D589" s="6">
        <f t="shared" si="143"/>
        <v>33875938.364779994</v>
      </c>
      <c r="E589" s="7">
        <f t="shared" si="144"/>
        <v>6248571.4285714282</v>
      </c>
      <c r="F589" s="7">
        <f t="shared" si="145"/>
        <v>124.97142857142855</v>
      </c>
      <c r="G589" s="7">
        <f t="shared" si="146"/>
        <v>27627366.936208565</v>
      </c>
      <c r="H589" s="6">
        <f t="shared" si="147"/>
        <v>5256.1741729330624</v>
      </c>
      <c r="I589" s="7">
        <f t="shared" si="148"/>
        <v>-4.5140702063335807</v>
      </c>
      <c r="J589" s="7">
        <f t="shared" si="149"/>
        <v>-88.632083947832086</v>
      </c>
      <c r="K589" s="8">
        <f t="shared" si="138"/>
        <v>174.11413653000955</v>
      </c>
      <c r="L589" s="8">
        <f t="shared" si="139"/>
        <v>-7.3127937342604001</v>
      </c>
      <c r="M589" s="8">
        <f t="shared" si="136"/>
        <v>143.58397599548795</v>
      </c>
      <c r="N589" s="8">
        <f t="shared" si="140"/>
        <v>25</v>
      </c>
      <c r="O589" s="8">
        <f t="shared" si="141"/>
        <v>26.273260766662812</v>
      </c>
    </row>
    <row r="590" spans="1:15" x14ac:dyDescent="0.3">
      <c r="A590" s="5">
        <f t="shared" si="142"/>
        <v>5.8199999999999203</v>
      </c>
      <c r="B590" s="5">
        <f t="shared" si="137"/>
        <v>150.85162902768499</v>
      </c>
      <c r="C590" s="6">
        <f t="shared" si="135"/>
        <v>5818.5628339249924</v>
      </c>
      <c r="D590" s="6">
        <f t="shared" si="143"/>
        <v>33855673.452333242</v>
      </c>
      <c r="E590" s="7">
        <f t="shared" si="144"/>
        <v>6248571.4285714282</v>
      </c>
      <c r="F590" s="7">
        <f t="shared" si="145"/>
        <v>124.97142857142855</v>
      </c>
      <c r="G590" s="7">
        <f t="shared" si="146"/>
        <v>27607102.023761813</v>
      </c>
      <c r="H590" s="6">
        <f t="shared" si="147"/>
        <v>5254.2460947087175</v>
      </c>
      <c r="I590" s="7">
        <f t="shared" si="148"/>
        <v>-4.515566043111483</v>
      </c>
      <c r="J590" s="7">
        <f t="shared" si="149"/>
        <v>-88.602723480150871</v>
      </c>
      <c r="K590" s="8">
        <f t="shared" si="138"/>
        <v>174.17183309144292</v>
      </c>
      <c r="L590" s="8">
        <f t="shared" si="139"/>
        <v>-7.3152169898406019</v>
      </c>
      <c r="M590" s="8">
        <f t="shared" si="136"/>
        <v>143.5364120378444</v>
      </c>
      <c r="N590" s="8">
        <f t="shared" si="140"/>
        <v>25.000000000000014</v>
      </c>
      <c r="O590" s="8">
        <f t="shared" si="141"/>
        <v>26.274104752582218</v>
      </c>
    </row>
    <row r="591" spans="1:15" x14ac:dyDescent="0.3">
      <c r="A591" s="5">
        <f t="shared" si="142"/>
        <v>5.8299999999999201</v>
      </c>
      <c r="B591" s="5">
        <f t="shared" si="137"/>
        <v>150.80647336725389</v>
      </c>
      <c r="C591" s="6">
        <f t="shared" si="135"/>
        <v>5816.821115594078</v>
      </c>
      <c r="D591" s="6">
        <f t="shared" si="143"/>
        <v>33835407.890821137</v>
      </c>
      <c r="E591" s="7">
        <f t="shared" si="144"/>
        <v>6248571.4285714282</v>
      </c>
      <c r="F591" s="7">
        <f t="shared" si="145"/>
        <v>124.97142857142855</v>
      </c>
      <c r="G591" s="7">
        <f t="shared" si="146"/>
        <v>27586836.462249707</v>
      </c>
      <c r="H591" s="6">
        <f t="shared" si="147"/>
        <v>5252.3172469158517</v>
      </c>
      <c r="I591" s="7">
        <f t="shared" si="148"/>
        <v>-4.5170634210649121</v>
      </c>
      <c r="J591" s="7">
        <f t="shared" si="149"/>
        <v>-88.573352237733801</v>
      </c>
      <c r="K591" s="8">
        <f t="shared" si="138"/>
        <v>174.22958909821804</v>
      </c>
      <c r="L591" s="8">
        <f t="shared" si="139"/>
        <v>-7.3176427421251571</v>
      </c>
      <c r="M591" s="8">
        <f t="shared" si="136"/>
        <v>143.48883062512874</v>
      </c>
      <c r="N591" s="8">
        <f t="shared" si="140"/>
        <v>24.999999999999986</v>
      </c>
      <c r="O591" s="8">
        <f t="shared" si="141"/>
        <v>26.27494988812801</v>
      </c>
    </row>
    <row r="592" spans="1:15" x14ac:dyDescent="0.3">
      <c r="A592" s="5">
        <f t="shared" si="142"/>
        <v>5.8399999999999199</v>
      </c>
      <c r="B592" s="5">
        <f t="shared" si="137"/>
        <v>150.76130273304324</v>
      </c>
      <c r="C592" s="6">
        <f t="shared" si="135"/>
        <v>5815.0788197030961</v>
      </c>
      <c r="D592" s="6">
        <f t="shared" si="143"/>
        <v>33815141.679359555</v>
      </c>
      <c r="E592" s="7">
        <f t="shared" si="144"/>
        <v>6248571.4285714282</v>
      </c>
      <c r="F592" s="7">
        <f t="shared" si="145"/>
        <v>124.97142857142855</v>
      </c>
      <c r="G592" s="7">
        <f t="shared" si="146"/>
        <v>27566570.250788126</v>
      </c>
      <c r="H592" s="6">
        <f t="shared" si="147"/>
        <v>5250.3876286221121</v>
      </c>
      <c r="I592" s="7">
        <f t="shared" si="148"/>
        <v>-4.5185623428976784</v>
      </c>
      <c r="J592" s="7">
        <f t="shared" si="149"/>
        <v>-88.543970208363604</v>
      </c>
      <c r="K592" s="8">
        <f t="shared" si="138"/>
        <v>174.28740465462474</v>
      </c>
      <c r="L592" s="8">
        <f t="shared" si="139"/>
        <v>-7.3200709954942385</v>
      </c>
      <c r="M592" s="8">
        <f t="shared" si="136"/>
        <v>143.441231737549</v>
      </c>
      <c r="N592" s="8">
        <f t="shared" si="140"/>
        <v>25.000000000000004</v>
      </c>
      <c r="O592" s="8">
        <f t="shared" si="141"/>
        <v>26.275796175692289</v>
      </c>
    </row>
    <row r="593" spans="1:15" x14ac:dyDescent="0.3">
      <c r="A593" s="5">
        <f t="shared" si="142"/>
        <v>5.8499999999999197</v>
      </c>
      <c r="B593" s="5">
        <f t="shared" si="137"/>
        <v>150.71611710961426</v>
      </c>
      <c r="C593" s="6">
        <f t="shared" si="135"/>
        <v>5813.3359456565495</v>
      </c>
      <c r="D593" s="6">
        <f t="shared" si="143"/>
        <v>33794874.817062527</v>
      </c>
      <c r="E593" s="7">
        <f t="shared" si="144"/>
        <v>6248571.4285714282</v>
      </c>
      <c r="F593" s="7">
        <f t="shared" si="145"/>
        <v>124.97142857142855</v>
      </c>
      <c r="G593" s="7">
        <f t="shared" si="146"/>
        <v>27546303.388491098</v>
      </c>
      <c r="H593" s="6">
        <f t="shared" si="147"/>
        <v>5248.4572388932638</v>
      </c>
      <c r="I593" s="7">
        <f t="shared" si="148"/>
        <v>-4.5200628113203019</v>
      </c>
      <c r="J593" s="7">
        <f t="shared" si="149"/>
        <v>-88.514577379799618</v>
      </c>
      <c r="K593" s="8">
        <f t="shared" si="138"/>
        <v>174.34527986521164</v>
      </c>
      <c r="L593" s="8">
        <f t="shared" si="139"/>
        <v>-7.3225017543388882</v>
      </c>
      <c r="M593" s="8">
        <f t="shared" si="136"/>
        <v>143.39361535527536</v>
      </c>
      <c r="N593" s="8">
        <f t="shared" si="140"/>
        <v>24.999999999999993</v>
      </c>
      <c r="O593" s="8">
        <f t="shared" si="141"/>
        <v>26.276643617673713</v>
      </c>
    </row>
    <row r="594" spans="1:15" x14ac:dyDescent="0.3">
      <c r="A594" s="5">
        <f t="shared" si="142"/>
        <v>5.8599999999999195</v>
      </c>
      <c r="B594" s="5">
        <f t="shared" si="137"/>
        <v>150.67091648150105</v>
      </c>
      <c r="C594" s="6">
        <f t="shared" si="135"/>
        <v>5811.592492857897</v>
      </c>
      <c r="D594" s="6">
        <f t="shared" si="143"/>
        <v>33774607.303042263</v>
      </c>
      <c r="E594" s="7">
        <f t="shared" si="144"/>
        <v>6248571.4285714282</v>
      </c>
      <c r="F594" s="7">
        <f t="shared" si="145"/>
        <v>124.97142857142855</v>
      </c>
      <c r="G594" s="7">
        <f t="shared" si="146"/>
        <v>27526035.874470834</v>
      </c>
      <c r="H594" s="6">
        <f t="shared" si="147"/>
        <v>5246.5260767931795</v>
      </c>
      <c r="I594" s="7">
        <f t="shared" si="148"/>
        <v>-4.5215648290500949</v>
      </c>
      <c r="J594" s="7">
        <f t="shared" si="149"/>
        <v>-88.485173739777721</v>
      </c>
      <c r="K594" s="8">
        <f t="shared" si="138"/>
        <v>174.40321483478937</v>
      </c>
      <c r="L594" s="8">
        <f t="shared" si="139"/>
        <v>-7.324935023061153</v>
      </c>
      <c r="M594" s="8">
        <f t="shared" si="136"/>
        <v>143.34598145843989</v>
      </c>
      <c r="N594" s="8">
        <f t="shared" si="140"/>
        <v>25.000000000000025</v>
      </c>
      <c r="O594" s="8">
        <f t="shared" si="141"/>
        <v>26.277492216477832</v>
      </c>
    </row>
    <row r="595" spans="1:15" x14ac:dyDescent="0.3">
      <c r="A595" s="5">
        <f t="shared" si="142"/>
        <v>5.8699999999999193</v>
      </c>
      <c r="B595" s="5">
        <f t="shared" si="137"/>
        <v>150.62570083321054</v>
      </c>
      <c r="C595" s="6">
        <f t="shared" si="135"/>
        <v>5809.8484607095488</v>
      </c>
      <c r="D595" s="6">
        <f t="shared" si="143"/>
        <v>33754339.136409111</v>
      </c>
      <c r="E595" s="7">
        <f t="shared" si="144"/>
        <v>6248571.4285714282</v>
      </c>
      <c r="F595" s="7">
        <f t="shared" si="145"/>
        <v>124.97142857142855</v>
      </c>
      <c r="G595" s="7">
        <f t="shared" si="146"/>
        <v>27505767.707837682</v>
      </c>
      <c r="H595" s="6">
        <f t="shared" si="147"/>
        <v>5244.5941413838382</v>
      </c>
      <c r="I595" s="7">
        <f t="shared" si="148"/>
        <v>-4.5230683988111284</v>
      </c>
      <c r="J595" s="7">
        <f t="shared" si="149"/>
        <v>-88.455759276010198</v>
      </c>
      <c r="K595" s="8">
        <f t="shared" si="138"/>
        <v>174.46120966842923</v>
      </c>
      <c r="L595" s="8">
        <f t="shared" si="139"/>
        <v>-7.3273708060740272</v>
      </c>
      <c r="M595" s="8">
        <f t="shared" si="136"/>
        <v>143.29833002713653</v>
      </c>
      <c r="N595" s="8">
        <f t="shared" si="140"/>
        <v>25.000000000000036</v>
      </c>
      <c r="O595" s="8">
        <f t="shared" si="141"/>
        <v>26.278341974516838</v>
      </c>
    </row>
    <row r="596" spans="1:15" x14ac:dyDescent="0.3">
      <c r="A596" s="5">
        <f t="shared" si="142"/>
        <v>5.8799999999999191</v>
      </c>
      <c r="B596" s="5">
        <f t="shared" si="137"/>
        <v>150.58047014922244</v>
      </c>
      <c r="C596" s="6">
        <f t="shared" si="135"/>
        <v>5808.1038486128655</v>
      </c>
      <c r="D596" s="6">
        <f t="shared" si="143"/>
        <v>33734070.316271581</v>
      </c>
      <c r="E596" s="7">
        <f t="shared" si="144"/>
        <v>6248571.4285714282</v>
      </c>
      <c r="F596" s="7">
        <f t="shared" si="145"/>
        <v>124.97142857142855</v>
      </c>
      <c r="G596" s="7">
        <f t="shared" si="146"/>
        <v>27485498.887700152</v>
      </c>
      <c r="H596" s="6">
        <f t="shared" si="147"/>
        <v>5242.661431725317</v>
      </c>
      <c r="I596" s="7">
        <f t="shared" si="148"/>
        <v>-4.5245735233342934</v>
      </c>
      <c r="J596" s="7">
        <f t="shared" si="149"/>
        <v>-88.426333976185745</v>
      </c>
      <c r="K596" s="8">
        <f t="shared" si="138"/>
        <v>174.51926447146559</v>
      </c>
      <c r="L596" s="8">
        <f t="shared" si="139"/>
        <v>-7.3298091078015544</v>
      </c>
      <c r="M596" s="8">
        <f t="shared" si="136"/>
        <v>143.25066104142087</v>
      </c>
      <c r="N596" s="8">
        <f t="shared" si="140"/>
        <v>25</v>
      </c>
      <c r="O596" s="8">
        <f t="shared" si="141"/>
        <v>26.279192894209782</v>
      </c>
    </row>
    <row r="597" spans="1:15" x14ac:dyDescent="0.3">
      <c r="A597" s="5">
        <f t="shared" si="142"/>
        <v>5.8899999999999189</v>
      </c>
      <c r="B597" s="5">
        <f t="shared" si="137"/>
        <v>150.53522441398908</v>
      </c>
      <c r="C597" s="6">
        <f t="shared" si="135"/>
        <v>5806.3586559681498</v>
      </c>
      <c r="D597" s="6">
        <f t="shared" si="143"/>
        <v>33713800.841736257</v>
      </c>
      <c r="E597" s="7">
        <f t="shared" si="144"/>
        <v>6248571.4285714282</v>
      </c>
      <c r="F597" s="7">
        <f t="shared" si="145"/>
        <v>124.97142857142855</v>
      </c>
      <c r="G597" s="7">
        <f t="shared" si="146"/>
        <v>27465229.413164828</v>
      </c>
      <c r="H597" s="6">
        <f t="shared" si="147"/>
        <v>5240.7279468757797</v>
      </c>
      <c r="I597" s="7">
        <f t="shared" si="148"/>
        <v>-4.5260802053573297</v>
      </c>
      <c r="J597" s="7">
        <f t="shared" si="149"/>
        <v>-88.396897827969283</v>
      </c>
      <c r="K597" s="8">
        <f t="shared" si="138"/>
        <v>174.57737934949699</v>
      </c>
      <c r="L597" s="8">
        <f t="shared" si="139"/>
        <v>-7.3322499326788728</v>
      </c>
      <c r="M597" s="8">
        <f t="shared" si="136"/>
        <v>143.20297448131021</v>
      </c>
      <c r="N597" s="8">
        <f t="shared" si="140"/>
        <v>25.000000000000028</v>
      </c>
      <c r="O597" s="8">
        <f t="shared" si="141"/>
        <v>26.280044977982634</v>
      </c>
    </row>
    <row r="598" spans="1:15" x14ac:dyDescent="0.3">
      <c r="A598" s="5">
        <f t="shared" si="142"/>
        <v>5.8999999999999186</v>
      </c>
      <c r="B598" s="5">
        <f t="shared" si="137"/>
        <v>150.48996361193551</v>
      </c>
      <c r="C598" s="6">
        <f t="shared" si="135"/>
        <v>5804.6128821746552</v>
      </c>
      <c r="D598" s="6">
        <f t="shared" si="143"/>
        <v>33693530.71190796</v>
      </c>
      <c r="E598" s="7">
        <f t="shared" si="144"/>
        <v>6248571.4285714282</v>
      </c>
      <c r="F598" s="7">
        <f t="shared" si="145"/>
        <v>124.97142857142855</v>
      </c>
      <c r="G598" s="7">
        <f t="shared" si="146"/>
        <v>27444959.283336531</v>
      </c>
      <c r="H598" s="6">
        <f t="shared" si="147"/>
        <v>5238.7936858914891</v>
      </c>
      <c r="I598" s="7">
        <f t="shared" si="148"/>
        <v>-4.5275884476247867</v>
      </c>
      <c r="J598" s="7">
        <f t="shared" si="149"/>
        <v>-88.367450819002087</v>
      </c>
      <c r="K598" s="8">
        <f t="shared" si="138"/>
        <v>174.63555440838462</v>
      </c>
      <c r="L598" s="8">
        <f t="shared" si="139"/>
        <v>-7.3346932851521531</v>
      </c>
      <c r="M598" s="8">
        <f t="shared" si="136"/>
        <v>143.15527032678335</v>
      </c>
      <c r="N598" s="8">
        <f t="shared" si="140"/>
        <v>24.999999999999982</v>
      </c>
      <c r="O598" s="8">
        <f t="shared" si="141"/>
        <v>26.280898228267986</v>
      </c>
    </row>
    <row r="599" spans="1:15" x14ac:dyDescent="0.3">
      <c r="A599" s="5">
        <f t="shared" si="142"/>
        <v>5.9099999999999184</v>
      </c>
      <c r="B599" s="5">
        <f t="shared" si="137"/>
        <v>150.44468772745927</v>
      </c>
      <c r="C599" s="6">
        <f t="shared" si="135"/>
        <v>5802.8665266305716</v>
      </c>
      <c r="D599" s="6">
        <f t="shared" si="143"/>
        <v>33673259.925889552</v>
      </c>
      <c r="E599" s="7">
        <f t="shared" si="144"/>
        <v>6248571.4285714282</v>
      </c>
      <c r="F599" s="7">
        <f t="shared" si="145"/>
        <v>124.97142857142855</v>
      </c>
      <c r="G599" s="7">
        <f t="shared" si="146"/>
        <v>27424688.497318123</v>
      </c>
      <c r="H599" s="6">
        <f t="shared" si="147"/>
        <v>5236.8586478267789</v>
      </c>
      <c r="I599" s="7">
        <f t="shared" si="148"/>
        <v>-4.5290982528881454</v>
      </c>
      <c r="J599" s="7">
        <f t="shared" si="149"/>
        <v>-88.337992936901543</v>
      </c>
      <c r="K599" s="8">
        <f t="shared" si="138"/>
        <v>174.69378975425704</v>
      </c>
      <c r="L599" s="8">
        <f t="shared" si="139"/>
        <v>-7.3371391696787951</v>
      </c>
      <c r="M599" s="8">
        <f t="shared" si="136"/>
        <v>143.10754855778046</v>
      </c>
      <c r="N599" s="8">
        <f t="shared" si="140"/>
        <v>25.000000000000028</v>
      </c>
      <c r="O599" s="8">
        <f t="shared" si="141"/>
        <v>26.281752647505623</v>
      </c>
    </row>
    <row r="600" spans="1:15" x14ac:dyDescent="0.3">
      <c r="A600" s="5">
        <f t="shared" si="142"/>
        <v>5.9199999999999182</v>
      </c>
      <c r="B600" s="5">
        <f t="shared" si="137"/>
        <v>150.39939674493039</v>
      </c>
      <c r="C600" s="6">
        <f t="shared" si="135"/>
        <v>5801.1195887330286</v>
      </c>
      <c r="D600" s="6">
        <f t="shared" si="143"/>
        <v>33652988.482782066</v>
      </c>
      <c r="E600" s="7">
        <f t="shared" si="144"/>
        <v>6248571.4285714282</v>
      </c>
      <c r="F600" s="7">
        <f t="shared" si="145"/>
        <v>124.97142857142855</v>
      </c>
      <c r="G600" s="7">
        <f t="shared" si="146"/>
        <v>27404417.054210637</v>
      </c>
      <c r="H600" s="6">
        <f t="shared" si="147"/>
        <v>5234.9228317340685</v>
      </c>
      <c r="I600" s="7">
        <f t="shared" si="148"/>
        <v>-4.5306096239057174</v>
      </c>
      <c r="J600" s="7">
        <f t="shared" si="149"/>
        <v>-88.30852416926119</v>
      </c>
      <c r="K600" s="8">
        <f t="shared" si="138"/>
        <v>174.75208549350623</v>
      </c>
      <c r="L600" s="8">
        <f t="shared" si="139"/>
        <v>-7.3395875907272607</v>
      </c>
      <c r="M600" s="8">
        <f t="shared" si="136"/>
        <v>143.05980915420312</v>
      </c>
      <c r="N600" s="8">
        <f t="shared" si="140"/>
        <v>24.999999999999989</v>
      </c>
      <c r="O600" s="8">
        <f t="shared" si="141"/>
        <v>26.282608238141837</v>
      </c>
    </row>
    <row r="601" spans="1:15" x14ac:dyDescent="0.3">
      <c r="A601" s="5">
        <f t="shared" si="142"/>
        <v>5.929999999999918</v>
      </c>
      <c r="B601" s="5">
        <f t="shared" si="137"/>
        <v>150.35409064869134</v>
      </c>
      <c r="C601" s="6">
        <f t="shared" si="135"/>
        <v>5799.3720678780946</v>
      </c>
      <c r="D601" s="6">
        <f t="shared" si="143"/>
        <v>33632716.381684646</v>
      </c>
      <c r="E601" s="7">
        <f t="shared" si="144"/>
        <v>6248571.4285714282</v>
      </c>
      <c r="F601" s="7">
        <f t="shared" si="145"/>
        <v>124.97142857142855</v>
      </c>
      <c r="G601" s="7">
        <f t="shared" si="146"/>
        <v>27384144.953113217</v>
      </c>
      <c r="H601" s="6">
        <f t="shared" si="147"/>
        <v>5232.9862366638436</v>
      </c>
      <c r="I601" s="7">
        <f t="shared" si="148"/>
        <v>-4.5321225634427966</v>
      </c>
      <c r="J601" s="7">
        <f t="shared" si="149"/>
        <v>-88.279044503650638</v>
      </c>
      <c r="K601" s="8">
        <f t="shared" si="138"/>
        <v>174.81044173279358</v>
      </c>
      <c r="L601" s="8">
        <f t="shared" si="139"/>
        <v>-7.3420385527773293</v>
      </c>
      <c r="M601" s="8">
        <f t="shared" si="136"/>
        <v>143.01205209591402</v>
      </c>
      <c r="N601" s="8">
        <f t="shared" si="140"/>
        <v>25.000000000000018</v>
      </c>
      <c r="O601" s="8">
        <f t="shared" si="141"/>
        <v>26.283465002630223</v>
      </c>
    </row>
    <row r="602" spans="1:15" x14ac:dyDescent="0.3">
      <c r="A602" s="5">
        <f t="shared" si="142"/>
        <v>5.9399999999999178</v>
      </c>
      <c r="B602" s="5">
        <f t="shared" si="137"/>
        <v>150.3087694230569</v>
      </c>
      <c r="C602" s="6">
        <f t="shared" si="135"/>
        <v>5797.6239634607655</v>
      </c>
      <c r="D602" s="6">
        <f t="shared" si="143"/>
        <v>33612443.621694513</v>
      </c>
      <c r="E602" s="7">
        <f t="shared" si="144"/>
        <v>6248571.4285714282</v>
      </c>
      <c r="F602" s="7">
        <f t="shared" si="145"/>
        <v>124.97142857142855</v>
      </c>
      <c r="G602" s="7">
        <f t="shared" si="146"/>
        <v>27363872.193123084</v>
      </c>
      <c r="H602" s="6">
        <f t="shared" si="147"/>
        <v>5231.0488616646553</v>
      </c>
      <c r="I602" s="7">
        <f t="shared" si="148"/>
        <v>-4.5336370742715726</v>
      </c>
      <c r="J602" s="7">
        <f t="shared" si="149"/>
        <v>-88.249553927615409</v>
      </c>
      <c r="K602" s="8">
        <f t="shared" si="138"/>
        <v>174.86885857904636</v>
      </c>
      <c r="L602" s="8">
        <f t="shared" si="139"/>
        <v>-7.3444920603199462</v>
      </c>
      <c r="M602" s="8">
        <f t="shared" si="136"/>
        <v>142.96427736273696</v>
      </c>
      <c r="N602" s="8">
        <f t="shared" si="140"/>
        <v>25.000000000000011</v>
      </c>
      <c r="O602" s="8">
        <f t="shared" si="141"/>
        <v>26.284322943431022</v>
      </c>
    </row>
    <row r="603" spans="1:15" x14ac:dyDescent="0.3">
      <c r="A603" s="5">
        <f t="shared" si="142"/>
        <v>5.9499999999999176</v>
      </c>
      <c r="B603" s="5">
        <f t="shared" si="137"/>
        <v>150.26343305231418</v>
      </c>
      <c r="C603" s="6">
        <f t="shared" si="135"/>
        <v>5795.8752748749757</v>
      </c>
      <c r="D603" s="6">
        <f t="shared" si="143"/>
        <v>33592170.201907076</v>
      </c>
      <c r="E603" s="7">
        <f t="shared" si="144"/>
        <v>6248571.4285714282</v>
      </c>
      <c r="F603" s="7">
        <f t="shared" si="145"/>
        <v>124.97142857142855</v>
      </c>
      <c r="G603" s="7">
        <f t="shared" si="146"/>
        <v>27343598.773335647</v>
      </c>
      <c r="H603" s="6">
        <f t="shared" si="147"/>
        <v>5229.1107057831205</v>
      </c>
      <c r="I603" s="7">
        <f t="shared" si="148"/>
        <v>-4.5351531591712249</v>
      </c>
      <c r="J603" s="7">
        <f t="shared" si="149"/>
        <v>-88.220052428677064</v>
      </c>
      <c r="K603" s="8">
        <f t="shared" si="138"/>
        <v>174.92733613946152</v>
      </c>
      <c r="L603" s="8">
        <f t="shared" si="139"/>
        <v>-7.3469481178573828</v>
      </c>
      <c r="M603" s="8">
        <f t="shared" si="136"/>
        <v>142.9164849344568</v>
      </c>
      <c r="N603" s="8">
        <f t="shared" si="140"/>
        <v>25.000000000000014</v>
      </c>
      <c r="O603" s="8">
        <f t="shared" si="141"/>
        <v>26.285182063011636</v>
      </c>
    </row>
    <row r="604" spans="1:15" x14ac:dyDescent="0.3">
      <c r="A604" s="5">
        <f t="shared" si="142"/>
        <v>5.9599999999999174</v>
      </c>
      <c r="B604" s="5">
        <f t="shared" si="137"/>
        <v>150.21808152072248</v>
      </c>
      <c r="C604" s="6">
        <f t="shared" si="135"/>
        <v>5794.1260015135813</v>
      </c>
      <c r="D604" s="6">
        <f t="shared" si="143"/>
        <v>33571896.121415764</v>
      </c>
      <c r="E604" s="7">
        <f t="shared" si="144"/>
        <v>6248571.4285714282</v>
      </c>
      <c r="F604" s="7">
        <f t="shared" si="145"/>
        <v>124.97142857142855</v>
      </c>
      <c r="G604" s="7">
        <f t="shared" si="146"/>
        <v>27323324.692844335</v>
      </c>
      <c r="H604" s="6">
        <f t="shared" si="147"/>
        <v>5227.1717680639058</v>
      </c>
      <c r="I604" s="7">
        <f t="shared" si="148"/>
        <v>-4.5366708209279025</v>
      </c>
      <c r="J604" s="7">
        <f t="shared" si="149"/>
        <v>-88.190539994332894</v>
      </c>
      <c r="K604" s="8">
        <f t="shared" si="138"/>
        <v>174.9858745215048</v>
      </c>
      <c r="L604" s="8">
        <f t="shared" si="139"/>
        <v>-7.3494067299032011</v>
      </c>
      <c r="M604" s="8">
        <f t="shared" si="136"/>
        <v>142.86867479081928</v>
      </c>
      <c r="N604" s="8">
        <f t="shared" si="140"/>
        <v>24.999999999999979</v>
      </c>
      <c r="O604" s="8">
        <f t="shared" si="141"/>
        <v>26.28604236384632</v>
      </c>
    </row>
    <row r="605" spans="1:15" x14ac:dyDescent="0.3">
      <c r="A605" s="5">
        <f t="shared" si="142"/>
        <v>5.9699999999999172</v>
      </c>
      <c r="B605" s="5">
        <f t="shared" si="137"/>
        <v>150.17271481251319</v>
      </c>
      <c r="C605" s="6">
        <f t="shared" si="135"/>
        <v>5792.3761427683658</v>
      </c>
      <c r="D605" s="6">
        <f t="shared" si="143"/>
        <v>33551621.379312132</v>
      </c>
      <c r="E605" s="7">
        <f t="shared" si="144"/>
        <v>6248571.4285714282</v>
      </c>
      <c r="F605" s="7">
        <f t="shared" si="145"/>
        <v>124.97142857142855</v>
      </c>
      <c r="G605" s="7">
        <f t="shared" si="146"/>
        <v>27303049.950740702</v>
      </c>
      <c r="H605" s="6">
        <f t="shared" si="147"/>
        <v>5225.2320475497263</v>
      </c>
      <c r="I605" s="7">
        <f t="shared" si="148"/>
        <v>-4.5381900623347926</v>
      </c>
      <c r="J605" s="7">
        <f t="shared" si="149"/>
        <v>-88.161016612056088</v>
      </c>
      <c r="K605" s="8">
        <f t="shared" si="138"/>
        <v>175.04447383291341</v>
      </c>
      <c r="L605" s="8">
        <f t="shared" si="139"/>
        <v>-7.3518679009823629</v>
      </c>
      <c r="M605" s="8">
        <f t="shared" si="136"/>
        <v>142.82084691153082</v>
      </c>
      <c r="N605" s="8">
        <f t="shared" si="140"/>
        <v>24.999999999999989</v>
      </c>
      <c r="O605" s="8">
        <f t="shared" si="141"/>
        <v>26.286903848416532</v>
      </c>
    </row>
    <row r="606" spans="1:15" x14ac:dyDescent="0.3">
      <c r="A606" s="5">
        <f t="shared" si="142"/>
        <v>5.9799999999999169</v>
      </c>
      <c r="B606" s="5">
        <f t="shared" si="137"/>
        <v>150.12733291188985</v>
      </c>
      <c r="C606" s="6">
        <f t="shared" si="135"/>
        <v>5790.6256980300368</v>
      </c>
      <c r="D606" s="6">
        <f t="shared" si="143"/>
        <v>33531345.974685851</v>
      </c>
      <c r="E606" s="7">
        <f t="shared" si="144"/>
        <v>6248571.4285714282</v>
      </c>
      <c r="F606" s="7">
        <f t="shared" si="145"/>
        <v>124.97142857142855</v>
      </c>
      <c r="G606" s="7">
        <f t="shared" si="146"/>
        <v>27282774.546114422</v>
      </c>
      <c r="H606" s="6">
        <f t="shared" si="147"/>
        <v>5223.2915432813461</v>
      </c>
      <c r="I606" s="7">
        <f t="shared" si="148"/>
        <v>-4.5397108861920845</v>
      </c>
      <c r="J606" s="7">
        <f t="shared" si="149"/>
        <v>-88.131482269295489</v>
      </c>
      <c r="K606" s="8">
        <f t="shared" si="138"/>
        <v>175.10313418169468</v>
      </c>
      <c r="L606" s="8">
        <f t="shared" si="139"/>
        <v>-7.3543316356311763</v>
      </c>
      <c r="M606" s="8">
        <f t="shared" si="136"/>
        <v>142.77300127625867</v>
      </c>
      <c r="N606" s="8">
        <f t="shared" si="140"/>
        <v>24.999999999999989</v>
      </c>
      <c r="O606" s="8">
        <f t="shared" si="141"/>
        <v>26.287766519210596</v>
      </c>
    </row>
    <row r="607" spans="1:15" x14ac:dyDescent="0.3">
      <c r="A607" s="5">
        <f t="shared" si="142"/>
        <v>5.9899999999999167</v>
      </c>
      <c r="B607" s="5">
        <f t="shared" si="137"/>
        <v>150.08193580302793</v>
      </c>
      <c r="C607" s="6">
        <f t="shared" si="135"/>
        <v>5788.8746666882198</v>
      </c>
      <c r="D607" s="6">
        <f t="shared" si="143"/>
        <v>33511069.906624649</v>
      </c>
      <c r="E607" s="7">
        <f t="shared" si="144"/>
        <v>6248571.4285714282</v>
      </c>
      <c r="F607" s="7">
        <f t="shared" si="145"/>
        <v>124.97142857142855</v>
      </c>
      <c r="G607" s="7">
        <f t="shared" si="146"/>
        <v>27262498.47805322</v>
      </c>
      <c r="H607" s="6">
        <f t="shared" si="147"/>
        <v>5221.3502542975621</v>
      </c>
      <c r="I607" s="7">
        <f t="shared" si="148"/>
        <v>-4.5412332953070473</v>
      </c>
      <c r="J607" s="7">
        <f t="shared" si="149"/>
        <v>-88.101936953475644</v>
      </c>
      <c r="K607" s="8">
        <f t="shared" si="138"/>
        <v>175.16185567612897</v>
      </c>
      <c r="L607" s="8">
        <f t="shared" si="139"/>
        <v>-7.356797938397416</v>
      </c>
      <c r="M607" s="8">
        <f t="shared" si="136"/>
        <v>142.72513786463051</v>
      </c>
      <c r="N607" s="8">
        <f t="shared" si="140"/>
        <v>25.000000000000018</v>
      </c>
      <c r="O607" s="8">
        <f t="shared" si="141"/>
        <v>26.288630378724033</v>
      </c>
    </row>
    <row r="608" spans="1:15" x14ac:dyDescent="0.3">
      <c r="A608" s="5">
        <f t="shared" si="142"/>
        <v>5.9999999999999165</v>
      </c>
      <c r="B608" s="5">
        <f t="shared" si="137"/>
        <v>150.03652347007485</v>
      </c>
      <c r="C608" s="6">
        <f t="shared" si="135"/>
        <v>5787.1230481314587</v>
      </c>
      <c r="D608" s="6">
        <f t="shared" si="143"/>
        <v>33490793.174214344</v>
      </c>
      <c r="E608" s="7">
        <f t="shared" si="144"/>
        <v>6248571.4285714282</v>
      </c>
      <c r="F608" s="7">
        <f t="shared" si="145"/>
        <v>124.97142857142855</v>
      </c>
      <c r="G608" s="7">
        <f t="shared" si="146"/>
        <v>27242221.745642915</v>
      </c>
      <c r="H608" s="6">
        <f t="shared" si="147"/>
        <v>5219.4081796352084</v>
      </c>
      <c r="I608" s="7">
        <f t="shared" si="148"/>
        <v>-4.5427572924940023</v>
      </c>
      <c r="J608" s="7">
        <f t="shared" si="149"/>
        <v>-88.072380651996667</v>
      </c>
      <c r="K608" s="8">
        <f t="shared" si="138"/>
        <v>175.22063842476865</v>
      </c>
      <c r="L608" s="8">
        <f t="shared" si="139"/>
        <v>-7.359266813840283</v>
      </c>
      <c r="M608" s="8">
        <f t="shared" si="136"/>
        <v>142.67725665623456</v>
      </c>
      <c r="N608" s="8">
        <f t="shared" si="140"/>
        <v>24.999999999999993</v>
      </c>
      <c r="O608" s="8">
        <f t="shared" si="141"/>
        <v>26.289495429459301</v>
      </c>
    </row>
    <row r="609" spans="1:15" x14ac:dyDescent="0.3">
      <c r="A609" s="5">
        <f t="shared" si="142"/>
        <v>6.0099999999999163</v>
      </c>
      <c r="B609" s="5">
        <f t="shared" si="137"/>
        <v>149.9910958971499</v>
      </c>
      <c r="C609" s="6">
        <f t="shared" si="135"/>
        <v>5785.3708417472099</v>
      </c>
      <c r="D609" s="6">
        <f t="shared" si="143"/>
        <v>33470515.776538819</v>
      </c>
      <c r="E609" s="7">
        <f t="shared" si="144"/>
        <v>6248571.4285714282</v>
      </c>
      <c r="F609" s="7">
        <f t="shared" si="145"/>
        <v>124.97142857142855</v>
      </c>
      <c r="G609" s="7">
        <f t="shared" si="146"/>
        <v>27221944.34796739</v>
      </c>
      <c r="H609" s="6">
        <f t="shared" si="147"/>
        <v>5217.4653183291393</v>
      </c>
      <c r="I609" s="7">
        <f t="shared" si="148"/>
        <v>-4.5442828805744107</v>
      </c>
      <c r="J609" s="7">
        <f t="shared" si="149"/>
        <v>-88.042813352234177</v>
      </c>
      <c r="K609" s="8">
        <f t="shared" si="138"/>
        <v>175.27948253644155</v>
      </c>
      <c r="L609" s="8">
        <f t="shared" si="139"/>
        <v>-7.3617382665305442</v>
      </c>
      <c r="M609" s="8">
        <f t="shared" si="136"/>
        <v>142.62935763061935</v>
      </c>
      <c r="N609" s="8">
        <f t="shared" si="140"/>
        <v>25.000000000000021</v>
      </c>
      <c r="O609" s="8">
        <f t="shared" si="141"/>
        <v>26.290361673926217</v>
      </c>
    </row>
    <row r="610" spans="1:15" x14ac:dyDescent="0.3">
      <c r="A610" s="5">
        <f t="shared" si="142"/>
        <v>6.0199999999999161</v>
      </c>
      <c r="B610" s="5">
        <f t="shared" si="137"/>
        <v>149.94565306834417</v>
      </c>
      <c r="C610" s="6">
        <f t="shared" si="135"/>
        <v>5783.6180469218461</v>
      </c>
      <c r="D610" s="6">
        <f t="shared" si="143"/>
        <v>33450237.712680072</v>
      </c>
      <c r="E610" s="7">
        <f t="shared" si="144"/>
        <v>6248571.4285714282</v>
      </c>
      <c r="F610" s="7">
        <f t="shared" si="145"/>
        <v>124.97142857142855</v>
      </c>
      <c r="G610" s="7">
        <f t="shared" si="146"/>
        <v>27201666.284108642</v>
      </c>
      <c r="H610" s="6">
        <f t="shared" si="147"/>
        <v>5215.52166941224</v>
      </c>
      <c r="I610" s="7">
        <f t="shared" si="148"/>
        <v>-4.5458100623768214</v>
      </c>
      <c r="J610" s="7">
        <f t="shared" si="149"/>
        <v>-88.013235041539346</v>
      </c>
      <c r="K610" s="8">
        <f t="shared" si="138"/>
        <v>175.33838812024882</v>
      </c>
      <c r="L610" s="8">
        <f t="shared" si="139"/>
        <v>-7.3642123010504497</v>
      </c>
      <c r="M610" s="8">
        <f t="shared" si="136"/>
        <v>142.58144076729371</v>
      </c>
      <c r="N610" s="8">
        <f t="shared" si="140"/>
        <v>25.000000000000014</v>
      </c>
      <c r="O610" s="8">
        <f t="shared" si="141"/>
        <v>26.291229114641506</v>
      </c>
    </row>
    <row r="611" spans="1:15" x14ac:dyDescent="0.3">
      <c r="A611" s="5">
        <f t="shared" si="142"/>
        <v>6.0299999999999159</v>
      </c>
      <c r="B611" s="5">
        <f t="shared" si="137"/>
        <v>149.90019496772041</v>
      </c>
      <c r="C611" s="6">
        <f t="shared" si="135"/>
        <v>5781.8646630406438</v>
      </c>
      <c r="D611" s="6">
        <f t="shared" si="143"/>
        <v>33429958.981718097</v>
      </c>
      <c r="E611" s="7">
        <f t="shared" si="144"/>
        <v>6248571.4285714282</v>
      </c>
      <c r="F611" s="7">
        <f t="shared" si="145"/>
        <v>124.97142857142855</v>
      </c>
      <c r="G611" s="7">
        <f t="shared" si="146"/>
        <v>27181387.553146668</v>
      </c>
      <c r="H611" s="6">
        <f t="shared" si="147"/>
        <v>5213.5772319154021</v>
      </c>
      <c r="I611" s="7">
        <f t="shared" si="148"/>
        <v>-4.5473388407369599</v>
      </c>
      <c r="J611" s="7">
        <f t="shared" si="149"/>
        <v>-87.983645707238608</v>
      </c>
      <c r="K611" s="8">
        <f t="shared" si="138"/>
        <v>175.39735528556844</v>
      </c>
      <c r="L611" s="8">
        <f t="shared" si="139"/>
        <v>-7.366688921993874</v>
      </c>
      <c r="M611" s="8">
        <f t="shared" si="136"/>
        <v>142.53350604572654</v>
      </c>
      <c r="N611" s="8">
        <f t="shared" si="140"/>
        <v>25.000000000000014</v>
      </c>
      <c r="O611" s="8">
        <f t="shared" si="141"/>
        <v>26.292097754129234</v>
      </c>
    </row>
    <row r="612" spans="1:15" x14ac:dyDescent="0.3">
      <c r="A612" s="5">
        <f t="shared" si="142"/>
        <v>6.0399999999999157</v>
      </c>
      <c r="B612" s="5">
        <f t="shared" si="137"/>
        <v>149.85472157931304</v>
      </c>
      <c r="C612" s="6">
        <f t="shared" si="135"/>
        <v>5780.1106894877885</v>
      </c>
      <c r="D612" s="6">
        <f t="shared" si="143"/>
        <v>33409679.582730997</v>
      </c>
      <c r="E612" s="7">
        <f t="shared" si="144"/>
        <v>6248571.4285714282</v>
      </c>
      <c r="F612" s="7">
        <f t="shared" si="145"/>
        <v>124.97142857142855</v>
      </c>
      <c r="G612" s="7">
        <f t="shared" si="146"/>
        <v>27161108.154159568</v>
      </c>
      <c r="H612" s="6">
        <f t="shared" si="147"/>
        <v>5211.6320048675316</v>
      </c>
      <c r="I612" s="7">
        <f t="shared" si="148"/>
        <v>-4.5488692184977131</v>
      </c>
      <c r="J612" s="7">
        <f t="shared" si="149"/>
        <v>-87.954045336633811</v>
      </c>
      <c r="K612" s="8">
        <f t="shared" si="138"/>
        <v>175.45638414205465</v>
      </c>
      <c r="L612" s="8">
        <f t="shared" si="139"/>
        <v>-7.3691681339662942</v>
      </c>
      <c r="M612" s="8">
        <f t="shared" si="136"/>
        <v>142.48555344534674</v>
      </c>
      <c r="N612" s="8">
        <f t="shared" si="140"/>
        <v>25.000000000000014</v>
      </c>
      <c r="O612" s="8">
        <f t="shared" si="141"/>
        <v>26.292967594920594</v>
      </c>
    </row>
    <row r="613" spans="1:15" x14ac:dyDescent="0.3">
      <c r="A613" s="5">
        <f t="shared" si="142"/>
        <v>6.0499999999999154</v>
      </c>
      <c r="B613" s="5">
        <f t="shared" si="137"/>
        <v>149.80923288712805</v>
      </c>
      <c r="C613" s="6">
        <f t="shared" si="135"/>
        <v>5778.3561256463672</v>
      </c>
      <c r="D613" s="6">
        <f t="shared" si="143"/>
        <v>33389399.514794897</v>
      </c>
      <c r="E613" s="7">
        <f t="shared" si="144"/>
        <v>6248571.4285714282</v>
      </c>
      <c r="F613" s="7">
        <f t="shared" si="145"/>
        <v>124.97142857142855</v>
      </c>
      <c r="G613" s="7">
        <f t="shared" si="146"/>
        <v>27140828.086223468</v>
      </c>
      <c r="H613" s="6">
        <f t="shared" si="147"/>
        <v>5209.6859872955365</v>
      </c>
      <c r="I613" s="7">
        <f t="shared" si="148"/>
        <v>-4.5504011985091628</v>
      </c>
      <c r="J613" s="7">
        <f t="shared" si="149"/>
        <v>-87.924433917001991</v>
      </c>
      <c r="K613" s="8">
        <f t="shared" si="138"/>
        <v>175.51547479963912</v>
      </c>
      <c r="L613" s="8">
        <f t="shared" si="139"/>
        <v>-7.3716499415848427</v>
      </c>
      <c r="M613" s="8">
        <f t="shared" si="136"/>
        <v>142.4375829455432</v>
      </c>
      <c r="N613" s="8">
        <f t="shared" si="140"/>
        <v>24.999999999999993</v>
      </c>
      <c r="O613" s="8">
        <f t="shared" si="141"/>
        <v>26.293838639553993</v>
      </c>
    </row>
    <row r="614" spans="1:15" x14ac:dyDescent="0.3">
      <c r="A614" s="5">
        <f t="shared" si="142"/>
        <v>6.0599999999999152</v>
      </c>
      <c r="B614" s="5">
        <f t="shared" si="137"/>
        <v>149.76372887514296</v>
      </c>
      <c r="C614" s="6">
        <f t="shared" si="135"/>
        <v>5776.6009708983711</v>
      </c>
      <c r="D614" s="6">
        <f t="shared" si="143"/>
        <v>33369118.776984002</v>
      </c>
      <c r="E614" s="7">
        <f t="shared" si="144"/>
        <v>6248571.4285714282</v>
      </c>
      <c r="F614" s="7">
        <f t="shared" si="145"/>
        <v>124.97142857142855</v>
      </c>
      <c r="G614" s="7">
        <f t="shared" si="146"/>
        <v>27120547.348412573</v>
      </c>
      <c r="H614" s="6">
        <f t="shared" si="147"/>
        <v>5207.7391782243258</v>
      </c>
      <c r="I614" s="7">
        <f t="shared" si="148"/>
        <v>-4.5519347836286217</v>
      </c>
      <c r="J614" s="7">
        <f t="shared" si="149"/>
        <v>-87.894811435595443</v>
      </c>
      <c r="K614" s="8">
        <f t="shared" si="138"/>
        <v>175.57462736853253</v>
      </c>
      <c r="L614" s="8">
        <f t="shared" si="139"/>
        <v>-7.374134349478366</v>
      </c>
      <c r="M614" s="8">
        <f t="shared" si="136"/>
        <v>142.38959452566459</v>
      </c>
      <c r="N614" s="8">
        <f t="shared" si="140"/>
        <v>25</v>
      </c>
      <c r="O614" s="8">
        <f t="shared" si="141"/>
        <v>26.294710890575161</v>
      </c>
    </row>
    <row r="615" spans="1:15" x14ac:dyDescent="0.3">
      <c r="A615" s="5">
        <f t="shared" si="142"/>
        <v>6.069999999999915</v>
      </c>
      <c r="B615" s="5">
        <f t="shared" si="137"/>
        <v>149.71820952730667</v>
      </c>
      <c r="C615" s="6">
        <f t="shared" si="135"/>
        <v>5774.8452246246852</v>
      </c>
      <c r="D615" s="6">
        <f t="shared" si="143"/>
        <v>33348837.368370529</v>
      </c>
      <c r="E615" s="7">
        <f t="shared" si="144"/>
        <v>6248571.4285714282</v>
      </c>
      <c r="F615" s="7">
        <f t="shared" si="145"/>
        <v>124.97142857142855</v>
      </c>
      <c r="G615" s="7">
        <f t="shared" si="146"/>
        <v>27100265.9397991</v>
      </c>
      <c r="H615" s="6">
        <f t="shared" si="147"/>
        <v>5205.7915766767974</v>
      </c>
      <c r="I615" s="7">
        <f t="shared" si="148"/>
        <v>-4.5534699767206401</v>
      </c>
      <c r="J615" s="7">
        <f t="shared" si="149"/>
        <v>-87.865177879641521</v>
      </c>
      <c r="K615" s="8">
        <f t="shared" si="138"/>
        <v>175.63384195922467</v>
      </c>
      <c r="L615" s="8">
        <f t="shared" si="139"/>
        <v>-7.3766213622874357</v>
      </c>
      <c r="M615" s="8">
        <f t="shared" si="136"/>
        <v>142.34158816501923</v>
      </c>
      <c r="N615" s="8">
        <f t="shared" si="140"/>
        <v>25.000000000000032</v>
      </c>
      <c r="O615" s="8">
        <f t="shared" si="141"/>
        <v>26.295584350537066</v>
      </c>
    </row>
    <row r="616" spans="1:15" x14ac:dyDescent="0.3">
      <c r="A616" s="5">
        <f t="shared" si="142"/>
        <v>6.0799999999999148</v>
      </c>
      <c r="B616" s="5">
        <f t="shared" si="137"/>
        <v>149.67267482753945</v>
      </c>
      <c r="C616" s="6">
        <f t="shared" si="135"/>
        <v>5773.0888862050924</v>
      </c>
      <c r="D616" s="6">
        <f t="shared" si="143"/>
        <v>33328555.288024753</v>
      </c>
      <c r="E616" s="7">
        <f t="shared" si="144"/>
        <v>6248571.4285714282</v>
      </c>
      <c r="F616" s="7">
        <f t="shared" si="145"/>
        <v>124.97142857142855</v>
      </c>
      <c r="G616" s="7">
        <f t="shared" si="146"/>
        <v>27079983.859453324</v>
      </c>
      <c r="H616" s="6">
        <f t="shared" si="147"/>
        <v>5203.8431816738412</v>
      </c>
      <c r="I616" s="7">
        <f t="shared" si="148"/>
        <v>-4.5550067806570178</v>
      </c>
      <c r="J616" s="7">
        <f t="shared" si="149"/>
        <v>-87.835533236342656</v>
      </c>
      <c r="K616" s="8">
        <f t="shared" si="138"/>
        <v>175.69311868248496</v>
      </c>
      <c r="L616" s="8">
        <f t="shared" si="139"/>
        <v>-7.3791109846643677</v>
      </c>
      <c r="M616" s="8">
        <f t="shared" si="136"/>
        <v>142.29356384287507</v>
      </c>
      <c r="N616" s="8">
        <f t="shared" si="140"/>
        <v>25</v>
      </c>
      <c r="O616" s="8">
        <f t="shared" si="141"/>
        <v>26.296459021999869</v>
      </c>
    </row>
    <row r="617" spans="1:15" x14ac:dyDescent="0.3">
      <c r="A617" s="5">
        <f t="shared" si="142"/>
        <v>6.0899999999999146</v>
      </c>
      <c r="B617" s="5">
        <f t="shared" si="137"/>
        <v>149.62712475973288</v>
      </c>
      <c r="C617" s="6">
        <f t="shared" si="135"/>
        <v>5771.3319550182678</v>
      </c>
      <c r="D617" s="6">
        <f t="shared" si="143"/>
        <v>33308272.53501498</v>
      </c>
      <c r="E617" s="7">
        <f t="shared" si="144"/>
        <v>6248571.4285714282</v>
      </c>
      <c r="F617" s="7">
        <f t="shared" si="145"/>
        <v>124.97142857142855</v>
      </c>
      <c r="G617" s="7">
        <f t="shared" si="146"/>
        <v>27059701.10644355</v>
      </c>
      <c r="H617" s="6">
        <f t="shared" si="147"/>
        <v>5201.8939922343234</v>
      </c>
      <c r="I617" s="7">
        <f t="shared" si="148"/>
        <v>-4.5565451983168854</v>
      </c>
      <c r="J617" s="7">
        <f t="shared" si="149"/>
        <v>-87.805877492876263</v>
      </c>
      <c r="K617" s="8">
        <f t="shared" si="138"/>
        <v>175.75245764936557</v>
      </c>
      <c r="L617" s="8">
        <f t="shared" si="139"/>
        <v>-7.3816032212733527</v>
      </c>
      <c r="M617" s="8">
        <f t="shared" si="136"/>
        <v>142.24552153845951</v>
      </c>
      <c r="N617" s="8">
        <f t="shared" si="140"/>
        <v>25.000000000000021</v>
      </c>
      <c r="O617" s="8">
        <f t="shared" si="141"/>
        <v>26.29733490753129</v>
      </c>
    </row>
    <row r="618" spans="1:15" x14ac:dyDescent="0.3">
      <c r="A618" s="5">
        <f t="shared" si="142"/>
        <v>6.0999999999999144</v>
      </c>
      <c r="B618" s="5">
        <f t="shared" si="137"/>
        <v>149.5815593077497</v>
      </c>
      <c r="C618" s="6">
        <f t="shared" si="135"/>
        <v>5769.574430441774</v>
      </c>
      <c r="D618" s="6">
        <f t="shared" si="143"/>
        <v>33287989.10840752</v>
      </c>
      <c r="E618" s="7">
        <f t="shared" si="144"/>
        <v>6248571.4285714282</v>
      </c>
      <c r="F618" s="7">
        <f t="shared" si="145"/>
        <v>124.97142857142855</v>
      </c>
      <c r="G618" s="7">
        <f t="shared" si="146"/>
        <v>27039417.679836091</v>
      </c>
      <c r="H618" s="6">
        <f t="shared" si="147"/>
        <v>5199.9440073750884</v>
      </c>
      <c r="I618" s="7">
        <f t="shared" si="148"/>
        <v>-4.5580852325866479</v>
      </c>
      <c r="J618" s="7">
        <f t="shared" si="149"/>
        <v>-87.776210636394666</v>
      </c>
      <c r="K618" s="8">
        <f t="shared" si="138"/>
        <v>175.81185897119926</v>
      </c>
      <c r="L618" s="8">
        <f t="shared" si="139"/>
        <v>-7.3840980767903677</v>
      </c>
      <c r="M618" s="8">
        <f t="shared" si="136"/>
        <v>142.19746123095933</v>
      </c>
      <c r="N618" s="8">
        <f t="shared" si="140"/>
        <v>24.999999999999996</v>
      </c>
      <c r="O618" s="8">
        <f t="shared" si="141"/>
        <v>26.298212009706166</v>
      </c>
    </row>
    <row r="619" spans="1:15" x14ac:dyDescent="0.3">
      <c r="A619" s="5">
        <f t="shared" si="142"/>
        <v>6.1099999999999142</v>
      </c>
      <c r="B619" s="5">
        <f t="shared" si="137"/>
        <v>149.53597845542384</v>
      </c>
      <c r="C619" s="6">
        <f t="shared" si="135"/>
        <v>5767.8163118520624</v>
      </c>
      <c r="D619" s="6">
        <f t="shared" si="143"/>
        <v>33267705.007266726</v>
      </c>
      <c r="E619" s="7">
        <f t="shared" si="144"/>
        <v>6248571.4285714282</v>
      </c>
      <c r="F619" s="7">
        <f t="shared" si="145"/>
        <v>124.97142857142855</v>
      </c>
      <c r="G619" s="7">
        <f t="shared" si="146"/>
        <v>27019133.578695297</v>
      </c>
      <c r="H619" s="6">
        <f t="shared" si="147"/>
        <v>5197.9932261109479</v>
      </c>
      <c r="I619" s="7">
        <f t="shared" si="148"/>
        <v>-4.5596268863600846</v>
      </c>
      <c r="J619" s="7">
        <f t="shared" si="149"/>
        <v>-87.746532654025017</v>
      </c>
      <c r="K619" s="8">
        <f t="shared" si="138"/>
        <v>175.87132275960326</v>
      </c>
      <c r="L619" s="8">
        <f t="shared" si="139"/>
        <v>-7.3865955559033365</v>
      </c>
      <c r="M619" s="8">
        <f t="shared" si="136"/>
        <v>142.1493828995205</v>
      </c>
      <c r="N619" s="8">
        <f t="shared" si="140"/>
        <v>25</v>
      </c>
      <c r="O619" s="8">
        <f t="shared" si="141"/>
        <v>26.299090331106928</v>
      </c>
    </row>
    <row r="620" spans="1:15" x14ac:dyDescent="0.3">
      <c r="A620" s="5">
        <f t="shared" si="142"/>
        <v>6.119999999999914</v>
      </c>
      <c r="B620" s="5">
        <f t="shared" si="137"/>
        <v>149.49038218656025</v>
      </c>
      <c r="C620" s="6">
        <f t="shared" si="135"/>
        <v>5766.0575986244667</v>
      </c>
      <c r="D620" s="6">
        <f t="shared" si="143"/>
        <v>33247420.230654951</v>
      </c>
      <c r="E620" s="7">
        <f t="shared" si="144"/>
        <v>6248571.4285714282</v>
      </c>
      <c r="F620" s="7">
        <f t="shared" si="145"/>
        <v>124.97142857142855</v>
      </c>
      <c r="G620" s="7">
        <f t="shared" si="146"/>
        <v>26998848.802083522</v>
      </c>
      <c r="H620" s="6">
        <f t="shared" si="147"/>
        <v>5196.0416474546782</v>
      </c>
      <c r="I620" s="7">
        <f t="shared" si="148"/>
        <v>-4.5611701625383168</v>
      </c>
      <c r="J620" s="7">
        <f t="shared" si="149"/>
        <v>-87.716843532869262</v>
      </c>
      <c r="K620" s="8">
        <f t="shared" si="138"/>
        <v>175.93084912647791</v>
      </c>
      <c r="L620" s="8">
        <f t="shared" si="139"/>
        <v>-7.3890956633120712</v>
      </c>
      <c r="M620" s="8">
        <f t="shared" si="136"/>
        <v>142.10128652324818</v>
      </c>
      <c r="N620" s="8">
        <f t="shared" si="140"/>
        <v>24.999999999999986</v>
      </c>
      <c r="O620" s="8">
        <f t="shared" si="141"/>
        <v>26.299969874323253</v>
      </c>
    </row>
    <row r="621" spans="1:15" x14ac:dyDescent="0.3">
      <c r="A621" s="5">
        <f t="shared" si="142"/>
        <v>6.1299999999999137</v>
      </c>
      <c r="B621" s="5">
        <f t="shared" si="137"/>
        <v>149.44477048493488</v>
      </c>
      <c r="C621" s="6">
        <f t="shared" si="135"/>
        <v>5764.2982901332025</v>
      </c>
      <c r="D621" s="6">
        <f t="shared" si="143"/>
        <v>33227134.777632561</v>
      </c>
      <c r="E621" s="7">
        <f t="shared" si="144"/>
        <v>6248571.4285714282</v>
      </c>
      <c r="F621" s="7">
        <f t="shared" si="145"/>
        <v>124.97142857142855</v>
      </c>
      <c r="G621" s="7">
        <f t="shared" si="146"/>
        <v>26978563.349061131</v>
      </c>
      <c r="H621" s="6">
        <f t="shared" si="147"/>
        <v>5194.0892704170119</v>
      </c>
      <c r="I621" s="7">
        <f t="shared" si="148"/>
        <v>-4.5627150640298755</v>
      </c>
      <c r="J621" s="7">
        <f t="shared" si="149"/>
        <v>-87.687143260004021</v>
      </c>
      <c r="K621" s="8">
        <f t="shared" si="138"/>
        <v>175.99043818400946</v>
      </c>
      <c r="L621" s="8">
        <f t="shared" si="139"/>
        <v>-7.3915984037283966</v>
      </c>
      <c r="M621" s="8">
        <f t="shared" si="136"/>
        <v>142.05317208120647</v>
      </c>
      <c r="N621" s="8">
        <f t="shared" si="140"/>
        <v>25.000000000000025</v>
      </c>
      <c r="O621" s="8">
        <f t="shared" si="141"/>
        <v>26.300850641952412</v>
      </c>
    </row>
    <row r="622" spans="1:15" x14ac:dyDescent="0.3">
      <c r="A622" s="5">
        <f t="shared" si="142"/>
        <v>6.1399999999999135</v>
      </c>
      <c r="B622" s="5">
        <f t="shared" si="137"/>
        <v>149.39914333429459</v>
      </c>
      <c r="C622" s="6">
        <f t="shared" si="135"/>
        <v>5762.5383857513625</v>
      </c>
      <c r="D622" s="6">
        <f t="shared" si="143"/>
        <v>33206848.64725792</v>
      </c>
      <c r="E622" s="7">
        <f t="shared" si="144"/>
        <v>6248571.4285714282</v>
      </c>
      <c r="F622" s="7">
        <f t="shared" si="145"/>
        <v>124.97142857142855</v>
      </c>
      <c r="G622" s="7">
        <f t="shared" si="146"/>
        <v>26958277.218686491</v>
      </c>
      <c r="H622" s="6">
        <f t="shared" si="147"/>
        <v>5192.1360940066361</v>
      </c>
      <c r="I622" s="7">
        <f t="shared" si="148"/>
        <v>-4.5642615937506692</v>
      </c>
      <c r="J622" s="7">
        <f t="shared" si="149"/>
        <v>-87.657431822480575</v>
      </c>
      <c r="K622" s="8">
        <f t="shared" si="138"/>
        <v>176.05009004466865</v>
      </c>
      <c r="L622" s="8">
        <f t="shared" si="139"/>
        <v>-7.3941037818760824</v>
      </c>
      <c r="M622" s="8">
        <f t="shared" si="136"/>
        <v>142.00503955241851</v>
      </c>
      <c r="N622" s="8">
        <f t="shared" si="140"/>
        <v>25.000000000000011</v>
      </c>
      <c r="O622" s="8">
        <f t="shared" si="141"/>
        <v>26.301732636598921</v>
      </c>
    </row>
    <row r="623" spans="1:15" x14ac:dyDescent="0.3">
      <c r="A623" s="5">
        <f t="shared" si="142"/>
        <v>6.1499999999999133</v>
      </c>
      <c r="B623" s="5">
        <f t="shared" si="137"/>
        <v>149.35350071835708</v>
      </c>
      <c r="C623" s="6">
        <f t="shared" si="135"/>
        <v>5760.7778848509161</v>
      </c>
      <c r="D623" s="6">
        <f t="shared" si="143"/>
        <v>33186561.838587396</v>
      </c>
      <c r="E623" s="7">
        <f t="shared" si="144"/>
        <v>6248571.4285714282</v>
      </c>
      <c r="F623" s="7">
        <f t="shared" si="145"/>
        <v>124.97142857142855</v>
      </c>
      <c r="G623" s="7">
        <f t="shared" si="146"/>
        <v>26937990.410015967</v>
      </c>
      <c r="H623" s="6">
        <f t="shared" si="147"/>
        <v>5190.1821172301816</v>
      </c>
      <c r="I623" s="7">
        <f t="shared" si="148"/>
        <v>-4.5658097546240768</v>
      </c>
      <c r="J623" s="7">
        <f t="shared" si="149"/>
        <v>-87.627709207324756</v>
      </c>
      <c r="K623" s="8">
        <f t="shared" si="138"/>
        <v>176.10980482121437</v>
      </c>
      <c r="L623" s="8">
        <f t="shared" si="139"/>
        <v>-7.3966118024910026</v>
      </c>
      <c r="M623" s="8">
        <f t="shared" si="136"/>
        <v>141.95688891586607</v>
      </c>
      <c r="N623" s="8">
        <f t="shared" si="140"/>
        <v>24.999999999999982</v>
      </c>
      <c r="O623" s="8">
        <f t="shared" si="141"/>
        <v>26.302615860874965</v>
      </c>
    </row>
    <row r="624" spans="1:15" x14ac:dyDescent="0.3">
      <c r="A624" s="5">
        <f t="shared" si="142"/>
        <v>6.1599999999999131</v>
      </c>
      <c r="B624" s="5">
        <f t="shared" si="137"/>
        <v>149.30784262081085</v>
      </c>
      <c r="C624" s="6">
        <f t="shared" si="135"/>
        <v>5759.0167868027038</v>
      </c>
      <c r="D624" s="6">
        <f t="shared" si="143"/>
        <v>33166274.350675341</v>
      </c>
      <c r="E624" s="7">
        <f t="shared" si="144"/>
        <v>6248571.4285714282</v>
      </c>
      <c r="F624" s="7">
        <f t="shared" si="145"/>
        <v>124.97142857142855</v>
      </c>
      <c r="G624" s="7">
        <f t="shared" si="146"/>
        <v>26917702.922103912</v>
      </c>
      <c r="H624" s="6">
        <f t="shared" si="147"/>
        <v>5188.2273390922173</v>
      </c>
      <c r="I624" s="7">
        <f t="shared" si="148"/>
        <v>-4.5673595495809396</v>
      </c>
      <c r="J624" s="7">
        <f t="shared" si="149"/>
        <v>-87.597975401536885</v>
      </c>
      <c r="K624" s="8">
        <f t="shared" si="138"/>
        <v>176.16958262669337</v>
      </c>
      <c r="L624" s="8">
        <f t="shared" si="139"/>
        <v>-7.3991224703211209</v>
      </c>
      <c r="M624" s="8">
        <f t="shared" si="136"/>
        <v>141.90872015048973</v>
      </c>
      <c r="N624" s="8">
        <f t="shared" si="140"/>
        <v>25.000000000000007</v>
      </c>
      <c r="O624" s="8">
        <f t="shared" si="141"/>
        <v>26.303500317400268</v>
      </c>
    </row>
    <row r="625" spans="1:15" x14ac:dyDescent="0.3">
      <c r="A625" s="5">
        <f t="shared" si="142"/>
        <v>6.1699999999999129</v>
      </c>
      <c r="B625" s="5">
        <f t="shared" si="137"/>
        <v>149.26216902531505</v>
      </c>
      <c r="C625" s="6">
        <f t="shared" si="135"/>
        <v>5757.2550909764368</v>
      </c>
      <c r="D625" s="6">
        <f t="shared" si="143"/>
        <v>33145986.182574101</v>
      </c>
      <c r="E625" s="7">
        <f t="shared" si="144"/>
        <v>6248571.4285714282</v>
      </c>
      <c r="F625" s="7">
        <f t="shared" si="145"/>
        <v>124.97142857142855</v>
      </c>
      <c r="G625" s="7">
        <f t="shared" si="146"/>
        <v>26897414.754002672</v>
      </c>
      <c r="H625" s="6">
        <f t="shared" si="147"/>
        <v>5186.2717585952505</v>
      </c>
      <c r="I625" s="7">
        <f t="shared" si="148"/>
        <v>-4.5689109815595623</v>
      </c>
      <c r="J625" s="7">
        <f t="shared" si="149"/>
        <v>-87.568230392091721</v>
      </c>
      <c r="K625" s="8">
        <f t="shared" si="138"/>
        <v>176.22942357444026</v>
      </c>
      <c r="L625" s="8">
        <f t="shared" si="139"/>
        <v>-7.4016357901264902</v>
      </c>
      <c r="M625" s="8">
        <f t="shared" si="136"/>
        <v>141.86053323518857</v>
      </c>
      <c r="N625" s="8">
        <f t="shared" si="140"/>
        <v>25.000000000000007</v>
      </c>
      <c r="O625" s="8">
        <f t="shared" si="141"/>
        <v>26.304386008801941</v>
      </c>
    </row>
    <row r="626" spans="1:15" x14ac:dyDescent="0.3">
      <c r="A626" s="5">
        <f t="shared" si="142"/>
        <v>6.1799999999999127</v>
      </c>
      <c r="B626" s="5">
        <f t="shared" si="137"/>
        <v>149.21647991549946</v>
      </c>
      <c r="C626" s="6">
        <f t="shared" si="135"/>
        <v>5755.4927967406929</v>
      </c>
      <c r="D626" s="6">
        <f t="shared" si="143"/>
        <v>33125697.333334003</v>
      </c>
      <c r="E626" s="7">
        <f t="shared" si="144"/>
        <v>6248571.4285714282</v>
      </c>
      <c r="F626" s="7">
        <f t="shared" si="145"/>
        <v>124.97142857142855</v>
      </c>
      <c r="G626" s="7">
        <f t="shared" si="146"/>
        <v>26877125.904762574</v>
      </c>
      <c r="H626" s="6">
        <f t="shared" si="147"/>
        <v>5184.3153747397137</v>
      </c>
      <c r="I626" s="7">
        <f t="shared" si="148"/>
        <v>-4.5704640535057797</v>
      </c>
      <c r="J626" s="7">
        <f t="shared" si="149"/>
        <v>-87.538474165938339</v>
      </c>
      <c r="K626" s="8">
        <f t="shared" si="138"/>
        <v>176.28932777808006</v>
      </c>
      <c r="L626" s="8">
        <f t="shared" si="139"/>
        <v>-7.4041517666793624</v>
      </c>
      <c r="M626" s="8">
        <f t="shared" si="136"/>
        <v>141.81232814882009</v>
      </c>
      <c r="N626" s="8">
        <f t="shared" si="140"/>
        <v>24.999999999999993</v>
      </c>
      <c r="O626" s="8">
        <f t="shared" si="141"/>
        <v>26.305272937714783</v>
      </c>
    </row>
    <row r="627" spans="1:15" x14ac:dyDescent="0.3">
      <c r="A627" s="5">
        <f t="shared" si="142"/>
        <v>6.1899999999999125</v>
      </c>
      <c r="B627" s="5">
        <f t="shared" si="137"/>
        <v>149.1707752749644</v>
      </c>
      <c r="C627" s="6">
        <f t="shared" si="135"/>
        <v>5753.7299034629123</v>
      </c>
      <c r="D627" s="6">
        <f t="shared" si="143"/>
        <v>33105407.802003335</v>
      </c>
      <c r="E627" s="7">
        <f t="shared" si="144"/>
        <v>6248571.4285714282</v>
      </c>
      <c r="F627" s="7">
        <f t="shared" si="145"/>
        <v>124.97142857142855</v>
      </c>
      <c r="G627" s="7">
        <f t="shared" si="146"/>
        <v>26856836.373431906</v>
      </c>
      <c r="H627" s="6">
        <f t="shared" si="147"/>
        <v>5182.3581865239603</v>
      </c>
      <c r="I627" s="7">
        <f t="shared" si="148"/>
        <v>-4.572018768372959</v>
      </c>
      <c r="J627" s="7">
        <f t="shared" si="149"/>
        <v>-87.508706710000126</v>
      </c>
      <c r="K627" s="8">
        <f t="shared" si="138"/>
        <v>176.34929535152841</v>
      </c>
      <c r="L627" s="8">
        <f t="shared" si="139"/>
        <v>-7.4066704047641929</v>
      </c>
      <c r="M627" s="8">
        <f t="shared" si="136"/>
        <v>141.76410487020021</v>
      </c>
      <c r="N627" s="8">
        <f t="shared" si="140"/>
        <v>24.999999999999986</v>
      </c>
      <c r="O627" s="8">
        <f t="shared" si="141"/>
        <v>26.306161106781168</v>
      </c>
    </row>
    <row r="628" spans="1:15" x14ac:dyDescent="0.3">
      <c r="A628" s="5">
        <f t="shared" si="142"/>
        <v>6.1999999999999122</v>
      </c>
      <c r="B628" s="5">
        <f t="shared" si="137"/>
        <v>149.12505508728066</v>
      </c>
      <c r="C628" s="6">
        <f t="shared" si="135"/>
        <v>5751.9664105093962</v>
      </c>
      <c r="D628" s="6">
        <f t="shared" si="143"/>
        <v>33085117.587628346</v>
      </c>
      <c r="E628" s="7">
        <f t="shared" si="144"/>
        <v>6248571.4285714282</v>
      </c>
      <c r="F628" s="7">
        <f t="shared" si="145"/>
        <v>124.97142857142855</v>
      </c>
      <c r="G628" s="7">
        <f t="shared" si="146"/>
        <v>26836546.159056917</v>
      </c>
      <c r="H628" s="6">
        <f t="shared" si="147"/>
        <v>5180.4001929442593</v>
      </c>
      <c r="I628" s="7">
        <f t="shared" si="148"/>
        <v>-4.5735751291220383</v>
      </c>
      <c r="J628" s="7">
        <f t="shared" si="149"/>
        <v>-87.478928011174659</v>
      </c>
      <c r="K628" s="8">
        <f t="shared" si="138"/>
        <v>176.40932640899291</v>
      </c>
      <c r="L628" s="8">
        <f t="shared" si="139"/>
        <v>-7.4091917091777013</v>
      </c>
      <c r="M628" s="8">
        <f t="shared" si="136"/>
        <v>141.71586337810297</v>
      </c>
      <c r="N628" s="8">
        <f t="shared" si="140"/>
        <v>25.000000000000011</v>
      </c>
      <c r="O628" s="8">
        <f t="shared" si="141"/>
        <v>26.307050518651145</v>
      </c>
    </row>
    <row r="629" spans="1:15" x14ac:dyDescent="0.3">
      <c r="A629" s="5">
        <f t="shared" si="142"/>
        <v>6.209999999999912</v>
      </c>
      <c r="B629" s="5">
        <f t="shared" si="137"/>
        <v>149.07931933598942</v>
      </c>
      <c r="C629" s="6">
        <f t="shared" si="135"/>
        <v>5750.2023172453064</v>
      </c>
      <c r="D629" s="6">
        <f t="shared" si="143"/>
        <v>33064826.689253293</v>
      </c>
      <c r="E629" s="7">
        <f t="shared" si="144"/>
        <v>6248571.4285714282</v>
      </c>
      <c r="F629" s="7">
        <f t="shared" si="145"/>
        <v>124.97142857142855</v>
      </c>
      <c r="G629" s="7">
        <f t="shared" si="146"/>
        <v>26816255.260681864</v>
      </c>
      <c r="H629" s="6">
        <f t="shared" si="147"/>
        <v>5178.4413929947941</v>
      </c>
      <c r="I629" s="7">
        <f t="shared" si="148"/>
        <v>-4.5751331387215215</v>
      </c>
      <c r="J629" s="7">
        <f t="shared" si="149"/>
        <v>-87.449138056333695</v>
      </c>
      <c r="K629" s="8">
        <f t="shared" si="138"/>
        <v>176.46942106497298</v>
      </c>
      <c r="L629" s="8">
        <f t="shared" si="139"/>
        <v>-7.4117156847288639</v>
      </c>
      <c r="M629" s="8">
        <f t="shared" si="136"/>
        <v>141.66760365126055</v>
      </c>
      <c r="N629" s="8">
        <f t="shared" si="140"/>
        <v>25</v>
      </c>
      <c r="O629" s="8">
        <f t="shared" si="141"/>
        <v>26.307941175982286</v>
      </c>
    </row>
    <row r="630" spans="1:15" x14ac:dyDescent="0.3">
      <c r="A630" s="5">
        <f t="shared" si="142"/>
        <v>6.2199999999999118</v>
      </c>
      <c r="B630" s="5">
        <f t="shared" si="137"/>
        <v>149.03356800460222</v>
      </c>
      <c r="C630" s="6">
        <f t="shared" si="135"/>
        <v>5748.437623034657</v>
      </c>
      <c r="D630" s="6">
        <f t="shared" si="143"/>
        <v>33044535.105920337</v>
      </c>
      <c r="E630" s="7">
        <f t="shared" si="144"/>
        <v>6248571.4285714282</v>
      </c>
      <c r="F630" s="7">
        <f t="shared" si="145"/>
        <v>124.97142857142855</v>
      </c>
      <c r="G630" s="7">
        <f t="shared" si="146"/>
        <v>26795963.677348908</v>
      </c>
      <c r="H630" s="6">
        <f t="shared" si="147"/>
        <v>5176.4817856676464</v>
      </c>
      <c r="I630" s="7">
        <f t="shared" si="148"/>
        <v>-4.5766928001475486</v>
      </c>
      <c r="J630" s="7">
        <f t="shared" si="149"/>
        <v>-87.419336832322969</v>
      </c>
      <c r="K630" s="8">
        <f t="shared" si="138"/>
        <v>176.52957943426259</v>
      </c>
      <c r="L630" s="8">
        <f t="shared" si="139"/>
        <v>-7.4142423362390275</v>
      </c>
      <c r="M630" s="8">
        <f t="shared" si="136"/>
        <v>141.61932566836319</v>
      </c>
      <c r="N630" s="8">
        <f t="shared" si="140"/>
        <v>25.000000000000021</v>
      </c>
      <c r="O630" s="8">
        <f t="shared" si="141"/>
        <v>26.308833081440003</v>
      </c>
    </row>
    <row r="631" spans="1:15" x14ac:dyDescent="0.3">
      <c r="A631" s="5">
        <f t="shared" si="142"/>
        <v>6.2299999999999116</v>
      </c>
      <c r="B631" s="5">
        <f t="shared" si="137"/>
        <v>148.98780107660073</v>
      </c>
      <c r="C631" s="6">
        <f t="shared" si="135"/>
        <v>5746.6723272403133</v>
      </c>
      <c r="D631" s="6">
        <f t="shared" si="143"/>
        <v>33024242.836669598</v>
      </c>
      <c r="E631" s="7">
        <f t="shared" si="144"/>
        <v>6248571.4285714282</v>
      </c>
      <c r="F631" s="7">
        <f t="shared" si="145"/>
        <v>124.97142857142855</v>
      </c>
      <c r="G631" s="7">
        <f t="shared" si="146"/>
        <v>26775671.408098169</v>
      </c>
      <c r="H631" s="6">
        <f t="shared" si="147"/>
        <v>5174.5213699527967</v>
      </c>
      <c r="I631" s="7">
        <f t="shared" si="148"/>
        <v>-4.5782541163838788</v>
      </c>
      <c r="J631" s="7">
        <f t="shared" si="149"/>
        <v>-87.389524325962256</v>
      </c>
      <c r="K631" s="8">
        <f t="shared" si="138"/>
        <v>176.5898016319496</v>
      </c>
      <c r="L631" s="8">
        <f t="shared" si="139"/>
        <v>-7.4167716685418821</v>
      </c>
      <c r="M631" s="8">
        <f t="shared" si="136"/>
        <v>141.57102940805885</v>
      </c>
      <c r="N631" s="8">
        <f t="shared" si="140"/>
        <v>25.000000000000014</v>
      </c>
      <c r="O631" s="8">
        <f t="shared" si="141"/>
        <v>26.309726237697291</v>
      </c>
    </row>
    <row r="632" spans="1:15" x14ac:dyDescent="0.3">
      <c r="A632" s="5">
        <f t="shared" si="142"/>
        <v>6.2399999999999114</v>
      </c>
      <c r="B632" s="5">
        <f t="shared" si="137"/>
        <v>148.94201853543689</v>
      </c>
      <c r="C632" s="6">
        <f t="shared" si="135"/>
        <v>5744.9064292239937</v>
      </c>
      <c r="D632" s="6">
        <f t="shared" si="143"/>
        <v>33003949.880539179</v>
      </c>
      <c r="E632" s="7">
        <f t="shared" si="144"/>
        <v>6248571.4285714282</v>
      </c>
      <c r="F632" s="7">
        <f t="shared" si="145"/>
        <v>124.97142857142855</v>
      </c>
      <c r="G632" s="7">
        <f t="shared" si="146"/>
        <v>26755378.45196775</v>
      </c>
      <c r="H632" s="6">
        <f t="shared" si="147"/>
        <v>5172.5601448381194</v>
      </c>
      <c r="I632" s="7">
        <f t="shared" si="148"/>
        <v>-4.5798170904219484</v>
      </c>
      <c r="J632" s="7">
        <f t="shared" si="149"/>
        <v>-87.35970052404528</v>
      </c>
      <c r="K632" s="8">
        <f t="shared" si="138"/>
        <v>176.65008777341799</v>
      </c>
      <c r="L632" s="8">
        <f t="shared" si="139"/>
        <v>-7.4193036864835546</v>
      </c>
      <c r="M632" s="8">
        <f t="shared" si="136"/>
        <v>141.52271484895334</v>
      </c>
      <c r="N632" s="8">
        <f t="shared" si="140"/>
        <v>25.000000000000014</v>
      </c>
      <c r="O632" s="8">
        <f t="shared" si="141"/>
        <v>26.310620647434973</v>
      </c>
    </row>
    <row r="633" spans="1:15" x14ac:dyDescent="0.3">
      <c r="A633" s="5">
        <f t="shared" si="142"/>
        <v>6.2499999999999112</v>
      </c>
      <c r="B633" s="5">
        <f t="shared" si="137"/>
        <v>148.89622036453267</v>
      </c>
      <c r="C633" s="6">
        <f t="shared" si="135"/>
        <v>5743.1399283462597</v>
      </c>
      <c r="D633" s="6">
        <f t="shared" si="143"/>
        <v>32983656.23656508</v>
      </c>
      <c r="E633" s="7">
        <f t="shared" si="144"/>
        <v>6248571.4285714282</v>
      </c>
      <c r="F633" s="7">
        <f t="shared" si="145"/>
        <v>124.97142857142855</v>
      </c>
      <c r="G633" s="7">
        <f t="shared" si="146"/>
        <v>26735084.80799365</v>
      </c>
      <c r="H633" s="6">
        <f t="shared" si="147"/>
        <v>5170.5981093093715</v>
      </c>
      <c r="I633" s="7">
        <f t="shared" si="148"/>
        <v>-4.5813817252608811</v>
      </c>
      <c r="J633" s="7">
        <f t="shared" si="149"/>
        <v>-87.329865413339547</v>
      </c>
      <c r="K633" s="8">
        <f t="shared" si="138"/>
        <v>176.71043797434825</v>
      </c>
      <c r="L633" s="8">
        <f t="shared" si="139"/>
        <v>-7.4218383949226254</v>
      </c>
      <c r="M633" s="8">
        <f t="shared" si="136"/>
        <v>141.47438196961005</v>
      </c>
      <c r="N633" s="8">
        <f t="shared" si="140"/>
        <v>25.000000000000028</v>
      </c>
      <c r="O633" s="8">
        <f t="shared" si="141"/>
        <v>26.311516313341638</v>
      </c>
    </row>
    <row r="634" spans="1:15" x14ac:dyDescent="0.3">
      <c r="A634" s="5">
        <f t="shared" si="142"/>
        <v>6.259999999999911</v>
      </c>
      <c r="B634" s="5">
        <f t="shared" si="137"/>
        <v>148.85040654728004</v>
      </c>
      <c r="C634" s="6">
        <f t="shared" si="135"/>
        <v>5741.3728239665161</v>
      </c>
      <c r="D634" s="6">
        <f t="shared" si="143"/>
        <v>32963361.903781246</v>
      </c>
      <c r="E634" s="7">
        <f t="shared" si="144"/>
        <v>6248571.4285714282</v>
      </c>
      <c r="F634" s="7">
        <f t="shared" si="145"/>
        <v>124.97142857142855</v>
      </c>
      <c r="G634" s="7">
        <f t="shared" si="146"/>
        <v>26714790.475209817</v>
      </c>
      <c r="H634" s="6">
        <f t="shared" si="147"/>
        <v>5168.6352623501898</v>
      </c>
      <c r="I634" s="7">
        <f t="shared" si="148"/>
        <v>-4.5829480239075044</v>
      </c>
      <c r="J634" s="7">
        <f t="shared" si="149"/>
        <v>-87.300018980586373</v>
      </c>
      <c r="K634" s="8">
        <f t="shared" si="138"/>
        <v>176.77085235071803</v>
      </c>
      <c r="L634" s="8">
        <f t="shared" si="139"/>
        <v>-7.4243757987301562</v>
      </c>
      <c r="M634" s="8">
        <f t="shared" si="136"/>
        <v>141.42603074854989</v>
      </c>
      <c r="N634" s="8">
        <f t="shared" si="140"/>
        <v>25.000000000000021</v>
      </c>
      <c r="O634" s="8">
        <f t="shared" si="141"/>
        <v>26.312413238113592</v>
      </c>
    </row>
    <row r="635" spans="1:15" x14ac:dyDescent="0.3">
      <c r="A635" s="5">
        <f t="shared" si="142"/>
        <v>6.2699999999999108</v>
      </c>
      <c r="B635" s="5">
        <f t="shared" si="137"/>
        <v>148.80457706704098</v>
      </c>
      <c r="C635" s="6">
        <f t="shared" si="135"/>
        <v>5739.6051154430088</v>
      </c>
      <c r="D635" s="6">
        <f t="shared" si="143"/>
        <v>32943066.881219555</v>
      </c>
      <c r="E635" s="7">
        <f t="shared" si="144"/>
        <v>6248571.4285714282</v>
      </c>
      <c r="F635" s="7">
        <f t="shared" si="145"/>
        <v>124.97142857142855</v>
      </c>
      <c r="G635" s="7">
        <f t="shared" si="146"/>
        <v>26694495.452648126</v>
      </c>
      <c r="H635" s="6">
        <f t="shared" si="147"/>
        <v>5166.6716029420841</v>
      </c>
      <c r="I635" s="7">
        <f t="shared" si="148"/>
        <v>-4.5845159893763991</v>
      </c>
      <c r="J635" s="7">
        <f t="shared" si="149"/>
        <v>-87.270161212500753</v>
      </c>
      <c r="K635" s="8">
        <f t="shared" si="138"/>
        <v>176.83133101880395</v>
      </c>
      <c r="L635" s="8">
        <f t="shared" si="139"/>
        <v>-7.4269159027897649</v>
      </c>
      <c r="M635" s="8">
        <f t="shared" si="136"/>
        <v>141.37766116425121</v>
      </c>
      <c r="N635" s="8">
        <f t="shared" si="140"/>
        <v>25.000000000000011</v>
      </c>
      <c r="O635" s="8">
        <f t="shared" si="141"/>
        <v>26.313311424455044</v>
      </c>
    </row>
    <row r="636" spans="1:15" x14ac:dyDescent="0.3">
      <c r="A636" s="5">
        <f t="shared" si="142"/>
        <v>6.2799999999999105</v>
      </c>
      <c r="B636" s="5">
        <f t="shared" si="137"/>
        <v>148.75873190714722</v>
      </c>
      <c r="C636" s="6">
        <f t="shared" si="135"/>
        <v>5737.8368021328215</v>
      </c>
      <c r="D636" s="6">
        <f t="shared" si="143"/>
        <v>32922771.167909805</v>
      </c>
      <c r="E636" s="7">
        <f t="shared" si="144"/>
        <v>6248571.4285714282</v>
      </c>
      <c r="F636" s="7">
        <f t="shared" si="145"/>
        <v>124.97142857142855</v>
      </c>
      <c r="G636" s="7">
        <f t="shared" si="146"/>
        <v>26674199.739338376</v>
      </c>
      <c r="H636" s="6">
        <f t="shared" si="147"/>
        <v>5164.7071300644311</v>
      </c>
      <c r="I636" s="7">
        <f t="shared" si="148"/>
        <v>-4.5860856246899102</v>
      </c>
      <c r="J636" s="7">
        <f t="shared" si="149"/>
        <v>-87.240292095771352</v>
      </c>
      <c r="K636" s="8">
        <f t="shared" si="138"/>
        <v>176.89187409518223</v>
      </c>
      <c r="L636" s="8">
        <f t="shared" si="139"/>
        <v>-7.4294587119976532</v>
      </c>
      <c r="M636" s="8">
        <f t="shared" si="136"/>
        <v>141.32927319514957</v>
      </c>
      <c r="N636" s="8">
        <f t="shared" si="140"/>
        <v>25.000000000000011</v>
      </c>
      <c r="O636" s="8">
        <f t="shared" si="141"/>
        <v>26.314210875078054</v>
      </c>
    </row>
    <row r="637" spans="1:15" x14ac:dyDescent="0.3">
      <c r="A637" s="5">
        <f t="shared" si="142"/>
        <v>6.2899999999999103</v>
      </c>
      <c r="B637" s="5">
        <f t="shared" si="137"/>
        <v>148.71287105090033</v>
      </c>
      <c r="C637" s="6">
        <f t="shared" si="135"/>
        <v>5736.0678833918701</v>
      </c>
      <c r="D637" s="6">
        <f t="shared" si="143"/>
        <v>32902474.762879688</v>
      </c>
      <c r="E637" s="7">
        <f t="shared" si="144"/>
        <v>6248571.4285714282</v>
      </c>
      <c r="F637" s="7">
        <f t="shared" si="145"/>
        <v>124.97142857142855</v>
      </c>
      <c r="G637" s="7">
        <f t="shared" si="146"/>
        <v>26653903.334308259</v>
      </c>
      <c r="H637" s="6">
        <f t="shared" si="147"/>
        <v>5162.7418426944669</v>
      </c>
      <c r="I637" s="7">
        <f t="shared" si="148"/>
        <v>-4.5876569328781702</v>
      </c>
      <c r="J637" s="7">
        <f t="shared" si="149"/>
        <v>-87.210411617060316</v>
      </c>
      <c r="K637" s="8">
        <f t="shared" si="138"/>
        <v>176.95248169672942</v>
      </c>
      <c r="L637" s="8">
        <f t="shared" si="139"/>
        <v>-7.4320042312626349</v>
      </c>
      <c r="M637" s="8">
        <f t="shared" si="136"/>
        <v>141.28086681963771</v>
      </c>
      <c r="N637" s="8">
        <f t="shared" si="140"/>
        <v>25.000000000000007</v>
      </c>
      <c r="O637" s="8">
        <f t="shared" si="141"/>
        <v>26.315111592702525</v>
      </c>
    </row>
    <row r="638" spans="1:15" x14ac:dyDescent="0.3">
      <c r="A638" s="5">
        <f t="shared" si="142"/>
        <v>6.2999999999999101</v>
      </c>
      <c r="B638" s="5">
        <f t="shared" si="137"/>
        <v>148.66699448157155</v>
      </c>
      <c r="C638" s="6">
        <f t="shared" si="135"/>
        <v>5734.2983585749025</v>
      </c>
      <c r="D638" s="6">
        <f t="shared" si="143"/>
        <v>32882177.665154822</v>
      </c>
      <c r="E638" s="7">
        <f t="shared" si="144"/>
        <v>6248571.4285714282</v>
      </c>
      <c r="F638" s="7">
        <f t="shared" si="145"/>
        <v>124.97142857142855</v>
      </c>
      <c r="G638" s="7">
        <f t="shared" si="146"/>
        <v>26633606.236583393</v>
      </c>
      <c r="H638" s="6">
        <f t="shared" si="147"/>
        <v>5160.7757398072818</v>
      </c>
      <c r="I638" s="7">
        <f t="shared" si="148"/>
        <v>-4.589229916979134</v>
      </c>
      <c r="J638" s="7">
        <f t="shared" si="149"/>
        <v>-87.180519763003332</v>
      </c>
      <c r="K638" s="8">
        <f t="shared" si="138"/>
        <v>177.01315394062374</v>
      </c>
      <c r="L638" s="8">
        <f t="shared" si="139"/>
        <v>-7.4345524655061963</v>
      </c>
      <c r="M638" s="8">
        <f t="shared" si="136"/>
        <v>141.23244201606536</v>
      </c>
      <c r="N638" s="8">
        <f t="shared" si="140"/>
        <v>24.999999999999993</v>
      </c>
      <c r="O638" s="8">
        <f t="shared" si="141"/>
        <v>26.316013580056286</v>
      </c>
    </row>
    <row r="639" spans="1:15" x14ac:dyDescent="0.3">
      <c r="A639" s="5">
        <f t="shared" si="142"/>
        <v>6.3099999999999099</v>
      </c>
      <c r="B639" s="5">
        <f t="shared" si="137"/>
        <v>148.62110218240176</v>
      </c>
      <c r="C639" s="6">
        <f t="shared" si="135"/>
        <v>5732.5282270354965</v>
      </c>
      <c r="D639" s="6">
        <f t="shared" si="143"/>
        <v>32861879.873758733</v>
      </c>
      <c r="E639" s="7">
        <f t="shared" si="144"/>
        <v>6248571.4285714282</v>
      </c>
      <c r="F639" s="7">
        <f t="shared" si="145"/>
        <v>124.97142857142855</v>
      </c>
      <c r="G639" s="7">
        <f t="shared" si="146"/>
        <v>26613308.445187304</v>
      </c>
      <c r="H639" s="6">
        <f t="shared" si="147"/>
        <v>5158.8088203758143</v>
      </c>
      <c r="I639" s="7">
        <f t="shared" si="148"/>
        <v>-4.5908045800386095</v>
      </c>
      <c r="J639" s="7">
        <f t="shared" si="149"/>
        <v>-87.150616520209411</v>
      </c>
      <c r="K639" s="8">
        <f t="shared" si="138"/>
        <v>177.07389094434635</v>
      </c>
      <c r="L639" s="8">
        <f t="shared" si="139"/>
        <v>-7.4371034196625461</v>
      </c>
      <c r="M639" s="8">
        <f t="shared" si="136"/>
        <v>141.18399876273921</v>
      </c>
      <c r="N639" s="8">
        <f t="shared" si="140"/>
        <v>25.000000000000011</v>
      </c>
      <c r="O639" s="8">
        <f t="shared" si="141"/>
        <v>26.316916839875166</v>
      </c>
    </row>
    <row r="640" spans="1:15" x14ac:dyDescent="0.3">
      <c r="A640" s="5">
        <f t="shared" si="142"/>
        <v>6.3199999999999097</v>
      </c>
      <c r="B640" s="5">
        <f t="shared" si="137"/>
        <v>148.57519413660137</v>
      </c>
      <c r="C640" s="6">
        <f t="shared" si="135"/>
        <v>5730.7574881260525</v>
      </c>
      <c r="D640" s="6">
        <f t="shared" si="143"/>
        <v>32841581.387712821</v>
      </c>
      <c r="E640" s="7">
        <f t="shared" si="144"/>
        <v>6248571.4285714282</v>
      </c>
      <c r="F640" s="7">
        <f t="shared" si="145"/>
        <v>124.97142857142855</v>
      </c>
      <c r="G640" s="7">
        <f t="shared" si="146"/>
        <v>26593009.959141392</v>
      </c>
      <c r="H640" s="6">
        <f t="shared" si="147"/>
        <v>5156.8410833708449</v>
      </c>
      <c r="I640" s="7">
        <f t="shared" si="148"/>
        <v>-4.5923809251102581</v>
      </c>
      <c r="J640" s="7">
        <f t="shared" si="149"/>
        <v>-87.120701875260977</v>
      </c>
      <c r="K640" s="8">
        <f t="shared" si="138"/>
        <v>177.13469282568138</v>
      </c>
      <c r="L640" s="8">
        <f t="shared" si="139"/>
        <v>-7.4396570986786177</v>
      </c>
      <c r="M640" s="8">
        <f t="shared" si="136"/>
        <v>141.13553703792275</v>
      </c>
      <c r="N640" s="8">
        <f t="shared" si="140"/>
        <v>25.000000000000021</v>
      </c>
      <c r="O640" s="8">
        <f t="shared" si="141"/>
        <v>26.317821374902863</v>
      </c>
    </row>
    <row r="641" spans="1:15" x14ac:dyDescent="0.3">
      <c r="A641" s="5">
        <f t="shared" si="142"/>
        <v>6.3299999999999095</v>
      </c>
      <c r="B641" s="5">
        <f t="shared" si="137"/>
        <v>148.52927032735028</v>
      </c>
      <c r="C641" s="6">
        <f t="shared" si="135"/>
        <v>5728.9861411977963</v>
      </c>
      <c r="D641" s="6">
        <f t="shared" si="143"/>
        <v>32821282.206036415</v>
      </c>
      <c r="E641" s="7">
        <f t="shared" si="144"/>
        <v>6248571.4285714282</v>
      </c>
      <c r="F641" s="7">
        <f t="shared" si="145"/>
        <v>124.97142857142855</v>
      </c>
      <c r="G641" s="7">
        <f t="shared" si="146"/>
        <v>26572710.777464986</v>
      </c>
      <c r="H641" s="6">
        <f t="shared" si="147"/>
        <v>5154.872527760991</v>
      </c>
      <c r="I641" s="7">
        <f t="shared" si="148"/>
        <v>-4.5939589552556441</v>
      </c>
      <c r="J641" s="7">
        <f t="shared" si="149"/>
        <v>-87.090775814713666</v>
      </c>
      <c r="K641" s="8">
        <f t="shared" si="138"/>
        <v>177.1955597027177</v>
      </c>
      <c r="L641" s="8">
        <f t="shared" si="139"/>
        <v>-7.4422135075141425</v>
      </c>
      <c r="M641" s="8">
        <f t="shared" si="136"/>
        <v>141.08705681983614</v>
      </c>
      <c r="N641" s="8">
        <f t="shared" si="140"/>
        <v>25</v>
      </c>
      <c r="O641" s="8">
        <f t="shared" si="141"/>
        <v>26.318727187891096</v>
      </c>
    </row>
    <row r="642" spans="1:15" x14ac:dyDescent="0.3">
      <c r="A642" s="5">
        <f t="shared" si="142"/>
        <v>6.3399999999999093</v>
      </c>
      <c r="B642" s="5">
        <f t="shared" si="137"/>
        <v>148.48333073779773</v>
      </c>
      <c r="C642" s="6">
        <f t="shared" si="135"/>
        <v>5727.2141856007693</v>
      </c>
      <c r="D642" s="6">
        <f t="shared" si="143"/>
        <v>32800982.327746682</v>
      </c>
      <c r="E642" s="7">
        <f t="shared" si="144"/>
        <v>6248571.4285714282</v>
      </c>
      <c r="F642" s="7">
        <f t="shared" si="145"/>
        <v>124.97142857142855</v>
      </c>
      <c r="G642" s="7">
        <f t="shared" si="146"/>
        <v>26552410.899175253</v>
      </c>
      <c r="H642" s="6">
        <f t="shared" si="147"/>
        <v>5152.9031525126929</v>
      </c>
      <c r="I642" s="7">
        <f t="shared" si="148"/>
        <v>-4.5955386735442785</v>
      </c>
      <c r="J642" s="7">
        <f t="shared" si="149"/>
        <v>-87.060838325096299</v>
      </c>
      <c r="K642" s="8">
        <f t="shared" si="138"/>
        <v>177.25649169385073</v>
      </c>
      <c r="L642" s="8">
        <f t="shared" si="139"/>
        <v>-7.4447726511417303</v>
      </c>
      <c r="M642" s="8">
        <f t="shared" si="136"/>
        <v>141.038558086656</v>
      </c>
      <c r="N642" s="8">
        <f t="shared" si="140"/>
        <v>25.000000000000021</v>
      </c>
      <c r="O642" s="8">
        <f t="shared" si="141"/>
        <v>26.319634281599733</v>
      </c>
    </row>
    <row r="643" spans="1:15" x14ac:dyDescent="0.3">
      <c r="A643" s="5">
        <f t="shared" si="142"/>
        <v>6.3499999999999091</v>
      </c>
      <c r="B643" s="5">
        <f t="shared" si="137"/>
        <v>148.43737535106229</v>
      </c>
      <c r="C643" s="6">
        <f t="shared" si="135"/>
        <v>5725.4416206838305</v>
      </c>
      <c r="D643" s="6">
        <f t="shared" si="143"/>
        <v>32780681.751858689</v>
      </c>
      <c r="E643" s="7">
        <f t="shared" si="144"/>
        <v>6248571.4285714282</v>
      </c>
      <c r="F643" s="7">
        <f t="shared" si="145"/>
        <v>124.97142857142855</v>
      </c>
      <c r="G643" s="7">
        <f t="shared" si="146"/>
        <v>26532110.32328726</v>
      </c>
      <c r="H643" s="6">
        <f t="shared" si="147"/>
        <v>5150.9329565902199</v>
      </c>
      <c r="I643" s="7">
        <f t="shared" si="148"/>
        <v>-4.5971200830535839</v>
      </c>
      <c r="J643" s="7">
        <f t="shared" si="149"/>
        <v>-87.030889392910808</v>
      </c>
      <c r="K643" s="8">
        <f t="shared" si="138"/>
        <v>177.31748891778108</v>
      </c>
      <c r="L643" s="8">
        <f t="shared" si="139"/>
        <v>-7.4473345345468047</v>
      </c>
      <c r="M643" s="8">
        <f t="shared" si="136"/>
        <v>140.99004081651549</v>
      </c>
      <c r="N643" s="8">
        <f t="shared" si="140"/>
        <v>24.999999999999986</v>
      </c>
      <c r="O643" s="8">
        <f t="shared" si="141"/>
        <v>26.320542658796498</v>
      </c>
    </row>
    <row r="644" spans="1:15" x14ac:dyDescent="0.3">
      <c r="A644" s="5">
        <f t="shared" si="142"/>
        <v>6.3599999999999088</v>
      </c>
      <c r="B644" s="5">
        <f t="shared" si="137"/>
        <v>148.39140415023175</v>
      </c>
      <c r="C644" s="6">
        <f t="shared" si="135"/>
        <v>5723.6684457946531</v>
      </c>
      <c r="D644" s="6">
        <f t="shared" si="143"/>
        <v>32760380.477385379</v>
      </c>
      <c r="E644" s="7">
        <f t="shared" si="144"/>
        <v>6248571.4285714282</v>
      </c>
      <c r="F644" s="7">
        <f t="shared" si="145"/>
        <v>124.97142857142855</v>
      </c>
      <c r="G644" s="7">
        <f t="shared" si="146"/>
        <v>26511809.04881395</v>
      </c>
      <c r="H644" s="6">
        <f t="shared" si="147"/>
        <v>5148.9619389556519</v>
      </c>
      <c r="I644" s="7">
        <f t="shared" si="148"/>
        <v>-4.5987031868690087</v>
      </c>
      <c r="J644" s="7">
        <f t="shared" si="149"/>
        <v>-87.000929004632084</v>
      </c>
      <c r="K644" s="8">
        <f t="shared" si="138"/>
        <v>177.3785514935189</v>
      </c>
      <c r="L644" s="8">
        <f t="shared" si="139"/>
        <v>-7.4498991627277933</v>
      </c>
      <c r="M644" s="8">
        <f t="shared" si="136"/>
        <v>140.94150498750395</v>
      </c>
      <c r="N644" s="8">
        <f t="shared" si="140"/>
        <v>25.000000000000018</v>
      </c>
      <c r="O644" s="8">
        <f t="shared" si="141"/>
        <v>26.321452322257457</v>
      </c>
    </row>
    <row r="645" spans="1:15" x14ac:dyDescent="0.3">
      <c r="A645" s="5">
        <f t="shared" si="142"/>
        <v>6.3699999999999086</v>
      </c>
      <c r="B645" s="5">
        <f t="shared" si="137"/>
        <v>148.34541711836306</v>
      </c>
      <c r="C645" s="6">
        <f t="shared" si="135"/>
        <v>5721.8946602797178</v>
      </c>
      <c r="D645" s="6">
        <f t="shared" si="143"/>
        <v>32740078.503337547</v>
      </c>
      <c r="E645" s="7">
        <f t="shared" si="144"/>
        <v>6248571.4285714282</v>
      </c>
      <c r="F645" s="7">
        <f t="shared" si="145"/>
        <v>124.97142857142855</v>
      </c>
      <c r="G645" s="7">
        <f t="shared" si="146"/>
        <v>26491507.074766118</v>
      </c>
      <c r="H645" s="6">
        <f t="shared" si="147"/>
        <v>5146.9900985688828</v>
      </c>
      <c r="I645" s="7">
        <f t="shared" si="148"/>
        <v>-4.6002879880839567</v>
      </c>
      <c r="J645" s="7">
        <f t="shared" si="149"/>
        <v>-86.970957146708074</v>
      </c>
      <c r="K645" s="8">
        <f t="shared" si="138"/>
        <v>177.43967954038118</v>
      </c>
      <c r="L645" s="8">
        <f t="shared" si="139"/>
        <v>-7.4524665406960091</v>
      </c>
      <c r="M645" s="8">
        <f t="shared" si="136"/>
        <v>140.89295057766705</v>
      </c>
      <c r="N645" s="8">
        <f t="shared" si="140"/>
        <v>25.000000000000004</v>
      </c>
      <c r="O645" s="8">
        <f t="shared" si="141"/>
        <v>26.322363274766516</v>
      </c>
    </row>
    <row r="646" spans="1:15" x14ac:dyDescent="0.3">
      <c r="A646" s="5">
        <f t="shared" si="142"/>
        <v>6.3799999999999084</v>
      </c>
      <c r="B646" s="5">
        <f t="shared" si="137"/>
        <v>148.29941423848223</v>
      </c>
      <c r="C646" s="6">
        <f t="shared" si="135"/>
        <v>5720.1202634843139</v>
      </c>
      <c r="D646" s="6">
        <f t="shared" si="143"/>
        <v>32719775.828723855</v>
      </c>
      <c r="E646" s="7">
        <f t="shared" si="144"/>
        <v>6248571.4285714282</v>
      </c>
      <c r="F646" s="7">
        <f t="shared" si="145"/>
        <v>124.97142857142855</v>
      </c>
      <c r="G646" s="7">
        <f t="shared" si="146"/>
        <v>26471204.400152426</v>
      </c>
      <c r="H646" s="6">
        <f t="shared" si="147"/>
        <v>5145.017434387606</v>
      </c>
      <c r="I646" s="7">
        <f t="shared" si="148"/>
        <v>-4.6018744897999042</v>
      </c>
      <c r="J646" s="7">
        <f t="shared" si="149"/>
        <v>-86.940973805559508</v>
      </c>
      <c r="K646" s="8">
        <f t="shared" si="138"/>
        <v>177.50087317799628</v>
      </c>
      <c r="L646" s="8">
        <f t="shared" si="139"/>
        <v>-7.4550366734758429</v>
      </c>
      <c r="M646" s="8">
        <f t="shared" si="136"/>
        <v>140.8443775650064</v>
      </c>
      <c r="N646" s="8">
        <f t="shared" si="140"/>
        <v>25.000000000000025</v>
      </c>
      <c r="O646" s="8">
        <f t="shared" si="141"/>
        <v>26.32327551911597</v>
      </c>
    </row>
    <row r="647" spans="1:15" x14ac:dyDescent="0.3">
      <c r="A647" s="5">
        <f t="shared" si="142"/>
        <v>6.3899999999999082</v>
      </c>
      <c r="B647" s="5">
        <f t="shared" si="137"/>
        <v>148.25339549358424</v>
      </c>
      <c r="C647" s="6">
        <f t="shared" si="135"/>
        <v>5718.3452547525349</v>
      </c>
      <c r="D647" s="6">
        <f t="shared" si="143"/>
        <v>32699472.452550832</v>
      </c>
      <c r="E647" s="7">
        <f t="shared" si="144"/>
        <v>6248571.4285714282</v>
      </c>
      <c r="F647" s="7">
        <f t="shared" si="145"/>
        <v>124.97142857142855</v>
      </c>
      <c r="G647" s="7">
        <f t="shared" si="146"/>
        <v>26450901.023979403</v>
      </c>
      <c r="H647" s="6">
        <f t="shared" si="147"/>
        <v>5143.0439453673152</v>
      </c>
      <c r="I647" s="7">
        <f t="shared" si="148"/>
        <v>-4.6034626951263578</v>
      </c>
      <c r="J647" s="7">
        <f t="shared" si="149"/>
        <v>-86.910978967579993</v>
      </c>
      <c r="K647" s="8">
        <f t="shared" si="138"/>
        <v>177.56213252630235</v>
      </c>
      <c r="L647" s="8">
        <f t="shared" si="139"/>
        <v>-7.4576095661046979</v>
      </c>
      <c r="M647" s="8">
        <f t="shared" si="136"/>
        <v>140.79578592747953</v>
      </c>
      <c r="N647" s="8">
        <f t="shared" si="140"/>
        <v>25.000000000000014</v>
      </c>
      <c r="O647" s="8">
        <f t="shared" si="141"/>
        <v>26.324189058106121</v>
      </c>
    </row>
    <row r="648" spans="1:15" x14ac:dyDescent="0.3">
      <c r="A648" s="5">
        <f t="shared" si="142"/>
        <v>6.399999999999908</v>
      </c>
      <c r="B648" s="5">
        <f t="shared" si="137"/>
        <v>148.20736086663297</v>
      </c>
      <c r="C648" s="6">
        <f t="shared" ref="C648:C711" si="150">$B$1*B648</f>
        <v>5716.5696334272716</v>
      </c>
      <c r="D648" s="6">
        <f t="shared" si="143"/>
        <v>32679168.373822812</v>
      </c>
      <c r="E648" s="7">
        <f t="shared" si="144"/>
        <v>6248571.4285714282</v>
      </c>
      <c r="F648" s="7">
        <f t="shared" si="145"/>
        <v>124.97142857142855</v>
      </c>
      <c r="G648" s="7">
        <f t="shared" si="146"/>
        <v>26430596.945251383</v>
      </c>
      <c r="H648" s="6">
        <f t="shared" si="147"/>
        <v>5141.0696304612902</v>
      </c>
      <c r="I648" s="7">
        <f t="shared" si="148"/>
        <v>-4.6050526071809221</v>
      </c>
      <c r="J648" s="7">
        <f t="shared" si="149"/>
        <v>-86.880972619135747</v>
      </c>
      <c r="K648" s="8">
        <f t="shared" si="138"/>
        <v>177.62345770554984</v>
      </c>
      <c r="L648" s="8">
        <f t="shared" si="139"/>
        <v>-7.4601852236330926</v>
      </c>
      <c r="M648" s="8">
        <f t="shared" ref="M648:M711" si="151">B648+L648</f>
        <v>140.74717564299988</v>
      </c>
      <c r="N648" s="8">
        <f t="shared" si="140"/>
        <v>24.999999999999982</v>
      </c>
      <c r="O648" s="8">
        <f t="shared" si="141"/>
        <v>26.325103894545546</v>
      </c>
    </row>
    <row r="649" spans="1:15" x14ac:dyDescent="0.3">
      <c r="A649" s="5">
        <f t="shared" si="142"/>
        <v>6.4099999999999078</v>
      </c>
      <c r="B649" s="5">
        <f t="shared" ref="B649:B712" si="152">I648*$B$5+B648</f>
        <v>148.16131034056116</v>
      </c>
      <c r="C649" s="6">
        <f t="shared" si="150"/>
        <v>5714.7933988502155</v>
      </c>
      <c r="D649" s="6">
        <f t="shared" si="143"/>
        <v>32658863.591541998</v>
      </c>
      <c r="E649" s="7">
        <f t="shared" si="144"/>
        <v>6248571.4285714282</v>
      </c>
      <c r="F649" s="7">
        <f t="shared" si="145"/>
        <v>124.97142857142855</v>
      </c>
      <c r="G649" s="7">
        <f t="shared" si="146"/>
        <v>26410292.162970569</v>
      </c>
      <c r="H649" s="6">
        <f t="shared" si="147"/>
        <v>5139.0944886205943</v>
      </c>
      <c r="I649" s="7">
        <f t="shared" si="148"/>
        <v>-4.6066442290893335</v>
      </c>
      <c r="J649" s="7">
        <f t="shared" si="149"/>
        <v>-86.850954746565705</v>
      </c>
      <c r="K649" s="8">
        <f t="shared" ref="K649:K712" si="153">-$B$1*I649</f>
        <v>177.68484883630285</v>
      </c>
      <c r="L649" s="8">
        <f t="shared" ref="L649:L712" si="154">-$B$2*K649</f>
        <v>-7.4627636511247193</v>
      </c>
      <c r="M649" s="8">
        <f t="shared" si="151"/>
        <v>140.69854668943643</v>
      </c>
      <c r="N649" s="8">
        <f t="shared" ref="N649:N712" si="155">K649*M649/1000</f>
        <v>25.000000000000011</v>
      </c>
      <c r="O649" s="8">
        <f t="shared" ref="O649:O712" si="156">B649*K649/1000</f>
        <v>26.326020031251161</v>
      </c>
    </row>
    <row r="650" spans="1:15" x14ac:dyDescent="0.3">
      <c r="A650" s="5">
        <f t="shared" ref="A650:A713" si="157">A649+$B$5</f>
        <v>6.4199999999999076</v>
      </c>
      <c r="B650" s="5">
        <f t="shared" si="152"/>
        <v>148.11524389827028</v>
      </c>
      <c r="C650" s="6">
        <f t="shared" si="150"/>
        <v>5713.0165503618537</v>
      </c>
      <c r="D650" s="6">
        <f t="shared" ref="D650:D713" si="158">POWER(C650,2)</f>
        <v>32638558.104708456</v>
      </c>
      <c r="E650" s="7">
        <f t="shared" ref="E650:E713" si="159">4*$B$2*$B$3*POWER($B$1,2)</f>
        <v>6248571.4285714282</v>
      </c>
      <c r="F650" s="7">
        <f t="shared" ref="F650:F713" si="160">POWER($B$1,2)*2*$B$2</f>
        <v>124.97142857142855</v>
      </c>
      <c r="G650" s="7">
        <f t="shared" ref="G650:G713" si="161">D650-E650</f>
        <v>26389986.676137026</v>
      </c>
      <c r="H650" s="6">
        <f t="shared" ref="H650:H713" si="162">SQRT(G650)</f>
        <v>5137.1185187940746</v>
      </c>
      <c r="I650" s="7">
        <f t="shared" ref="I650:I713" si="163">(-C650+H650)/F650</f>
        <v>-4.6082375639854298</v>
      </c>
      <c r="J650" s="7">
        <f t="shared" ref="J650:J713" si="164">(-C650-H650)/F650</f>
        <v>-86.820925336181418</v>
      </c>
      <c r="K650" s="8">
        <f t="shared" si="153"/>
        <v>177.746306039438</v>
      </c>
      <c r="L650" s="8">
        <f t="shared" si="154"/>
        <v>-7.4653448536563953</v>
      </c>
      <c r="M650" s="8">
        <f t="shared" si="151"/>
        <v>140.64989904461387</v>
      </c>
      <c r="N650" s="8">
        <f t="shared" si="155"/>
        <v>24.999999999999996</v>
      </c>
      <c r="O650" s="8">
        <f t="shared" si="156"/>
        <v>26.326937471047948</v>
      </c>
    </row>
    <row r="651" spans="1:15" x14ac:dyDescent="0.3">
      <c r="A651" s="5">
        <f t="shared" si="157"/>
        <v>6.4299999999999073</v>
      </c>
      <c r="B651" s="5">
        <f t="shared" si="152"/>
        <v>148.06916152263042</v>
      </c>
      <c r="C651" s="6">
        <f t="shared" si="150"/>
        <v>5711.2390873014592</v>
      </c>
      <c r="D651" s="6">
        <f t="shared" si="158"/>
        <v>32618251.912320007</v>
      </c>
      <c r="E651" s="7">
        <f t="shared" si="159"/>
        <v>6248571.4285714282</v>
      </c>
      <c r="F651" s="7">
        <f t="shared" si="160"/>
        <v>124.97142857142855</v>
      </c>
      <c r="G651" s="7">
        <f t="shared" si="161"/>
        <v>26369680.483748578</v>
      </c>
      <c r="H651" s="6">
        <f t="shared" si="162"/>
        <v>5135.1417199283387</v>
      </c>
      <c r="I651" s="7">
        <f t="shared" si="163"/>
        <v>-4.6098326150112534</v>
      </c>
      <c r="J651" s="7">
        <f t="shared" si="164"/>
        <v>-86.79088437426681</v>
      </c>
      <c r="K651" s="8">
        <f t="shared" si="153"/>
        <v>177.80782943614832</v>
      </c>
      <c r="L651" s="8">
        <f t="shared" si="154"/>
        <v>-7.4679288363182286</v>
      </c>
      <c r="M651" s="8">
        <f t="shared" si="151"/>
        <v>140.60123268631219</v>
      </c>
      <c r="N651" s="8">
        <f t="shared" si="155"/>
        <v>25</v>
      </c>
      <c r="O651" s="8">
        <f t="shared" si="156"/>
        <v>26.327856216769366</v>
      </c>
    </row>
    <row r="652" spans="1:15" x14ac:dyDescent="0.3">
      <c r="A652" s="5">
        <f t="shared" si="157"/>
        <v>6.4399999999999071</v>
      </c>
      <c r="B652" s="5">
        <f t="shared" si="152"/>
        <v>148.02306319648031</v>
      </c>
      <c r="C652" s="6">
        <f t="shared" si="150"/>
        <v>5709.4610090070973</v>
      </c>
      <c r="D652" s="6">
        <f t="shared" si="158"/>
        <v>32597945.013372343</v>
      </c>
      <c r="E652" s="7">
        <f t="shared" si="159"/>
        <v>6248571.4285714282</v>
      </c>
      <c r="F652" s="7">
        <f t="shared" si="160"/>
        <v>124.97142857142855</v>
      </c>
      <c r="G652" s="7">
        <f t="shared" si="161"/>
        <v>26349373.584800914</v>
      </c>
      <c r="H652" s="6">
        <f t="shared" si="162"/>
        <v>5133.1640909677644</v>
      </c>
      <c r="I652" s="7">
        <f t="shared" si="163"/>
        <v>-4.6114293853170221</v>
      </c>
      <c r="J652" s="7">
        <f t="shared" si="164"/>
        <v>-86.760831847078251</v>
      </c>
      <c r="K652" s="8">
        <f t="shared" si="153"/>
        <v>177.86941914794227</v>
      </c>
      <c r="L652" s="8">
        <f t="shared" si="154"/>
        <v>-7.4705156042135741</v>
      </c>
      <c r="M652" s="8">
        <f t="shared" si="151"/>
        <v>140.55254759226673</v>
      </c>
      <c r="N652" s="8">
        <f t="shared" si="155"/>
        <v>24.999999999999996</v>
      </c>
      <c r="O652" s="8">
        <f t="shared" si="156"/>
        <v>26.328776271257102</v>
      </c>
    </row>
    <row r="653" spans="1:15" x14ac:dyDescent="0.3">
      <c r="A653" s="5">
        <f t="shared" si="157"/>
        <v>6.4499999999999069</v>
      </c>
      <c r="B653" s="5">
        <f t="shared" si="152"/>
        <v>147.97694890262713</v>
      </c>
      <c r="C653" s="6">
        <f t="shared" si="150"/>
        <v>5707.6823148156172</v>
      </c>
      <c r="D653" s="6">
        <f t="shared" si="158"/>
        <v>32577637.406858962</v>
      </c>
      <c r="E653" s="7">
        <f t="shared" si="159"/>
        <v>6248571.4285714282</v>
      </c>
      <c r="F653" s="7">
        <f t="shared" si="160"/>
        <v>124.97142857142855</v>
      </c>
      <c r="G653" s="7">
        <f t="shared" si="161"/>
        <v>26329065.978287533</v>
      </c>
      <c r="H653" s="6">
        <f t="shared" si="162"/>
        <v>5131.1856308544848</v>
      </c>
      <c r="I653" s="7">
        <f t="shared" si="163"/>
        <v>-4.6130278780611889</v>
      </c>
      <c r="J653" s="7">
        <f t="shared" si="164"/>
        <v>-86.730767740844456</v>
      </c>
      <c r="K653" s="8">
        <f t="shared" si="153"/>
        <v>177.93107529664584</v>
      </c>
      <c r="L653" s="8">
        <f t="shared" si="154"/>
        <v>-7.4731051624591247</v>
      </c>
      <c r="M653" s="8">
        <f t="shared" si="151"/>
        <v>140.50384374016801</v>
      </c>
      <c r="N653" s="8">
        <f t="shared" si="155"/>
        <v>24.999999999999996</v>
      </c>
      <c r="O653" s="8">
        <f t="shared" si="156"/>
        <v>26.329697637361264</v>
      </c>
    </row>
    <row r="654" spans="1:15" x14ac:dyDescent="0.3">
      <c r="A654" s="5">
        <f t="shared" si="157"/>
        <v>6.4599999999999067</v>
      </c>
      <c r="B654" s="5">
        <f t="shared" si="152"/>
        <v>147.93081862384651</v>
      </c>
      <c r="C654" s="6">
        <f t="shared" si="150"/>
        <v>5705.9030040626503</v>
      </c>
      <c r="D654" s="6">
        <f t="shared" si="158"/>
        <v>32557329.091771178</v>
      </c>
      <c r="E654" s="7">
        <f t="shared" si="159"/>
        <v>6248571.4285714282</v>
      </c>
      <c r="F654" s="7">
        <f t="shared" si="160"/>
        <v>124.97142857142855</v>
      </c>
      <c r="G654" s="7">
        <f t="shared" si="161"/>
        <v>26308757.663199749</v>
      </c>
      <c r="H654" s="6">
        <f t="shared" si="162"/>
        <v>5129.2063385283836</v>
      </c>
      <c r="I654" s="7">
        <f t="shared" si="163"/>
        <v>-4.6146280964104571</v>
      </c>
      <c r="J654" s="7">
        <f t="shared" si="164"/>
        <v>-86.700692041766402</v>
      </c>
      <c r="K654" s="8">
        <f t="shared" si="153"/>
        <v>177.99279800440334</v>
      </c>
      <c r="L654" s="8">
        <f t="shared" si="154"/>
        <v>-7.4756975161849395</v>
      </c>
      <c r="M654" s="8">
        <f t="shared" si="151"/>
        <v>140.45512110766157</v>
      </c>
      <c r="N654" s="8">
        <f t="shared" si="155"/>
        <v>25.000000000000014</v>
      </c>
      <c r="O654" s="8">
        <f t="shared" si="156"/>
        <v>26.330620317940337</v>
      </c>
    </row>
    <row r="655" spans="1:15" x14ac:dyDescent="0.3">
      <c r="A655" s="5">
        <f t="shared" si="157"/>
        <v>6.4699999999999065</v>
      </c>
      <c r="B655" s="5">
        <f t="shared" si="152"/>
        <v>147.8846723428824</v>
      </c>
      <c r="C655" s="6">
        <f t="shared" si="150"/>
        <v>5704.1230760826065</v>
      </c>
      <c r="D655" s="6">
        <f t="shared" si="158"/>
        <v>32537020.067098096</v>
      </c>
      <c r="E655" s="7">
        <f t="shared" si="159"/>
        <v>6248571.4285714282</v>
      </c>
      <c r="F655" s="7">
        <f t="shared" si="160"/>
        <v>124.97142857142855</v>
      </c>
      <c r="G655" s="7">
        <f t="shared" si="161"/>
        <v>26288448.638526667</v>
      </c>
      <c r="H655" s="6">
        <f t="shared" si="162"/>
        <v>5127.2262129270894</v>
      </c>
      <c r="I655" s="7">
        <f t="shared" si="163"/>
        <v>-4.6162300435398045</v>
      </c>
      <c r="J655" s="7">
        <f t="shared" si="164"/>
        <v>-86.670604736017253</v>
      </c>
      <c r="K655" s="8">
        <f t="shared" si="153"/>
        <v>178.05458739367816</v>
      </c>
      <c r="L655" s="8">
        <f t="shared" si="154"/>
        <v>-7.4782926705344819</v>
      </c>
      <c r="M655" s="8">
        <f t="shared" si="151"/>
        <v>140.40637967234792</v>
      </c>
      <c r="N655" s="8">
        <f t="shared" si="155"/>
        <v>25.000000000000028</v>
      </c>
      <c r="O655" s="8">
        <f t="shared" si="156"/>
        <v>26.331544315861215</v>
      </c>
    </row>
    <row r="656" spans="1:15" x14ac:dyDescent="0.3">
      <c r="A656" s="5">
        <f t="shared" si="157"/>
        <v>6.4799999999999063</v>
      </c>
      <c r="B656" s="5">
        <f t="shared" si="152"/>
        <v>147.83851004244701</v>
      </c>
      <c r="C656" s="6">
        <f t="shared" si="150"/>
        <v>5702.3425302086698</v>
      </c>
      <c r="D656" s="6">
        <f t="shared" si="158"/>
        <v>32516710.331826616</v>
      </c>
      <c r="E656" s="7">
        <f t="shared" si="159"/>
        <v>6248571.4285714282</v>
      </c>
      <c r="F656" s="7">
        <f t="shared" si="160"/>
        <v>124.97142857142855</v>
      </c>
      <c r="G656" s="7">
        <f t="shared" si="161"/>
        <v>26268138.903255187</v>
      </c>
      <c r="H656" s="6">
        <f t="shared" si="162"/>
        <v>5125.2452529859665</v>
      </c>
      <c r="I656" s="7">
        <f t="shared" si="163"/>
        <v>-4.6178337226325148</v>
      </c>
      <c r="J656" s="7">
        <f t="shared" si="164"/>
        <v>-86.640505809742194</v>
      </c>
      <c r="K656" s="8">
        <f t="shared" si="153"/>
        <v>178.11644358725414</v>
      </c>
      <c r="L656" s="8">
        <f t="shared" si="154"/>
        <v>-7.480890630664673</v>
      </c>
      <c r="M656" s="8">
        <f t="shared" si="151"/>
        <v>140.35761941178234</v>
      </c>
      <c r="N656" s="8">
        <f t="shared" si="155"/>
        <v>25.000000000000014</v>
      </c>
      <c r="O656" s="8">
        <f t="shared" si="156"/>
        <v>26.332469633999217</v>
      </c>
    </row>
    <row r="657" spans="1:15" x14ac:dyDescent="0.3">
      <c r="A657" s="5">
        <f t="shared" si="157"/>
        <v>6.4899999999999061</v>
      </c>
      <c r="B657" s="5">
        <f t="shared" si="152"/>
        <v>147.79233170522068</v>
      </c>
      <c r="C657" s="6">
        <f t="shared" si="150"/>
        <v>5700.5613657727972</v>
      </c>
      <c r="D657" s="6">
        <f t="shared" si="158"/>
        <v>32496399.884941418</v>
      </c>
      <c r="E657" s="7">
        <f t="shared" si="159"/>
        <v>6248571.4285714282</v>
      </c>
      <c r="F657" s="7">
        <f t="shared" si="160"/>
        <v>124.97142857142855</v>
      </c>
      <c r="G657" s="7">
        <f t="shared" si="161"/>
        <v>26247828.456369989</v>
      </c>
      <c r="H657" s="6">
        <f t="shared" si="162"/>
        <v>5123.2634576381088</v>
      </c>
      <c r="I657" s="7">
        <f t="shared" si="163"/>
        <v>-4.6194391368802243</v>
      </c>
      <c r="J657" s="7">
        <f t="shared" si="164"/>
        <v>-86.61039524905847</v>
      </c>
      <c r="K657" s="8">
        <f t="shared" si="153"/>
        <v>178.17836670823721</v>
      </c>
      <c r="L657" s="8">
        <f t="shared" si="154"/>
        <v>-7.4834914017459617</v>
      </c>
      <c r="M657" s="8">
        <f t="shared" si="151"/>
        <v>140.30884030347471</v>
      </c>
      <c r="N657" s="8">
        <f t="shared" si="155"/>
        <v>25.000000000000007</v>
      </c>
      <c r="O657" s="8">
        <f t="shared" si="156"/>
        <v>26.333396275238243</v>
      </c>
    </row>
    <row r="658" spans="1:15" x14ac:dyDescent="0.3">
      <c r="A658" s="5">
        <f t="shared" si="157"/>
        <v>6.4999999999999059</v>
      </c>
      <c r="B658" s="5">
        <f t="shared" si="152"/>
        <v>147.74613731385188</v>
      </c>
      <c r="C658" s="6">
        <f t="shared" si="150"/>
        <v>5698.7795821057152</v>
      </c>
      <c r="D658" s="6">
        <f t="shared" si="158"/>
        <v>32476088.72542499</v>
      </c>
      <c r="E658" s="7">
        <f t="shared" si="159"/>
        <v>6248571.4285714282</v>
      </c>
      <c r="F658" s="7">
        <f t="shared" si="160"/>
        <v>124.97142857142855</v>
      </c>
      <c r="G658" s="7">
        <f t="shared" si="161"/>
        <v>26227517.296853561</v>
      </c>
      <c r="H658" s="6">
        <f t="shared" si="162"/>
        <v>5121.280825814335</v>
      </c>
      <c r="I658" s="7">
        <f t="shared" si="163"/>
        <v>-4.6210462894829245</v>
      </c>
      <c r="J658" s="7">
        <f t="shared" si="164"/>
        <v>-86.580273040055275</v>
      </c>
      <c r="K658" s="8">
        <f t="shared" si="153"/>
        <v>178.24035688005566</v>
      </c>
      <c r="L658" s="8">
        <f t="shared" si="154"/>
        <v>-7.4860949889623365</v>
      </c>
      <c r="M658" s="8">
        <f t="shared" si="151"/>
        <v>140.26004232488953</v>
      </c>
      <c r="N658" s="8">
        <f t="shared" si="155"/>
        <v>25.000000000000021</v>
      </c>
      <c r="O658" s="8">
        <f t="shared" si="156"/>
        <v>26.334324242470665</v>
      </c>
    </row>
    <row r="659" spans="1:15" x14ac:dyDescent="0.3">
      <c r="A659" s="5">
        <f t="shared" si="157"/>
        <v>6.5099999999999056</v>
      </c>
      <c r="B659" s="5">
        <f t="shared" si="152"/>
        <v>147.69992685095704</v>
      </c>
      <c r="C659" s="6">
        <f t="shared" si="150"/>
        <v>5696.9971785369144</v>
      </c>
      <c r="D659" s="6">
        <f t="shared" si="158"/>
        <v>32455776.852257565</v>
      </c>
      <c r="E659" s="7">
        <f t="shared" si="159"/>
        <v>6248571.4285714282</v>
      </c>
      <c r="F659" s="7">
        <f t="shared" si="160"/>
        <v>124.97142857142855</v>
      </c>
      <c r="G659" s="7">
        <f t="shared" si="161"/>
        <v>26207205.423686136</v>
      </c>
      <c r="H659" s="6">
        <f t="shared" si="162"/>
        <v>5119.2973564431804</v>
      </c>
      <c r="I659" s="7">
        <f t="shared" si="163"/>
        <v>-4.622655183648992</v>
      </c>
      <c r="J659" s="7">
        <f t="shared" si="164"/>
        <v>-86.550139168793635</v>
      </c>
      <c r="K659" s="8">
        <f t="shared" si="153"/>
        <v>178.30241422646111</v>
      </c>
      <c r="L659" s="8">
        <f t="shared" si="154"/>
        <v>-7.4887013975113659</v>
      </c>
      <c r="M659" s="8">
        <f t="shared" si="151"/>
        <v>140.21122545344568</v>
      </c>
      <c r="N659" s="8">
        <f t="shared" si="155"/>
        <v>25</v>
      </c>
      <c r="O659" s="8">
        <f t="shared" si="156"/>
        <v>26.33525353859735</v>
      </c>
    </row>
    <row r="660" spans="1:15" x14ac:dyDescent="0.3">
      <c r="A660" s="5">
        <f t="shared" si="157"/>
        <v>6.5199999999999054</v>
      </c>
      <c r="B660" s="5">
        <f t="shared" si="152"/>
        <v>147.65370029912054</v>
      </c>
      <c r="C660" s="6">
        <f t="shared" si="150"/>
        <v>5695.2141543946491</v>
      </c>
      <c r="D660" s="6">
        <f t="shared" si="158"/>
        <v>32435464.264417157</v>
      </c>
      <c r="E660" s="7">
        <f t="shared" si="159"/>
        <v>6248571.4285714282</v>
      </c>
      <c r="F660" s="7">
        <f t="shared" si="160"/>
        <v>124.97142857142855</v>
      </c>
      <c r="G660" s="7">
        <f t="shared" si="161"/>
        <v>26186892.835845727</v>
      </c>
      <c r="H660" s="6">
        <f t="shared" si="162"/>
        <v>5117.3130484508883</v>
      </c>
      <c r="I660" s="7">
        <f t="shared" si="163"/>
        <v>-4.6242658225952518</v>
      </c>
      <c r="J660" s="7">
        <f t="shared" si="164"/>
        <v>-86.519993621306327</v>
      </c>
      <c r="K660" s="8">
        <f t="shared" si="153"/>
        <v>178.36453887153112</v>
      </c>
      <c r="L660" s="8">
        <f t="shared" si="154"/>
        <v>-7.4913106326043062</v>
      </c>
      <c r="M660" s="8">
        <f t="shared" si="151"/>
        <v>140.16238966651625</v>
      </c>
      <c r="N660" s="8">
        <f t="shared" si="155"/>
        <v>25.000000000000028</v>
      </c>
      <c r="O660" s="8">
        <f t="shared" si="156"/>
        <v>26.336184166527893</v>
      </c>
    </row>
    <row r="661" spans="1:15" x14ac:dyDescent="0.3">
      <c r="A661" s="5">
        <f t="shared" si="157"/>
        <v>6.5299999999999052</v>
      </c>
      <c r="B661" s="5">
        <f t="shared" si="152"/>
        <v>147.60745764089458</v>
      </c>
      <c r="C661" s="6">
        <f t="shared" si="150"/>
        <v>5693.4305090059333</v>
      </c>
      <c r="D661" s="6">
        <f t="shared" si="158"/>
        <v>32415150.960879561</v>
      </c>
      <c r="E661" s="7">
        <f t="shared" si="159"/>
        <v>6248571.4285714282</v>
      </c>
      <c r="F661" s="7">
        <f t="shared" si="160"/>
        <v>124.97142857142855</v>
      </c>
      <c r="G661" s="7">
        <f t="shared" si="161"/>
        <v>26166579.532308131</v>
      </c>
      <c r="H661" s="6">
        <f t="shared" si="162"/>
        <v>5115.3279007614101</v>
      </c>
      <c r="I661" s="7">
        <f t="shared" si="163"/>
        <v>-4.6258782095469408</v>
      </c>
      <c r="J661" s="7">
        <f t="shared" si="164"/>
        <v>-86.489836383597861</v>
      </c>
      <c r="K661" s="8">
        <f t="shared" si="153"/>
        <v>178.42673093966772</v>
      </c>
      <c r="L661" s="8">
        <f t="shared" si="154"/>
        <v>-7.4939226994660437</v>
      </c>
      <c r="M661" s="8">
        <f t="shared" si="151"/>
        <v>140.11353494142853</v>
      </c>
      <c r="N661" s="8">
        <f t="shared" si="155"/>
        <v>25</v>
      </c>
      <c r="O661" s="8">
        <f t="shared" si="156"/>
        <v>26.337116129180295</v>
      </c>
    </row>
    <row r="662" spans="1:15" x14ac:dyDescent="0.3">
      <c r="A662" s="5">
        <f t="shared" si="157"/>
        <v>6.539999999999905</v>
      </c>
      <c r="B662" s="5">
        <f t="shared" si="152"/>
        <v>147.56119885879912</v>
      </c>
      <c r="C662" s="6">
        <f t="shared" si="150"/>
        <v>5691.6462416965369</v>
      </c>
      <c r="D662" s="6">
        <f t="shared" si="158"/>
        <v>32394836.940618314</v>
      </c>
      <c r="E662" s="7">
        <f t="shared" si="159"/>
        <v>6248571.4285714282</v>
      </c>
      <c r="F662" s="7">
        <f t="shared" si="160"/>
        <v>124.97142857142855</v>
      </c>
      <c r="G662" s="7">
        <f t="shared" si="161"/>
        <v>26146265.512046885</v>
      </c>
      <c r="H662" s="6">
        <f t="shared" si="162"/>
        <v>5113.3419122963878</v>
      </c>
      <c r="I662" s="7">
        <f t="shared" si="163"/>
        <v>-4.6274923477378191</v>
      </c>
      <c r="J662" s="7">
        <f t="shared" si="164"/>
        <v>-86.459667441644356</v>
      </c>
      <c r="K662" s="8">
        <f t="shared" si="153"/>
        <v>178.48899055560159</v>
      </c>
      <c r="L662" s="8">
        <f t="shared" si="154"/>
        <v>-7.4965376033352662</v>
      </c>
      <c r="M662" s="8">
        <f t="shared" si="151"/>
        <v>140.06466125546385</v>
      </c>
      <c r="N662" s="8">
        <f t="shared" si="155"/>
        <v>25.000000000000021</v>
      </c>
      <c r="O662" s="8">
        <f t="shared" si="156"/>
        <v>26.338049429481444</v>
      </c>
    </row>
    <row r="663" spans="1:15" x14ac:dyDescent="0.3">
      <c r="A663" s="5">
        <f t="shared" si="157"/>
        <v>6.5499999999999048</v>
      </c>
      <c r="B663" s="5">
        <f t="shared" si="152"/>
        <v>147.51492393532175</v>
      </c>
      <c r="C663" s="6">
        <f t="shared" si="150"/>
        <v>5689.8613517909816</v>
      </c>
      <c r="D663" s="6">
        <f t="shared" si="158"/>
        <v>32374522.202604696</v>
      </c>
      <c r="E663" s="7">
        <f t="shared" si="159"/>
        <v>6248571.4285714282</v>
      </c>
      <c r="F663" s="7">
        <f t="shared" si="160"/>
        <v>124.97142857142855</v>
      </c>
      <c r="G663" s="7">
        <f t="shared" si="161"/>
        <v>26125950.774033267</v>
      </c>
      <c r="H663" s="6">
        <f t="shared" si="162"/>
        <v>5111.3550819751572</v>
      </c>
      <c r="I663" s="7">
        <f t="shared" si="163"/>
        <v>-4.6291082404101189</v>
      </c>
      <c r="J663" s="7">
        <f t="shared" si="164"/>
        <v>-86.429486781393436</v>
      </c>
      <c r="K663" s="8">
        <f t="shared" si="153"/>
        <v>178.5513178443903</v>
      </c>
      <c r="L663" s="8">
        <f t="shared" si="154"/>
        <v>-7.4991553494643917</v>
      </c>
      <c r="M663" s="8">
        <f t="shared" si="151"/>
        <v>140.01576858585736</v>
      </c>
      <c r="N663" s="8">
        <f t="shared" si="155"/>
        <v>25.000000000000014</v>
      </c>
      <c r="O663" s="8">
        <f t="shared" si="156"/>
        <v>26.338984070366692</v>
      </c>
    </row>
    <row r="664" spans="1:15" x14ac:dyDescent="0.3">
      <c r="A664" s="5">
        <f t="shared" si="157"/>
        <v>6.5599999999999046</v>
      </c>
      <c r="B664" s="5">
        <f t="shared" si="152"/>
        <v>147.46863285291764</v>
      </c>
      <c r="C664" s="6">
        <f t="shared" si="150"/>
        <v>5688.0758386125372</v>
      </c>
      <c r="D664" s="6">
        <f t="shared" si="158"/>
        <v>32354206.745807718</v>
      </c>
      <c r="E664" s="7">
        <f t="shared" si="159"/>
        <v>6248571.4285714282</v>
      </c>
      <c r="F664" s="7">
        <f t="shared" si="160"/>
        <v>124.97142857142855</v>
      </c>
      <c r="G664" s="7">
        <f t="shared" si="161"/>
        <v>26105635.317236289</v>
      </c>
      <c r="H664" s="6">
        <f t="shared" si="162"/>
        <v>5109.367408714731</v>
      </c>
      <c r="I664" s="7">
        <f t="shared" si="163"/>
        <v>-4.6307258908146363</v>
      </c>
      <c r="J664" s="7">
        <f t="shared" si="164"/>
        <v>-86.399294388764162</v>
      </c>
      <c r="K664" s="8">
        <f t="shared" si="153"/>
        <v>178.61371293142167</v>
      </c>
      <c r="L664" s="8">
        <f t="shared" si="154"/>
        <v>-7.5017759431197097</v>
      </c>
      <c r="M664" s="8">
        <f t="shared" si="151"/>
        <v>139.96685690979794</v>
      </c>
      <c r="N664" s="8">
        <f t="shared" si="155"/>
        <v>25.000000000000021</v>
      </c>
      <c r="O664" s="8">
        <f t="shared" si="156"/>
        <v>26.339920054780251</v>
      </c>
    </row>
    <row r="665" spans="1:15" x14ac:dyDescent="0.3">
      <c r="A665" s="5">
        <f t="shared" si="157"/>
        <v>6.5699999999999044</v>
      </c>
      <c r="B665" s="5">
        <f t="shared" si="152"/>
        <v>147.42232559400949</v>
      </c>
      <c r="C665" s="6">
        <f t="shared" si="150"/>
        <v>5686.2897014832233</v>
      </c>
      <c r="D665" s="6">
        <f t="shared" si="158"/>
        <v>32333890.569194164</v>
      </c>
      <c r="E665" s="7">
        <f t="shared" si="159"/>
        <v>6248571.4285714282</v>
      </c>
      <c r="F665" s="7">
        <f t="shared" si="160"/>
        <v>124.97142857142855</v>
      </c>
      <c r="G665" s="7">
        <f t="shared" si="161"/>
        <v>26085319.140622735</v>
      </c>
      <c r="H665" s="6">
        <f t="shared" si="162"/>
        <v>5107.3788914298038</v>
      </c>
      <c r="I665" s="7">
        <f t="shared" si="163"/>
        <v>-4.6323453022107195</v>
      </c>
      <c r="J665" s="7">
        <f t="shared" si="164"/>
        <v>-86.369090249647016</v>
      </c>
      <c r="K665" s="8">
        <f t="shared" si="153"/>
        <v>178.67617594241347</v>
      </c>
      <c r="L665" s="8">
        <f t="shared" si="154"/>
        <v>-7.5043993895813648</v>
      </c>
      <c r="M665" s="8">
        <f t="shared" si="151"/>
        <v>139.91792620442814</v>
      </c>
      <c r="N665" s="8">
        <f t="shared" si="155"/>
        <v>25.000000000000025</v>
      </c>
      <c r="O665" s="8">
        <f t="shared" si="156"/>
        <v>26.340857385675005</v>
      </c>
    </row>
    <row r="666" spans="1:15" x14ac:dyDescent="0.3">
      <c r="A666" s="5">
        <f t="shared" si="157"/>
        <v>6.5799999999999041</v>
      </c>
      <c r="B666" s="5">
        <f t="shared" si="152"/>
        <v>147.3760021409874</v>
      </c>
      <c r="C666" s="6">
        <f t="shared" si="150"/>
        <v>5684.5029397237995</v>
      </c>
      <c r="D666" s="6">
        <f t="shared" si="158"/>
        <v>32313573.671728518</v>
      </c>
      <c r="E666" s="7">
        <f t="shared" si="159"/>
        <v>6248571.4285714282</v>
      </c>
      <c r="F666" s="7">
        <f t="shared" si="160"/>
        <v>124.97142857142855</v>
      </c>
      <c r="G666" s="7">
        <f t="shared" si="161"/>
        <v>26065002.243157089</v>
      </c>
      <c r="H666" s="6">
        <f t="shared" si="162"/>
        <v>5105.3895290327346</v>
      </c>
      <c r="I666" s="7">
        <f t="shared" si="163"/>
        <v>-4.6339664778663181</v>
      </c>
      <c r="J666" s="7">
        <f t="shared" si="164"/>
        <v>-86.338874349903691</v>
      </c>
      <c r="K666" s="8">
        <f t="shared" si="153"/>
        <v>178.73870700341513</v>
      </c>
      <c r="L666" s="8">
        <f t="shared" si="154"/>
        <v>-7.5070256941434348</v>
      </c>
      <c r="M666" s="8">
        <f t="shared" si="151"/>
        <v>139.86897644684396</v>
      </c>
      <c r="N666" s="8">
        <f t="shared" si="155"/>
        <v>25.000000000000014</v>
      </c>
      <c r="O666" s="8">
        <f t="shared" si="156"/>
        <v>26.341796066012627</v>
      </c>
    </row>
    <row r="667" spans="1:15" x14ac:dyDescent="0.3">
      <c r="A667" s="5">
        <f t="shared" si="157"/>
        <v>6.5899999999999039</v>
      </c>
      <c r="B667" s="5">
        <f t="shared" si="152"/>
        <v>147.32966247620874</v>
      </c>
      <c r="C667" s="6">
        <f t="shared" si="150"/>
        <v>5682.7155526537654</v>
      </c>
      <c r="D667" s="6">
        <f t="shared" si="158"/>
        <v>32293256.052372988</v>
      </c>
      <c r="E667" s="7">
        <f t="shared" si="159"/>
        <v>6248571.4285714282</v>
      </c>
      <c r="F667" s="7">
        <f t="shared" si="160"/>
        <v>124.97142857142855</v>
      </c>
      <c r="G667" s="7">
        <f t="shared" si="161"/>
        <v>26044684.623801559</v>
      </c>
      <c r="H667" s="6">
        <f t="shared" si="162"/>
        <v>5103.3993204335438</v>
      </c>
      <c r="I667" s="7">
        <f t="shared" si="163"/>
        <v>-4.6355894210580146</v>
      </c>
      <c r="J667" s="7">
        <f t="shared" si="164"/>
        <v>-86.308646675367157</v>
      </c>
      <c r="K667" s="8">
        <f t="shared" si="153"/>
        <v>178.80130624080914</v>
      </c>
      <c r="L667" s="8">
        <f t="shared" si="154"/>
        <v>-7.5096548621139831</v>
      </c>
      <c r="M667" s="8">
        <f t="shared" si="151"/>
        <v>139.82000761409475</v>
      </c>
      <c r="N667" s="8">
        <f t="shared" si="155"/>
        <v>25.000000000000021</v>
      </c>
      <c r="O667" s="8">
        <f t="shared" si="156"/>
        <v>26.342736098763645</v>
      </c>
    </row>
    <row r="668" spans="1:15" x14ac:dyDescent="0.3">
      <c r="A668" s="5">
        <f t="shared" si="157"/>
        <v>6.5999999999999037</v>
      </c>
      <c r="B668" s="5">
        <f t="shared" si="152"/>
        <v>147.28330658199815</v>
      </c>
      <c r="C668" s="6">
        <f t="shared" si="150"/>
        <v>5680.9275395913564</v>
      </c>
      <c r="D668" s="6">
        <f t="shared" si="158"/>
        <v>32272937.710087504</v>
      </c>
      <c r="E668" s="7">
        <f t="shared" si="159"/>
        <v>6248571.4285714282</v>
      </c>
      <c r="F668" s="7">
        <f t="shared" si="160"/>
        <v>124.97142857142855</v>
      </c>
      <c r="G668" s="7">
        <f t="shared" si="161"/>
        <v>26024366.281516075</v>
      </c>
      <c r="H668" s="6">
        <f t="shared" si="162"/>
        <v>5101.4082645399076</v>
      </c>
      <c r="I668" s="7">
        <f t="shared" si="163"/>
        <v>-4.6372141350710363</v>
      </c>
      <c r="J668" s="7">
        <f t="shared" si="164"/>
        <v>-86.278407211841412</v>
      </c>
      <c r="K668" s="8">
        <f t="shared" si="153"/>
        <v>178.86397378131139</v>
      </c>
      <c r="L668" s="8">
        <f t="shared" si="154"/>
        <v>-7.5122868988150771</v>
      </c>
      <c r="M668" s="8">
        <f t="shared" si="151"/>
        <v>139.77101968318306</v>
      </c>
      <c r="N668" s="8">
        <f t="shared" si="155"/>
        <v>25.000000000000011</v>
      </c>
      <c r="O668" s="8">
        <f t="shared" si="156"/>
        <v>26.343677486907364</v>
      </c>
    </row>
    <row r="669" spans="1:15" x14ac:dyDescent="0.3">
      <c r="A669" s="5">
        <f t="shared" si="157"/>
        <v>6.6099999999999035</v>
      </c>
      <c r="B669" s="5">
        <f t="shared" si="152"/>
        <v>147.23693444064745</v>
      </c>
      <c r="C669" s="6">
        <f t="shared" si="150"/>
        <v>5679.138899853544</v>
      </c>
      <c r="D669" s="6">
        <f t="shared" si="158"/>
        <v>32252618.643829722</v>
      </c>
      <c r="E669" s="7">
        <f t="shared" si="159"/>
        <v>6248571.4285714282</v>
      </c>
      <c r="F669" s="7">
        <f t="shared" si="160"/>
        <v>124.97142857142855</v>
      </c>
      <c r="G669" s="7">
        <f t="shared" si="161"/>
        <v>26004047.215258293</v>
      </c>
      <c r="H669" s="6">
        <f t="shared" si="162"/>
        <v>5099.4163602571516</v>
      </c>
      <c r="I669" s="7">
        <f t="shared" si="163"/>
        <v>-4.6388406231993002</v>
      </c>
      <c r="J669" s="7">
        <f t="shared" si="164"/>
        <v>-86.248155945101601</v>
      </c>
      <c r="K669" s="8">
        <f t="shared" si="153"/>
        <v>178.92670975197299</v>
      </c>
      <c r="L669" s="8">
        <f t="shared" si="154"/>
        <v>-7.5149218095828649</v>
      </c>
      <c r="M669" s="8">
        <f t="shared" si="151"/>
        <v>139.72201263106459</v>
      </c>
      <c r="N669" s="8">
        <f t="shared" si="155"/>
        <v>24.999999999999996</v>
      </c>
      <c r="O669" s="8">
        <f t="shared" si="156"/>
        <v>26.344620233432</v>
      </c>
    </row>
    <row r="670" spans="1:15" x14ac:dyDescent="0.3">
      <c r="A670" s="5">
        <f t="shared" si="157"/>
        <v>6.6199999999999033</v>
      </c>
      <c r="B670" s="5">
        <f t="shared" si="152"/>
        <v>147.19054603441546</v>
      </c>
      <c r="C670" s="6">
        <f t="shared" si="150"/>
        <v>5677.3496327560242</v>
      </c>
      <c r="D670" s="6">
        <f t="shared" si="158"/>
        <v>32232298.852554962</v>
      </c>
      <c r="E670" s="7">
        <f t="shared" si="159"/>
        <v>6248571.4285714282</v>
      </c>
      <c r="F670" s="7">
        <f t="shared" si="160"/>
        <v>124.97142857142855</v>
      </c>
      <c r="G670" s="7">
        <f t="shared" si="161"/>
        <v>25983727.423983533</v>
      </c>
      <c r="H670" s="6">
        <f t="shared" si="162"/>
        <v>5097.4236064882361</v>
      </c>
      <c r="I670" s="7">
        <f t="shared" si="163"/>
        <v>-4.6404688887454473</v>
      </c>
      <c r="J670" s="7">
        <f t="shared" si="164"/>
        <v>-86.217892860893727</v>
      </c>
      <c r="K670" s="8">
        <f t="shared" si="153"/>
        <v>178.98951428018154</v>
      </c>
      <c r="L670" s="8">
        <f t="shared" si="154"/>
        <v>-7.5175595997676234</v>
      </c>
      <c r="M670" s="8">
        <f t="shared" si="151"/>
        <v>139.67298643464784</v>
      </c>
      <c r="N670" s="8">
        <f t="shared" si="155"/>
        <v>25</v>
      </c>
      <c r="O670" s="8">
        <f t="shared" si="156"/>
        <v>26.345564341334725</v>
      </c>
    </row>
    <row r="671" spans="1:15" x14ac:dyDescent="0.3">
      <c r="A671" s="5">
        <f t="shared" si="157"/>
        <v>6.6299999999999031</v>
      </c>
      <c r="B671" s="5">
        <f t="shared" si="152"/>
        <v>147.144141345528</v>
      </c>
      <c r="C671" s="6">
        <f t="shared" si="150"/>
        <v>5675.5597376132228</v>
      </c>
      <c r="D671" s="6">
        <f t="shared" si="158"/>
        <v>32211978.335216273</v>
      </c>
      <c r="E671" s="7">
        <f t="shared" si="159"/>
        <v>6248571.4285714282</v>
      </c>
      <c r="F671" s="7">
        <f t="shared" si="160"/>
        <v>124.97142857142855</v>
      </c>
      <c r="G671" s="7">
        <f t="shared" si="161"/>
        <v>25963406.906644844</v>
      </c>
      <c r="H671" s="6">
        <f t="shared" si="162"/>
        <v>5095.4300021337594</v>
      </c>
      <c r="I671" s="7">
        <f t="shared" si="163"/>
        <v>-4.6420989350208552</v>
      </c>
      <c r="J671" s="7">
        <f t="shared" si="164"/>
        <v>-86.187617944934729</v>
      </c>
      <c r="K671" s="8">
        <f t="shared" si="153"/>
        <v>179.05238749366154</v>
      </c>
      <c r="L671" s="8">
        <f t="shared" si="154"/>
        <v>-7.5202002747337842</v>
      </c>
      <c r="M671" s="8">
        <f t="shared" si="151"/>
        <v>139.62394107079422</v>
      </c>
      <c r="N671" s="8">
        <f t="shared" si="155"/>
        <v>25.000000000000011</v>
      </c>
      <c r="O671" s="8">
        <f t="shared" si="156"/>
        <v>26.346509813621584</v>
      </c>
    </row>
    <row r="672" spans="1:15" x14ac:dyDescent="0.3">
      <c r="A672" s="5">
        <f t="shared" si="157"/>
        <v>6.6399999999999029</v>
      </c>
      <c r="B672" s="5">
        <f t="shared" si="152"/>
        <v>147.0977203561778</v>
      </c>
      <c r="C672" s="6">
        <f t="shared" si="150"/>
        <v>5673.7692137382865</v>
      </c>
      <c r="D672" s="6">
        <f t="shared" si="158"/>
        <v>32191657.090764374</v>
      </c>
      <c r="E672" s="7">
        <f t="shared" si="159"/>
        <v>6248571.4285714282</v>
      </c>
      <c r="F672" s="7">
        <f t="shared" si="160"/>
        <v>124.97142857142855</v>
      </c>
      <c r="G672" s="7">
        <f t="shared" si="161"/>
        <v>25943085.662192944</v>
      </c>
      <c r="H672" s="6">
        <f t="shared" si="162"/>
        <v>5093.4355460919442</v>
      </c>
      <c r="I672" s="7">
        <f t="shared" si="163"/>
        <v>-4.6437307653456754</v>
      </c>
      <c r="J672" s="7">
        <f t="shared" si="164"/>
        <v>-86.157331182912245</v>
      </c>
      <c r="K672" s="8">
        <f t="shared" si="153"/>
        <v>179.11532952047605</v>
      </c>
      <c r="L672" s="8">
        <f t="shared" si="154"/>
        <v>-7.5228438398599931</v>
      </c>
      <c r="M672" s="8">
        <f t="shared" si="151"/>
        <v>139.5748765163178</v>
      </c>
      <c r="N672" s="8">
        <f t="shared" si="155"/>
        <v>25.000000000000018</v>
      </c>
      <c r="O672" s="8">
        <f t="shared" si="156"/>
        <v>26.347456653307624</v>
      </c>
    </row>
    <row r="673" spans="1:15" x14ac:dyDescent="0.3">
      <c r="A673" s="5">
        <f t="shared" si="157"/>
        <v>6.6499999999999027</v>
      </c>
      <c r="B673" s="5">
        <f t="shared" si="152"/>
        <v>147.05128304852434</v>
      </c>
      <c r="C673" s="6">
        <f t="shared" si="150"/>
        <v>5671.9780604430816</v>
      </c>
      <c r="D673" s="6">
        <f t="shared" si="158"/>
        <v>32171335.118147664</v>
      </c>
      <c r="E673" s="7">
        <f t="shared" si="159"/>
        <v>6248571.4285714282</v>
      </c>
      <c r="F673" s="7">
        <f t="shared" si="160"/>
        <v>124.97142857142855</v>
      </c>
      <c r="G673" s="7">
        <f t="shared" si="161"/>
        <v>25922763.689576235</v>
      </c>
      <c r="H673" s="6">
        <f t="shared" si="162"/>
        <v>5091.4402372586319</v>
      </c>
      <c r="I673" s="7">
        <f t="shared" si="163"/>
        <v>-4.6453643830488671</v>
      </c>
      <c r="J673" s="7">
        <f t="shared" si="164"/>
        <v>-86.127032560484693</v>
      </c>
      <c r="K673" s="8">
        <f t="shared" si="153"/>
        <v>179.17834048902773</v>
      </c>
      <c r="L673" s="8">
        <f t="shared" si="154"/>
        <v>-7.5254903005391638</v>
      </c>
      <c r="M673" s="8">
        <f t="shared" si="151"/>
        <v>139.52579274798518</v>
      </c>
      <c r="N673" s="8">
        <f t="shared" si="155"/>
        <v>25.000000000000004</v>
      </c>
      <c r="O673" s="8">
        <f t="shared" si="156"/>
        <v>26.348404863416885</v>
      </c>
    </row>
    <row r="674" spans="1:15" x14ac:dyDescent="0.3">
      <c r="A674" s="5">
        <f t="shared" si="157"/>
        <v>6.6599999999999024</v>
      </c>
      <c r="B674" s="5">
        <f t="shared" si="152"/>
        <v>147.00482940469385</v>
      </c>
      <c r="C674" s="6">
        <f t="shared" si="150"/>
        <v>5670.1862770381913</v>
      </c>
      <c r="D674" s="6">
        <f t="shared" si="158"/>
        <v>32151012.416312225</v>
      </c>
      <c r="E674" s="7">
        <f t="shared" si="159"/>
        <v>6248571.4285714282</v>
      </c>
      <c r="F674" s="7">
        <f t="shared" si="160"/>
        <v>124.97142857142855</v>
      </c>
      <c r="G674" s="7">
        <f t="shared" si="161"/>
        <v>25902440.987740796</v>
      </c>
      <c r="H674" s="6">
        <f t="shared" si="162"/>
        <v>5089.4440745272759</v>
      </c>
      <c r="I674" s="7">
        <f t="shared" si="163"/>
        <v>-4.6469997914682306</v>
      </c>
      <c r="J674" s="7">
        <f t="shared" si="164"/>
        <v>-86.096722063281078</v>
      </c>
      <c r="K674" s="8">
        <f t="shared" si="153"/>
        <v>179.2414205280603</v>
      </c>
      <c r="L674" s="8">
        <f t="shared" si="154"/>
        <v>-7.5281396621785319</v>
      </c>
      <c r="M674" s="8">
        <f t="shared" si="151"/>
        <v>139.4766897425153</v>
      </c>
      <c r="N674" s="8">
        <f t="shared" si="155"/>
        <v>24.999999999999982</v>
      </c>
      <c r="O674" s="8">
        <f t="shared" si="156"/>
        <v>26.349354446982495</v>
      </c>
    </row>
    <row r="675" spans="1:15" x14ac:dyDescent="0.3">
      <c r="A675" s="5">
        <f t="shared" si="157"/>
        <v>6.6699999999999022</v>
      </c>
      <c r="B675" s="5">
        <f t="shared" si="152"/>
        <v>146.95835940677918</v>
      </c>
      <c r="C675" s="6">
        <f t="shared" si="150"/>
        <v>5668.3938628329106</v>
      </c>
      <c r="D675" s="6">
        <f t="shared" si="158"/>
        <v>32130688.984201808</v>
      </c>
      <c r="E675" s="7">
        <f t="shared" si="159"/>
        <v>6248571.4285714282</v>
      </c>
      <c r="F675" s="7">
        <f t="shared" si="160"/>
        <v>124.97142857142855</v>
      </c>
      <c r="G675" s="7">
        <f t="shared" si="161"/>
        <v>25882117.555630378</v>
      </c>
      <c r="H675" s="6">
        <f t="shared" si="162"/>
        <v>5087.447056788933</v>
      </c>
      <c r="I675" s="7">
        <f t="shared" si="163"/>
        <v>-4.6486369939504391</v>
      </c>
      <c r="J675" s="7">
        <f t="shared" si="164"/>
        <v>-86.066399676900915</v>
      </c>
      <c r="K675" s="8">
        <f t="shared" si="153"/>
        <v>179.3045697666598</v>
      </c>
      <c r="L675" s="8">
        <f t="shared" si="154"/>
        <v>-7.5307919301997108</v>
      </c>
      <c r="M675" s="8">
        <f t="shared" si="151"/>
        <v>139.42756747657947</v>
      </c>
      <c r="N675" s="8">
        <f t="shared" si="155"/>
        <v>25.000000000000011</v>
      </c>
      <c r="O675" s="8">
        <f t="shared" si="156"/>
        <v>26.350305407046704</v>
      </c>
    </row>
    <row r="676" spans="1:15" x14ac:dyDescent="0.3">
      <c r="A676" s="5">
        <f t="shared" si="157"/>
        <v>6.679999999999902</v>
      </c>
      <c r="B676" s="5">
        <f t="shared" si="152"/>
        <v>146.91187303683967</v>
      </c>
      <c r="C676" s="6">
        <f t="shared" si="150"/>
        <v>5666.6008171352441</v>
      </c>
      <c r="D676" s="6">
        <f t="shared" si="158"/>
        <v>32110364.820757817</v>
      </c>
      <c r="E676" s="7">
        <f t="shared" si="159"/>
        <v>6248571.4285714282</v>
      </c>
      <c r="F676" s="7">
        <f t="shared" si="160"/>
        <v>124.97142857142855</v>
      </c>
      <c r="G676" s="7">
        <f t="shared" si="161"/>
        <v>25861793.392186388</v>
      </c>
      <c r="H676" s="6">
        <f t="shared" si="162"/>
        <v>5085.4491829322596</v>
      </c>
      <c r="I676" s="7">
        <f t="shared" si="163"/>
        <v>-4.650275993851043</v>
      </c>
      <c r="J676" s="7">
        <f t="shared" si="164"/>
        <v>-86.036065386914203</v>
      </c>
      <c r="K676" s="8">
        <f t="shared" si="153"/>
        <v>179.3677883342545</v>
      </c>
      <c r="L676" s="8">
        <f t="shared" si="154"/>
        <v>-7.5334471100386882</v>
      </c>
      <c r="M676" s="8">
        <f t="shared" si="151"/>
        <v>139.37842592680099</v>
      </c>
      <c r="N676" s="8">
        <f t="shared" si="155"/>
        <v>25.000000000000007</v>
      </c>
      <c r="O676" s="8">
        <f t="shared" si="156"/>
        <v>26.351257746660728</v>
      </c>
    </row>
    <row r="677" spans="1:15" x14ac:dyDescent="0.3">
      <c r="A677" s="5">
        <f t="shared" si="157"/>
        <v>6.6899999999999018</v>
      </c>
      <c r="B677" s="5">
        <f t="shared" si="152"/>
        <v>146.86537027690116</v>
      </c>
      <c r="C677" s="6">
        <f t="shared" si="150"/>
        <v>5664.8071392519014</v>
      </c>
      <c r="D677" s="6">
        <f t="shared" si="158"/>
        <v>32090039.924919311</v>
      </c>
      <c r="E677" s="7">
        <f t="shared" si="159"/>
        <v>6248571.4285714282</v>
      </c>
      <c r="F677" s="7">
        <f t="shared" si="160"/>
        <v>124.97142857142855</v>
      </c>
      <c r="G677" s="7">
        <f t="shared" si="161"/>
        <v>25841468.496347882</v>
      </c>
      <c r="H677" s="6">
        <f t="shared" si="162"/>
        <v>5083.4504518434996</v>
      </c>
      <c r="I677" s="7">
        <f t="shared" si="163"/>
        <v>-4.6519167945345368</v>
      </c>
      <c r="J677" s="7">
        <f t="shared" si="164"/>
        <v>-86.005719178861241</v>
      </c>
      <c r="K677" s="8">
        <f t="shared" si="153"/>
        <v>179.43107636061785</v>
      </c>
      <c r="L677" s="8">
        <f t="shared" si="154"/>
        <v>-7.5361052071459493</v>
      </c>
      <c r="M677" s="8">
        <f t="shared" si="151"/>
        <v>139.32926506975522</v>
      </c>
      <c r="N677" s="8">
        <f t="shared" si="155"/>
        <v>25.000000000000014</v>
      </c>
      <c r="O677" s="8">
        <f t="shared" si="156"/>
        <v>26.352211468885066</v>
      </c>
    </row>
    <row r="678" spans="1:15" x14ac:dyDescent="0.3">
      <c r="A678" s="5">
        <f t="shared" si="157"/>
        <v>6.6999999999999016</v>
      </c>
      <c r="B678" s="5">
        <f t="shared" si="152"/>
        <v>146.81885110895581</v>
      </c>
      <c r="C678" s="6">
        <f t="shared" si="150"/>
        <v>5663.0128284882949</v>
      </c>
      <c r="D678" s="6">
        <f t="shared" si="158"/>
        <v>32069714.295622997</v>
      </c>
      <c r="E678" s="7">
        <f t="shared" si="159"/>
        <v>6248571.4285714282</v>
      </c>
      <c r="F678" s="7">
        <f t="shared" si="160"/>
        <v>124.97142857142855</v>
      </c>
      <c r="G678" s="7">
        <f t="shared" si="161"/>
        <v>25821142.867051568</v>
      </c>
      <c r="H678" s="6">
        <f t="shared" si="162"/>
        <v>5081.4508624064811</v>
      </c>
      <c r="I678" s="7">
        <f t="shared" si="163"/>
        <v>-4.6535593993743687</v>
      </c>
      <c r="J678" s="7">
        <f t="shared" si="164"/>
        <v>-85.975361038252686</v>
      </c>
      <c r="K678" s="8">
        <f t="shared" si="153"/>
        <v>179.4944339758685</v>
      </c>
      <c r="L678" s="8">
        <f t="shared" si="154"/>
        <v>-7.5387662269864766</v>
      </c>
      <c r="M678" s="8">
        <f t="shared" si="151"/>
        <v>139.28008488196934</v>
      </c>
      <c r="N678" s="8">
        <f t="shared" si="155"/>
        <v>25.000000000000007</v>
      </c>
      <c r="O678" s="8">
        <f t="shared" si="156"/>
        <v>26.353166576789334</v>
      </c>
    </row>
    <row r="679" spans="1:15" x14ac:dyDescent="0.3">
      <c r="A679" s="5">
        <f t="shared" si="157"/>
        <v>6.7099999999999014</v>
      </c>
      <c r="B679" s="5">
        <f t="shared" si="152"/>
        <v>146.77231551496206</v>
      </c>
      <c r="C679" s="6">
        <f t="shared" si="150"/>
        <v>5661.2178841485365</v>
      </c>
      <c r="D679" s="6">
        <f t="shared" si="158"/>
        <v>32049387.931803234</v>
      </c>
      <c r="E679" s="7">
        <f t="shared" si="159"/>
        <v>6248571.4285714282</v>
      </c>
      <c r="F679" s="7">
        <f t="shared" si="160"/>
        <v>124.97142857142855</v>
      </c>
      <c r="G679" s="7">
        <f t="shared" si="161"/>
        <v>25800816.503231805</v>
      </c>
      <c r="H679" s="6">
        <f t="shared" si="162"/>
        <v>5079.4504135026073</v>
      </c>
      <c r="I679" s="7">
        <f t="shared" si="163"/>
        <v>-4.6552038117529788</v>
      </c>
      <c r="J679" s="7">
        <f t="shared" si="164"/>
        <v>-85.944990950569291</v>
      </c>
      <c r="K679" s="8">
        <f t="shared" si="153"/>
        <v>179.55786131047202</v>
      </c>
      <c r="L679" s="8">
        <f t="shared" si="154"/>
        <v>-7.5414301750398245</v>
      </c>
      <c r="M679" s="8">
        <f t="shared" si="151"/>
        <v>139.23088533992222</v>
      </c>
      <c r="N679" s="8">
        <f t="shared" si="155"/>
        <v>24.999999999999986</v>
      </c>
      <c r="O679" s="8">
        <f t="shared" si="156"/>
        <v>26.354123073452399</v>
      </c>
    </row>
    <row r="680" spans="1:15" x14ac:dyDescent="0.3">
      <c r="A680" s="5">
        <f t="shared" si="157"/>
        <v>6.7199999999999012</v>
      </c>
      <c r="B680" s="5">
        <f t="shared" si="152"/>
        <v>146.72576347684452</v>
      </c>
      <c r="C680" s="6">
        <f t="shared" si="150"/>
        <v>5659.4223055354314</v>
      </c>
      <c r="D680" s="6">
        <f t="shared" si="158"/>
        <v>32029060.832391977</v>
      </c>
      <c r="E680" s="7">
        <f t="shared" si="159"/>
        <v>6248571.4285714282</v>
      </c>
      <c r="F680" s="7">
        <f t="shared" si="160"/>
        <v>124.97142857142855</v>
      </c>
      <c r="G680" s="7">
        <f t="shared" si="161"/>
        <v>25780489.403820548</v>
      </c>
      <c r="H680" s="6">
        <f t="shared" si="162"/>
        <v>5077.4491040108469</v>
      </c>
      <c r="I680" s="7">
        <f t="shared" si="163"/>
        <v>-4.6568500350618338</v>
      </c>
      <c r="J680" s="7">
        <f t="shared" si="164"/>
        <v>-85.914608901261957</v>
      </c>
      <c r="K680" s="8">
        <f t="shared" si="153"/>
        <v>179.62135849524216</v>
      </c>
      <c r="L680" s="8">
        <f t="shared" si="154"/>
        <v>-7.5440970568001697</v>
      </c>
      <c r="M680" s="8">
        <f t="shared" si="151"/>
        <v>139.18166642004434</v>
      </c>
      <c r="N680" s="8">
        <f t="shared" si="155"/>
        <v>24.999999999999993</v>
      </c>
      <c r="O680" s="8">
        <f t="shared" si="156"/>
        <v>26.355080961962397</v>
      </c>
    </row>
    <row r="681" spans="1:15" x14ac:dyDescent="0.3">
      <c r="A681" s="5">
        <f t="shared" si="157"/>
        <v>6.729999999999901</v>
      </c>
      <c r="B681" s="5">
        <f t="shared" si="152"/>
        <v>146.6791949764939</v>
      </c>
      <c r="C681" s="6">
        <f t="shared" si="150"/>
        <v>5657.6260919504784</v>
      </c>
      <c r="D681" s="6">
        <f t="shared" si="158"/>
        <v>32008732.996318843</v>
      </c>
      <c r="E681" s="7">
        <f t="shared" si="159"/>
        <v>6248571.4285714282</v>
      </c>
      <c r="F681" s="7">
        <f t="shared" si="160"/>
        <v>124.97142857142855</v>
      </c>
      <c r="G681" s="7">
        <f t="shared" si="161"/>
        <v>25760161.567747414</v>
      </c>
      <c r="H681" s="6">
        <f t="shared" si="162"/>
        <v>5075.4469328077321</v>
      </c>
      <c r="I681" s="7">
        <f t="shared" si="163"/>
        <v>-4.6584980727014464</v>
      </c>
      <c r="J681" s="7">
        <f t="shared" si="164"/>
        <v>-85.884214875751582</v>
      </c>
      <c r="K681" s="8">
        <f t="shared" si="153"/>
        <v>179.68492566134151</v>
      </c>
      <c r="L681" s="8">
        <f t="shared" si="154"/>
        <v>-7.546766877776343</v>
      </c>
      <c r="M681" s="8">
        <f t="shared" si="151"/>
        <v>139.13242809871755</v>
      </c>
      <c r="N681" s="8">
        <f t="shared" si="155"/>
        <v>25.000000000000007</v>
      </c>
      <c r="O681" s="8">
        <f t="shared" si="156"/>
        <v>26.356040245416722</v>
      </c>
    </row>
    <row r="682" spans="1:15" x14ac:dyDescent="0.3">
      <c r="A682" s="5">
        <f t="shared" si="157"/>
        <v>6.7399999999999007</v>
      </c>
      <c r="B682" s="5">
        <f t="shared" si="152"/>
        <v>146.6326099957669</v>
      </c>
      <c r="C682" s="6">
        <f t="shared" si="150"/>
        <v>5655.829242693866</v>
      </c>
      <c r="D682" s="6">
        <f t="shared" si="158"/>
        <v>31988404.422511071</v>
      </c>
      <c r="E682" s="7">
        <f t="shared" si="159"/>
        <v>6248571.4285714282</v>
      </c>
      <c r="F682" s="7">
        <f t="shared" si="160"/>
        <v>124.97142857142855</v>
      </c>
      <c r="G682" s="7">
        <f t="shared" si="161"/>
        <v>25739832.993939642</v>
      </c>
      <c r="H682" s="6">
        <f t="shared" si="162"/>
        <v>5073.4438987673493</v>
      </c>
      <c r="I682" s="7">
        <f t="shared" si="163"/>
        <v>-4.6601479280814102</v>
      </c>
      <c r="J682" s="7">
        <f t="shared" si="164"/>
        <v>-85.853808859429037</v>
      </c>
      <c r="K682" s="8">
        <f t="shared" si="153"/>
        <v>179.74856294028297</v>
      </c>
      <c r="L682" s="8">
        <f t="shared" si="154"/>
        <v>-7.5494396434918833</v>
      </c>
      <c r="M682" s="8">
        <f t="shared" si="151"/>
        <v>139.083170352275</v>
      </c>
      <c r="N682" s="8">
        <f t="shared" si="155"/>
        <v>25</v>
      </c>
      <c r="O682" s="8">
        <f t="shared" si="156"/>
        <v>26.357000926922073</v>
      </c>
    </row>
    <row r="683" spans="1:15" x14ac:dyDescent="0.3">
      <c r="A683" s="5">
        <f t="shared" si="157"/>
        <v>6.7499999999999005</v>
      </c>
      <c r="B683" s="5">
        <f t="shared" si="152"/>
        <v>146.58600851648609</v>
      </c>
      <c r="C683" s="6">
        <f t="shared" si="150"/>
        <v>5654.0317570644629</v>
      </c>
      <c r="D683" s="6">
        <f t="shared" si="158"/>
        <v>31968075.109893456</v>
      </c>
      <c r="E683" s="7">
        <f t="shared" si="159"/>
        <v>6248571.4285714282</v>
      </c>
      <c r="F683" s="7">
        <f t="shared" si="160"/>
        <v>124.97142857142855</v>
      </c>
      <c r="G683" s="7">
        <f t="shared" si="161"/>
        <v>25719503.681322027</v>
      </c>
      <c r="H683" s="6">
        <f t="shared" si="162"/>
        <v>5071.4400007613249</v>
      </c>
      <c r="I683" s="7">
        <f t="shared" si="163"/>
        <v>-4.6617996046204473</v>
      </c>
      <c r="J683" s="7">
        <f t="shared" si="164"/>
        <v>-85.823390837654927</v>
      </c>
      <c r="K683" s="8">
        <f t="shared" si="153"/>
        <v>179.81227046393153</v>
      </c>
      <c r="L683" s="8">
        <f t="shared" si="154"/>
        <v>-7.5521153594851231</v>
      </c>
      <c r="M683" s="8">
        <f t="shared" si="151"/>
        <v>139.03389315700096</v>
      </c>
      <c r="N683" s="8">
        <f t="shared" si="155"/>
        <v>25.000000000000014</v>
      </c>
      <c r="O683" s="8">
        <f t="shared" si="156"/>
        <v>26.357963009594563</v>
      </c>
    </row>
    <row r="684" spans="1:15" x14ac:dyDescent="0.3">
      <c r="A684" s="5">
        <f t="shared" si="157"/>
        <v>6.7599999999999003</v>
      </c>
      <c r="B684" s="5">
        <f t="shared" si="152"/>
        <v>146.53939052043989</v>
      </c>
      <c r="C684" s="6">
        <f t="shared" si="150"/>
        <v>5652.2336343598245</v>
      </c>
      <c r="D684" s="6">
        <f t="shared" si="158"/>
        <v>31947745.05738847</v>
      </c>
      <c r="E684" s="7">
        <f t="shared" si="159"/>
        <v>6248571.4285714282</v>
      </c>
      <c r="F684" s="7">
        <f t="shared" si="160"/>
        <v>124.97142857142855</v>
      </c>
      <c r="G684" s="7">
        <f t="shared" si="161"/>
        <v>25699173.62881704</v>
      </c>
      <c r="H684" s="6">
        <f t="shared" si="162"/>
        <v>5069.4352376588304</v>
      </c>
      <c r="I684" s="7">
        <f t="shared" si="163"/>
        <v>-4.6634531057464104</v>
      </c>
      <c r="J684" s="7">
        <f t="shared" si="164"/>
        <v>-85.792960795759711</v>
      </c>
      <c r="K684" s="8">
        <f t="shared" si="153"/>
        <v>179.87604836450438</v>
      </c>
      <c r="L684" s="8">
        <f t="shared" si="154"/>
        <v>-7.554794031309183</v>
      </c>
      <c r="M684" s="8">
        <f t="shared" si="151"/>
        <v>138.98459648913072</v>
      </c>
      <c r="N684" s="8">
        <f t="shared" si="155"/>
        <v>25.000000000000004</v>
      </c>
      <c r="O684" s="8">
        <f t="shared" si="156"/>
        <v>26.35892649655964</v>
      </c>
    </row>
    <row r="685" spans="1:15" x14ac:dyDescent="0.3">
      <c r="A685" s="5">
        <f t="shared" si="157"/>
        <v>6.7699999999999001</v>
      </c>
      <c r="B685" s="5">
        <f t="shared" si="152"/>
        <v>146.49275598938243</v>
      </c>
      <c r="C685" s="6">
        <f t="shared" si="150"/>
        <v>5650.4348738761792</v>
      </c>
      <c r="D685" s="6">
        <f t="shared" si="158"/>
        <v>31927414.263916112</v>
      </c>
      <c r="E685" s="7">
        <f t="shared" si="159"/>
        <v>6248571.4285714282</v>
      </c>
      <c r="F685" s="7">
        <f t="shared" si="160"/>
        <v>124.97142857142855</v>
      </c>
      <c r="G685" s="7">
        <f t="shared" si="161"/>
        <v>25678842.835344683</v>
      </c>
      <c r="H685" s="6">
        <f t="shared" si="162"/>
        <v>5067.4296083265608</v>
      </c>
      <c r="I685" s="7">
        <f t="shared" si="163"/>
        <v>-4.6651084348963527</v>
      </c>
      <c r="J685" s="7">
        <f t="shared" si="164"/>
        <v>-85.762518719043427</v>
      </c>
      <c r="K685" s="8">
        <f t="shared" si="153"/>
        <v>179.93989677457358</v>
      </c>
      <c r="L685" s="8">
        <f t="shared" si="154"/>
        <v>-7.55747566453209</v>
      </c>
      <c r="M685" s="8">
        <f t="shared" si="151"/>
        <v>138.93528032485034</v>
      </c>
      <c r="N685" s="8">
        <f t="shared" si="155"/>
        <v>25.000000000000014</v>
      </c>
      <c r="O685" s="8">
        <f t="shared" si="156"/>
        <v>26.359891390952271</v>
      </c>
    </row>
    <row r="686" spans="1:15" x14ac:dyDescent="0.3">
      <c r="A686" s="5">
        <f t="shared" si="157"/>
        <v>6.7799999999998999</v>
      </c>
      <c r="B686" s="5">
        <f t="shared" si="152"/>
        <v>146.44610490503348</v>
      </c>
      <c r="C686" s="6">
        <f t="shared" si="150"/>
        <v>5648.6354749084339</v>
      </c>
      <c r="D686" s="6">
        <f t="shared" si="158"/>
        <v>31907082.728394028</v>
      </c>
      <c r="E686" s="7">
        <f t="shared" si="159"/>
        <v>6248571.4285714282</v>
      </c>
      <c r="F686" s="7">
        <f t="shared" si="160"/>
        <v>124.97142857142855</v>
      </c>
      <c r="G686" s="7">
        <f t="shared" si="161"/>
        <v>25658511.299822599</v>
      </c>
      <c r="H686" s="6">
        <f t="shared" si="162"/>
        <v>5065.423111628741</v>
      </c>
      <c r="I686" s="7">
        <f t="shared" si="163"/>
        <v>-4.6667655955165195</v>
      </c>
      <c r="J686" s="7">
        <f t="shared" si="164"/>
        <v>-85.732064592775771</v>
      </c>
      <c r="K686" s="8">
        <f t="shared" si="153"/>
        <v>180.00381582706575</v>
      </c>
      <c r="L686" s="8">
        <f t="shared" si="154"/>
        <v>-7.5601602647367612</v>
      </c>
      <c r="M686" s="8">
        <f t="shared" si="151"/>
        <v>138.88594464029671</v>
      </c>
      <c r="N686" s="8">
        <f t="shared" si="155"/>
        <v>25.000000000000018</v>
      </c>
      <c r="O686" s="8">
        <f t="shared" si="156"/>
        <v>26.360857695916796</v>
      </c>
    </row>
    <row r="687" spans="1:15" x14ac:dyDescent="0.3">
      <c r="A687" s="5">
        <f t="shared" si="157"/>
        <v>6.7899999999998997</v>
      </c>
      <c r="B687" s="5">
        <f t="shared" si="152"/>
        <v>146.39943724907832</v>
      </c>
      <c r="C687" s="6">
        <f t="shared" si="150"/>
        <v>5646.8354367501634</v>
      </c>
      <c r="D687" s="6">
        <f t="shared" si="158"/>
        <v>31886750.449737407</v>
      </c>
      <c r="E687" s="7">
        <f t="shared" si="159"/>
        <v>6248571.4285714282</v>
      </c>
      <c r="F687" s="7">
        <f t="shared" si="160"/>
        <v>124.97142857142855</v>
      </c>
      <c r="G687" s="7">
        <f t="shared" si="161"/>
        <v>25638179.021165978</v>
      </c>
      <c r="H687" s="6">
        <f t="shared" si="162"/>
        <v>5063.4157464271075</v>
      </c>
      <c r="I687" s="7">
        <f t="shared" si="163"/>
        <v>-4.6684245910624051</v>
      </c>
      <c r="J687" s="7">
        <f t="shared" si="164"/>
        <v>-85.701598402195842</v>
      </c>
      <c r="K687" s="8">
        <f t="shared" si="153"/>
        <v>180.06780565526418</v>
      </c>
      <c r="L687" s="8">
        <f t="shared" si="154"/>
        <v>-7.5628478375210948</v>
      </c>
      <c r="M687" s="8">
        <f t="shared" si="151"/>
        <v>138.83658941155721</v>
      </c>
      <c r="N687" s="8">
        <f t="shared" si="155"/>
        <v>24.999999999999993</v>
      </c>
      <c r="O687" s="8">
        <f t="shared" si="156"/>
        <v>26.361825414607079</v>
      </c>
    </row>
    <row r="688" spans="1:15" x14ac:dyDescent="0.3">
      <c r="A688" s="5">
        <f t="shared" si="157"/>
        <v>6.7999999999998995</v>
      </c>
      <c r="B688" s="5">
        <f t="shared" si="152"/>
        <v>146.35275300316769</v>
      </c>
      <c r="C688" s="6">
        <f t="shared" si="150"/>
        <v>5645.0347586936105</v>
      </c>
      <c r="D688" s="6">
        <f t="shared" si="158"/>
        <v>31866417.426859029</v>
      </c>
      <c r="E688" s="7">
        <f t="shared" si="159"/>
        <v>6248571.4285714282</v>
      </c>
      <c r="F688" s="7">
        <f t="shared" si="160"/>
        <v>124.97142857142855</v>
      </c>
      <c r="G688" s="7">
        <f t="shared" si="161"/>
        <v>25617845.9982876</v>
      </c>
      <c r="H688" s="6">
        <f t="shared" si="162"/>
        <v>5061.4075115809037</v>
      </c>
      <c r="I688" s="7">
        <f t="shared" si="163"/>
        <v>-4.6700854249987973</v>
      </c>
      <c r="J688" s="7">
        <f t="shared" si="164"/>
        <v>-85.671120132512129</v>
      </c>
      <c r="K688" s="8">
        <f t="shared" si="153"/>
        <v>180.13186639281074</v>
      </c>
      <c r="L688" s="8">
        <f t="shared" si="154"/>
        <v>-7.5655383884980498</v>
      </c>
      <c r="M688" s="8">
        <f t="shared" si="151"/>
        <v>138.78721461466964</v>
      </c>
      <c r="N688" s="8">
        <f t="shared" si="155"/>
        <v>25.000000000000021</v>
      </c>
      <c r="O688" s="8">
        <f t="shared" si="156"/>
        <v>26.362794550186635</v>
      </c>
    </row>
    <row r="689" spans="1:15" x14ac:dyDescent="0.3">
      <c r="A689" s="5">
        <f t="shared" si="157"/>
        <v>6.8099999999998992</v>
      </c>
      <c r="B689" s="5">
        <f t="shared" si="152"/>
        <v>146.3060521489177</v>
      </c>
      <c r="C689" s="6">
        <f t="shared" si="150"/>
        <v>5643.2334400296822</v>
      </c>
      <c r="D689" s="6">
        <f t="shared" si="158"/>
        <v>31846083.658669241</v>
      </c>
      <c r="E689" s="7">
        <f t="shared" si="159"/>
        <v>6248571.4285714282</v>
      </c>
      <c r="F689" s="7">
        <f t="shared" si="160"/>
        <v>124.97142857142855</v>
      </c>
      <c r="G689" s="7">
        <f t="shared" si="161"/>
        <v>25597512.230097812</v>
      </c>
      <c r="H689" s="6">
        <f t="shared" si="162"/>
        <v>5059.3984059468785</v>
      </c>
      <c r="I689" s="7">
        <f t="shared" si="163"/>
        <v>-4.671748100799757</v>
      </c>
      <c r="J689" s="7">
        <f t="shared" si="164"/>
        <v>-85.640629768902542</v>
      </c>
      <c r="K689" s="8">
        <f t="shared" si="153"/>
        <v>180.19599817370491</v>
      </c>
      <c r="L689" s="8">
        <f t="shared" si="154"/>
        <v>-7.5682319232956052</v>
      </c>
      <c r="M689" s="8">
        <f t="shared" si="151"/>
        <v>138.7378202256221</v>
      </c>
      <c r="N689" s="8">
        <f t="shared" si="155"/>
        <v>25</v>
      </c>
      <c r="O689" s="8">
        <f t="shared" si="156"/>
        <v>26.36376510582835</v>
      </c>
    </row>
    <row r="690" spans="1:15" x14ac:dyDescent="0.3">
      <c r="A690" s="5">
        <f t="shared" si="157"/>
        <v>6.819999999999899</v>
      </c>
      <c r="B690" s="5">
        <f t="shared" si="152"/>
        <v>146.25933466790971</v>
      </c>
      <c r="C690" s="6">
        <f t="shared" si="150"/>
        <v>5641.431480047946</v>
      </c>
      <c r="D690" s="6">
        <f t="shared" si="158"/>
        <v>31825749.14407596</v>
      </c>
      <c r="E690" s="7">
        <f t="shared" si="159"/>
        <v>6248571.4285714282</v>
      </c>
      <c r="F690" s="7">
        <f t="shared" si="160"/>
        <v>124.97142857142855</v>
      </c>
      <c r="G690" s="7">
        <f t="shared" si="161"/>
        <v>25577177.715504531</v>
      </c>
      <c r="H690" s="6">
        <f t="shared" si="162"/>
        <v>5057.3884283792686</v>
      </c>
      <c r="I690" s="7">
        <f t="shared" si="163"/>
        <v>-4.6734126219487226</v>
      </c>
      <c r="J690" s="7">
        <f t="shared" si="164"/>
        <v>-85.610127296514079</v>
      </c>
      <c r="K690" s="8">
        <f t="shared" si="153"/>
        <v>180.26020113230786</v>
      </c>
      <c r="L690" s="8">
        <f t="shared" si="154"/>
        <v>-7.5709284475569287</v>
      </c>
      <c r="M690" s="8">
        <f t="shared" si="151"/>
        <v>138.68840622035279</v>
      </c>
      <c r="N690" s="8">
        <f t="shared" si="155"/>
        <v>25.000000000000011</v>
      </c>
      <c r="O690" s="8">
        <f t="shared" si="156"/>
        <v>26.364737084714932</v>
      </c>
    </row>
    <row r="691" spans="1:15" x14ac:dyDescent="0.3">
      <c r="A691" s="5">
        <f t="shared" si="157"/>
        <v>6.8299999999998988</v>
      </c>
      <c r="B691" s="5">
        <f t="shared" si="152"/>
        <v>146.21260054169022</v>
      </c>
      <c r="C691" s="6">
        <f t="shared" si="150"/>
        <v>5639.6288780366222</v>
      </c>
      <c r="D691" s="6">
        <f t="shared" si="158"/>
        <v>31805413.88198461</v>
      </c>
      <c r="E691" s="7">
        <f t="shared" si="159"/>
        <v>6248571.4285714282</v>
      </c>
      <c r="F691" s="7">
        <f t="shared" si="160"/>
        <v>124.97142857142855</v>
      </c>
      <c r="G691" s="7">
        <f t="shared" si="161"/>
        <v>25556842.453413181</v>
      </c>
      <c r="H691" s="6">
        <f t="shared" si="162"/>
        <v>5055.377577729796</v>
      </c>
      <c r="I691" s="7">
        <f t="shared" si="163"/>
        <v>-4.6750789919384816</v>
      </c>
      <c r="J691" s="7">
        <f t="shared" si="164"/>
        <v>-85.579612700462903</v>
      </c>
      <c r="K691" s="8">
        <f t="shared" si="153"/>
        <v>180.32447540334144</v>
      </c>
      <c r="L691" s="8">
        <f t="shared" si="154"/>
        <v>-7.5736279669403395</v>
      </c>
      <c r="M691" s="8">
        <f t="shared" si="151"/>
        <v>138.63897257474989</v>
      </c>
      <c r="N691" s="8">
        <f t="shared" si="155"/>
        <v>25.000000000000014</v>
      </c>
      <c r="O691" s="8">
        <f t="shared" si="156"/>
        <v>26.365710490038605</v>
      </c>
    </row>
    <row r="692" spans="1:15" x14ac:dyDescent="0.3">
      <c r="A692" s="5">
        <f t="shared" si="157"/>
        <v>6.8399999999998986</v>
      </c>
      <c r="B692" s="5">
        <f t="shared" si="152"/>
        <v>146.16584975177085</v>
      </c>
      <c r="C692" s="6">
        <f t="shared" si="150"/>
        <v>5637.8256332825895</v>
      </c>
      <c r="D692" s="6">
        <f t="shared" si="158"/>
        <v>31785077.871298231</v>
      </c>
      <c r="E692" s="7">
        <f t="shared" si="159"/>
        <v>6248571.4285714282</v>
      </c>
      <c r="F692" s="7">
        <f t="shared" si="160"/>
        <v>124.97142857142855</v>
      </c>
      <c r="G692" s="7">
        <f t="shared" si="161"/>
        <v>25536506.442726802</v>
      </c>
      <c r="H692" s="6">
        <f t="shared" si="162"/>
        <v>5053.3658528476644</v>
      </c>
      <c r="I692" s="7">
        <f t="shared" si="163"/>
        <v>-4.6767472142712352</v>
      </c>
      <c r="J692" s="7">
        <f t="shared" si="164"/>
        <v>-85.549085965834237</v>
      </c>
      <c r="K692" s="8">
        <f t="shared" si="153"/>
        <v>180.38882112189049</v>
      </c>
      <c r="L692" s="8">
        <f t="shared" si="154"/>
        <v>-7.5763304871193995</v>
      </c>
      <c r="M692" s="8">
        <f t="shared" si="151"/>
        <v>138.58951926465144</v>
      </c>
      <c r="N692" s="8">
        <f t="shared" si="155"/>
        <v>25.000000000000004</v>
      </c>
      <c r="O692" s="8">
        <f t="shared" si="156"/>
        <v>26.366685325001313</v>
      </c>
    </row>
    <row r="693" spans="1:15" x14ac:dyDescent="0.3">
      <c r="A693" s="5">
        <f t="shared" si="157"/>
        <v>6.8499999999998984</v>
      </c>
      <c r="B693" s="5">
        <f t="shared" si="152"/>
        <v>146.11908227962815</v>
      </c>
      <c r="C693" s="6">
        <f t="shared" si="150"/>
        <v>5636.0217450713708</v>
      </c>
      <c r="D693" s="6">
        <f t="shared" si="158"/>
        <v>31764741.110917341</v>
      </c>
      <c r="E693" s="7">
        <f t="shared" si="159"/>
        <v>6248571.4285714282</v>
      </c>
      <c r="F693" s="7">
        <f t="shared" si="160"/>
        <v>124.97142857142855</v>
      </c>
      <c r="G693" s="7">
        <f t="shared" si="161"/>
        <v>25516169.682345912</v>
      </c>
      <c r="H693" s="6">
        <f t="shared" si="162"/>
        <v>5051.3532525795417</v>
      </c>
      <c r="I693" s="7">
        <f t="shared" si="163"/>
        <v>-4.678417292458624</v>
      </c>
      <c r="J693" s="7">
        <f t="shared" si="164"/>
        <v>-85.518547077682229</v>
      </c>
      <c r="K693" s="8">
        <f t="shared" si="153"/>
        <v>180.45323842340406</v>
      </c>
      <c r="L693" s="8">
        <f t="shared" si="154"/>
        <v>-7.5790360137829698</v>
      </c>
      <c r="M693" s="8">
        <f t="shared" si="151"/>
        <v>138.54004626584518</v>
      </c>
      <c r="N693" s="8">
        <f t="shared" si="155"/>
        <v>24.999999999999989</v>
      </c>
      <c r="O693" s="8">
        <f t="shared" si="156"/>
        <v>26.367661592814734</v>
      </c>
    </row>
    <row r="694" spans="1:15" x14ac:dyDescent="0.3">
      <c r="A694" s="5">
        <f t="shared" si="157"/>
        <v>6.8599999999998982</v>
      </c>
      <c r="B694" s="5">
        <f t="shared" si="152"/>
        <v>146.07229810670356</v>
      </c>
      <c r="C694" s="6">
        <f t="shared" si="150"/>
        <v>5634.2172126871365</v>
      </c>
      <c r="D694" s="6">
        <f t="shared" si="158"/>
        <v>31744403.599740006</v>
      </c>
      <c r="E694" s="7">
        <f t="shared" si="159"/>
        <v>6248571.4285714282</v>
      </c>
      <c r="F694" s="7">
        <f t="shared" si="160"/>
        <v>124.97142857142855</v>
      </c>
      <c r="G694" s="7">
        <f t="shared" si="161"/>
        <v>25495832.171168577</v>
      </c>
      <c r="H694" s="6">
        <f t="shared" si="162"/>
        <v>5049.3397757695584</v>
      </c>
      <c r="I694" s="7">
        <f t="shared" si="163"/>
        <v>-4.6800892300217729</v>
      </c>
      <c r="J694" s="7">
        <f t="shared" si="164"/>
        <v>-85.487996021029801</v>
      </c>
      <c r="K694" s="8">
        <f t="shared" si="153"/>
        <v>180.51772744369694</v>
      </c>
      <c r="L694" s="8">
        <f t="shared" si="154"/>
        <v>-7.5817445526352705</v>
      </c>
      <c r="M694" s="8">
        <f t="shared" si="151"/>
        <v>138.4905535540683</v>
      </c>
      <c r="N694" s="8">
        <f t="shared" si="155"/>
        <v>25.000000000000014</v>
      </c>
      <c r="O694" s="8">
        <f t="shared" si="156"/>
        <v>26.368639296700362</v>
      </c>
    </row>
    <row r="695" spans="1:15" x14ac:dyDescent="0.3">
      <c r="A695" s="5">
        <f t="shared" si="157"/>
        <v>6.869999999999898</v>
      </c>
      <c r="B695" s="5">
        <f t="shared" si="152"/>
        <v>146.02549721440334</v>
      </c>
      <c r="C695" s="6">
        <f t="shared" si="150"/>
        <v>5632.4120354126999</v>
      </c>
      <c r="D695" s="6">
        <f t="shared" si="158"/>
        <v>31724065.336661834</v>
      </c>
      <c r="E695" s="7">
        <f t="shared" si="159"/>
        <v>6248571.4285714282</v>
      </c>
      <c r="F695" s="7">
        <f t="shared" si="160"/>
        <v>124.97142857142855</v>
      </c>
      <c r="G695" s="7">
        <f t="shared" si="161"/>
        <v>25475493.908090405</v>
      </c>
      <c r="H695" s="6">
        <f t="shared" si="162"/>
        <v>5047.3254212593038</v>
      </c>
      <c r="I695" s="7">
        <f t="shared" si="163"/>
        <v>-4.6817630304912825</v>
      </c>
      <c r="J695" s="7">
        <f t="shared" si="164"/>
        <v>-85.457432780868814</v>
      </c>
      <c r="K695" s="8">
        <f t="shared" si="153"/>
        <v>180.58228831894945</v>
      </c>
      <c r="L695" s="8">
        <f t="shared" si="154"/>
        <v>-7.5844561093958758</v>
      </c>
      <c r="M695" s="8">
        <f t="shared" si="151"/>
        <v>138.44104110500746</v>
      </c>
      <c r="N695" s="8">
        <f t="shared" si="155"/>
        <v>24.999999999999989</v>
      </c>
      <c r="O695" s="8">
        <f t="shared" si="156"/>
        <v>26.369618439889333</v>
      </c>
    </row>
    <row r="696" spans="1:15" x14ac:dyDescent="0.3">
      <c r="A696" s="5">
        <f t="shared" si="157"/>
        <v>6.8799999999998978</v>
      </c>
      <c r="B696" s="5">
        <f t="shared" si="152"/>
        <v>145.97867958409844</v>
      </c>
      <c r="C696" s="6">
        <f t="shared" si="150"/>
        <v>5630.6062125295111</v>
      </c>
      <c r="D696" s="6">
        <f t="shared" si="158"/>
        <v>31703726.320575926</v>
      </c>
      <c r="E696" s="7">
        <f t="shared" si="159"/>
        <v>6248571.4285714282</v>
      </c>
      <c r="F696" s="7">
        <f t="shared" si="160"/>
        <v>124.97142857142855</v>
      </c>
      <c r="G696" s="7">
        <f t="shared" si="161"/>
        <v>25455154.892004497</v>
      </c>
      <c r="H696" s="6">
        <f t="shared" si="162"/>
        <v>5045.3101878878069</v>
      </c>
      <c r="I696" s="7">
        <f t="shared" si="163"/>
        <v>-4.6834386974073281</v>
      </c>
      <c r="J696" s="7">
        <f t="shared" si="164"/>
        <v>-85.426857342159622</v>
      </c>
      <c r="K696" s="8">
        <f t="shared" si="153"/>
        <v>180.64692118571122</v>
      </c>
      <c r="L696" s="8">
        <f t="shared" si="154"/>
        <v>-7.5871706897998701</v>
      </c>
      <c r="M696" s="8">
        <f t="shared" si="151"/>
        <v>138.39150889429857</v>
      </c>
      <c r="N696" s="8">
        <f t="shared" si="155"/>
        <v>25.000000000000007</v>
      </c>
      <c r="O696" s="8">
        <f t="shared" si="156"/>
        <v>26.370599025622827</v>
      </c>
    </row>
    <row r="697" spans="1:15" x14ac:dyDescent="0.3">
      <c r="A697" s="5">
        <f t="shared" si="157"/>
        <v>6.8899999999998975</v>
      </c>
      <c r="B697" s="5">
        <f t="shared" si="152"/>
        <v>145.93184519712437</v>
      </c>
      <c r="C697" s="6">
        <f t="shared" si="150"/>
        <v>5628.7997433176542</v>
      </c>
      <c r="D697" s="6">
        <f t="shared" si="158"/>
        <v>31683386.550372891</v>
      </c>
      <c r="E697" s="7">
        <f t="shared" si="159"/>
        <v>6248571.4285714282</v>
      </c>
      <c r="F697" s="7">
        <f t="shared" si="160"/>
        <v>124.97142857142855</v>
      </c>
      <c r="G697" s="7">
        <f t="shared" si="161"/>
        <v>25434815.121801462</v>
      </c>
      <c r="H697" s="6">
        <f t="shared" si="162"/>
        <v>5043.2940744915386</v>
      </c>
      <c r="I697" s="7">
        <f t="shared" si="163"/>
        <v>-4.6851162343196275</v>
      </c>
      <c r="J697" s="7">
        <f t="shared" si="164"/>
        <v>-85.396269689831229</v>
      </c>
      <c r="K697" s="8">
        <f t="shared" si="153"/>
        <v>180.71162618089991</v>
      </c>
      <c r="L697" s="8">
        <f t="shared" si="154"/>
        <v>-7.5898882995977957</v>
      </c>
      <c r="M697" s="8">
        <f t="shared" si="151"/>
        <v>138.34195689752659</v>
      </c>
      <c r="N697" s="8">
        <f t="shared" si="155"/>
        <v>24.999999999999993</v>
      </c>
      <c r="O697" s="8">
        <f t="shared" si="156"/>
        <v>26.371581057151698</v>
      </c>
    </row>
    <row r="698" spans="1:15" x14ac:dyDescent="0.3">
      <c r="A698" s="5">
        <f t="shared" si="157"/>
        <v>6.8999999999998973</v>
      </c>
      <c r="B698" s="5">
        <f t="shared" si="152"/>
        <v>145.88499403478119</v>
      </c>
      <c r="C698" s="6">
        <f t="shared" si="150"/>
        <v>5626.9926270558453</v>
      </c>
      <c r="D698" s="6">
        <f t="shared" si="158"/>
        <v>31663046.024940845</v>
      </c>
      <c r="E698" s="7">
        <f t="shared" si="159"/>
        <v>6248571.4285714282</v>
      </c>
      <c r="F698" s="7">
        <f t="shared" si="160"/>
        <v>124.97142857142855</v>
      </c>
      <c r="G698" s="7">
        <f t="shared" si="161"/>
        <v>25414474.596369416</v>
      </c>
      <c r="H698" s="6">
        <f t="shared" si="162"/>
        <v>5041.2770799043983</v>
      </c>
      <c r="I698" s="7">
        <f t="shared" si="163"/>
        <v>-4.6867956447875283</v>
      </c>
      <c r="J698" s="7">
        <f t="shared" si="164"/>
        <v>-85.365669808781121</v>
      </c>
      <c r="K698" s="8">
        <f t="shared" si="153"/>
        <v>180.77640344180466</v>
      </c>
      <c r="L698" s="8">
        <f t="shared" si="154"/>
        <v>-7.5926089445557947</v>
      </c>
      <c r="M698" s="8">
        <f t="shared" si="151"/>
        <v>138.29238509022539</v>
      </c>
      <c r="N698" s="8">
        <f t="shared" si="155"/>
        <v>24.999999999999996</v>
      </c>
      <c r="O698" s="8">
        <f t="shared" si="156"/>
        <v>26.372564537736871</v>
      </c>
    </row>
    <row r="699" spans="1:15" x14ac:dyDescent="0.3">
      <c r="A699" s="5">
        <f t="shared" si="157"/>
        <v>6.9099999999998971</v>
      </c>
      <c r="B699" s="5">
        <f t="shared" si="152"/>
        <v>145.83812607833332</v>
      </c>
      <c r="C699" s="6">
        <f t="shared" si="150"/>
        <v>5625.1848630214281</v>
      </c>
      <c r="D699" s="6">
        <f t="shared" si="158"/>
        <v>31642704.743165404</v>
      </c>
      <c r="E699" s="7">
        <f t="shared" si="159"/>
        <v>6248571.4285714282</v>
      </c>
      <c r="F699" s="7">
        <f t="shared" si="160"/>
        <v>124.97142857142855</v>
      </c>
      <c r="G699" s="7">
        <f t="shared" si="161"/>
        <v>25394133.314593975</v>
      </c>
      <c r="H699" s="6">
        <f t="shared" si="162"/>
        <v>5039.2592029577099</v>
      </c>
      <c r="I699" s="7">
        <f t="shared" si="163"/>
        <v>-4.6884769323800048</v>
      </c>
      <c r="J699" s="7">
        <f t="shared" si="164"/>
        <v>-85.335057683875149</v>
      </c>
      <c r="K699" s="8">
        <f t="shared" si="153"/>
        <v>180.8412531060859</v>
      </c>
      <c r="L699" s="8">
        <f t="shared" si="154"/>
        <v>-7.5953326304556068</v>
      </c>
      <c r="M699" s="8">
        <f t="shared" si="151"/>
        <v>138.24279344787772</v>
      </c>
      <c r="N699" s="8">
        <f t="shared" si="155"/>
        <v>25.000000000000007</v>
      </c>
      <c r="O699" s="8">
        <f t="shared" si="156"/>
        <v>26.373549470649142</v>
      </c>
    </row>
    <row r="700" spans="1:15" x14ac:dyDescent="0.3">
      <c r="A700" s="5">
        <f t="shared" si="157"/>
        <v>6.9199999999998969</v>
      </c>
      <c r="B700" s="5">
        <f t="shared" si="152"/>
        <v>145.79124130900951</v>
      </c>
      <c r="C700" s="6">
        <f t="shared" si="150"/>
        <v>5623.3764504903666</v>
      </c>
      <c r="D700" s="6">
        <f t="shared" si="158"/>
        <v>31622362.703929633</v>
      </c>
      <c r="E700" s="7">
        <f t="shared" si="159"/>
        <v>6248571.4285714282</v>
      </c>
      <c r="F700" s="7">
        <f t="shared" si="160"/>
        <v>124.97142857142855</v>
      </c>
      <c r="G700" s="7">
        <f t="shared" si="161"/>
        <v>25373791.275358204</v>
      </c>
      <c r="H700" s="6">
        <f t="shared" si="162"/>
        <v>5037.240442480208</v>
      </c>
      <c r="I700" s="7">
        <f t="shared" si="163"/>
        <v>-4.6901601006757092</v>
      </c>
      <c r="J700" s="7">
        <f t="shared" si="164"/>
        <v>-85.304433299947462</v>
      </c>
      <c r="K700" s="8">
        <f t="shared" si="153"/>
        <v>180.90617531177733</v>
      </c>
      <c r="L700" s="8">
        <f t="shared" si="154"/>
        <v>-7.5980593630946469</v>
      </c>
      <c r="M700" s="8">
        <f t="shared" si="151"/>
        <v>138.19318194591486</v>
      </c>
      <c r="N700" s="8">
        <f t="shared" si="155"/>
        <v>25.000000000000014</v>
      </c>
      <c r="O700" s="8">
        <f t="shared" si="156"/>
        <v>26.374535859169306</v>
      </c>
    </row>
    <row r="701" spans="1:15" x14ac:dyDescent="0.3">
      <c r="A701" s="5">
        <f t="shared" si="157"/>
        <v>6.9299999999998967</v>
      </c>
      <c r="B701" s="5">
        <f t="shared" si="152"/>
        <v>145.74433970800274</v>
      </c>
      <c r="C701" s="6">
        <f t="shared" si="150"/>
        <v>5621.5673887372486</v>
      </c>
      <c r="D701" s="6">
        <f t="shared" si="158"/>
        <v>31602019.906114127</v>
      </c>
      <c r="E701" s="7">
        <f t="shared" si="159"/>
        <v>6248571.4285714282</v>
      </c>
      <c r="F701" s="7">
        <f t="shared" si="160"/>
        <v>124.97142857142855</v>
      </c>
      <c r="G701" s="7">
        <f t="shared" si="161"/>
        <v>25353448.477542698</v>
      </c>
      <c r="H701" s="6">
        <f t="shared" si="162"/>
        <v>5035.2207972980386</v>
      </c>
      <c r="I701" s="7">
        <f t="shared" si="163"/>
        <v>-4.6918451532629977</v>
      </c>
      <c r="J701" s="7">
        <f t="shared" si="164"/>
        <v>-85.273796641800431</v>
      </c>
      <c r="K701" s="8">
        <f t="shared" si="153"/>
        <v>180.97117019728705</v>
      </c>
      <c r="L701" s="8">
        <f t="shared" si="154"/>
        <v>-7.6007891482860552</v>
      </c>
      <c r="M701" s="8">
        <f t="shared" si="151"/>
        <v>138.14355055971669</v>
      </c>
      <c r="N701" s="8">
        <f t="shared" si="155"/>
        <v>25.000000000000018</v>
      </c>
      <c r="O701" s="8">
        <f t="shared" si="156"/>
        <v>26.375523706588186</v>
      </c>
    </row>
    <row r="702" spans="1:15" x14ac:dyDescent="0.3">
      <c r="A702" s="5">
        <f t="shared" si="157"/>
        <v>6.9399999999998965</v>
      </c>
      <c r="B702" s="5">
        <f t="shared" si="152"/>
        <v>145.69742125647011</v>
      </c>
      <c r="C702" s="6">
        <f t="shared" si="150"/>
        <v>5619.7576770352753</v>
      </c>
      <c r="D702" s="6">
        <f t="shared" si="158"/>
        <v>31581676.348596912</v>
      </c>
      <c r="E702" s="7">
        <f t="shared" si="159"/>
        <v>6248571.4285714282</v>
      </c>
      <c r="F702" s="7">
        <f t="shared" si="160"/>
        <v>124.97142857142855</v>
      </c>
      <c r="G702" s="7">
        <f t="shared" si="161"/>
        <v>25333104.920025483</v>
      </c>
      <c r="H702" s="6">
        <f t="shared" si="162"/>
        <v>5033.2002662347422</v>
      </c>
      <c r="I702" s="7">
        <f t="shared" si="163"/>
        <v>-4.6935320937399769</v>
      </c>
      <c r="J702" s="7">
        <f t="shared" si="164"/>
        <v>-85.243147694204552</v>
      </c>
      <c r="K702" s="8">
        <f t="shared" si="153"/>
        <v>181.03623790139909</v>
      </c>
      <c r="L702" s="8">
        <f t="shared" si="154"/>
        <v>-7.6035219918587611</v>
      </c>
      <c r="M702" s="8">
        <f t="shared" si="151"/>
        <v>138.09389926461134</v>
      </c>
      <c r="N702" s="8">
        <f t="shared" si="155"/>
        <v>25.000000000000018</v>
      </c>
      <c r="O702" s="8">
        <f t="shared" si="156"/>
        <v>26.376513016206683</v>
      </c>
    </row>
    <row r="703" spans="1:15" x14ac:dyDescent="0.3">
      <c r="A703" s="5">
        <f t="shared" si="157"/>
        <v>6.9499999999998963</v>
      </c>
      <c r="B703" s="5">
        <f t="shared" si="152"/>
        <v>145.65048593553271</v>
      </c>
      <c r="C703" s="6">
        <f t="shared" si="150"/>
        <v>5617.9473146562614</v>
      </c>
      <c r="D703" s="6">
        <f t="shared" si="158"/>
        <v>31561332.0302535</v>
      </c>
      <c r="E703" s="7">
        <f t="shared" si="159"/>
        <v>6248571.4285714282</v>
      </c>
      <c r="F703" s="7">
        <f t="shared" si="160"/>
        <v>124.97142857142855</v>
      </c>
      <c r="G703" s="7">
        <f t="shared" si="161"/>
        <v>25312760.601682071</v>
      </c>
      <c r="H703" s="6">
        <f t="shared" si="162"/>
        <v>5031.1788481112526</v>
      </c>
      <c r="I703" s="7">
        <f t="shared" si="163"/>
        <v>-4.6952209257145201</v>
      </c>
      <c r="J703" s="7">
        <f t="shared" si="164"/>
        <v>-85.212486441898278</v>
      </c>
      <c r="K703" s="8">
        <f t="shared" si="153"/>
        <v>181.10137856327432</v>
      </c>
      <c r="L703" s="8">
        <f t="shared" si="154"/>
        <v>-7.6062578996575212</v>
      </c>
      <c r="M703" s="8">
        <f t="shared" si="151"/>
        <v>138.04422803587519</v>
      </c>
      <c r="N703" s="8">
        <f t="shared" si="155"/>
        <v>25</v>
      </c>
      <c r="O703" s="8">
        <f t="shared" si="156"/>
        <v>26.377503791335773</v>
      </c>
    </row>
    <row r="704" spans="1:15" x14ac:dyDescent="0.3">
      <c r="A704" s="5">
        <f t="shared" si="157"/>
        <v>6.959999999999896</v>
      </c>
      <c r="B704" s="5">
        <f t="shared" si="152"/>
        <v>145.60353372627557</v>
      </c>
      <c r="C704" s="6">
        <f t="shared" si="150"/>
        <v>5616.1363008706285</v>
      </c>
      <c r="D704" s="6">
        <f t="shared" si="158"/>
        <v>31540986.949956827</v>
      </c>
      <c r="E704" s="7">
        <f t="shared" si="159"/>
        <v>6248571.4285714282</v>
      </c>
      <c r="F704" s="7">
        <f t="shared" si="160"/>
        <v>124.97142857142855</v>
      </c>
      <c r="G704" s="7">
        <f t="shared" si="161"/>
        <v>25292415.521385398</v>
      </c>
      <c r="H704" s="6">
        <f t="shared" si="162"/>
        <v>5029.1565417458814</v>
      </c>
      <c r="I704" s="7">
        <f t="shared" si="163"/>
        <v>-4.6969116528043324</v>
      </c>
      <c r="J704" s="7">
        <f t="shared" si="164"/>
        <v>-85.181812869588001</v>
      </c>
      <c r="K704" s="8">
        <f t="shared" si="153"/>
        <v>181.1665923224528</v>
      </c>
      <c r="L704" s="8">
        <f t="shared" si="154"/>
        <v>-7.6089968775430172</v>
      </c>
      <c r="M704" s="8">
        <f t="shared" si="151"/>
        <v>137.99453684873257</v>
      </c>
      <c r="N704" s="8">
        <f t="shared" si="155"/>
        <v>25.000000000000021</v>
      </c>
      <c r="O704" s="8">
        <f t="shared" si="156"/>
        <v>26.378496035296674</v>
      </c>
    </row>
    <row r="705" spans="1:15" x14ac:dyDescent="0.3">
      <c r="A705" s="5">
        <f t="shared" si="157"/>
        <v>6.9699999999998958</v>
      </c>
      <c r="B705" s="5">
        <f t="shared" si="152"/>
        <v>145.55656460974754</v>
      </c>
      <c r="C705" s="6">
        <f t="shared" si="150"/>
        <v>5614.3246349474048</v>
      </c>
      <c r="D705" s="6">
        <f t="shared" si="158"/>
        <v>31520641.106577311</v>
      </c>
      <c r="E705" s="7">
        <f t="shared" si="159"/>
        <v>6248571.4285714282</v>
      </c>
      <c r="F705" s="7">
        <f t="shared" si="160"/>
        <v>124.97142857142855</v>
      </c>
      <c r="G705" s="7">
        <f t="shared" si="161"/>
        <v>25272069.678005882</v>
      </c>
      <c r="H705" s="6">
        <f t="shared" si="162"/>
        <v>5027.1333459543202</v>
      </c>
      <c r="I705" s="7">
        <f t="shared" si="163"/>
        <v>-4.6986042786369371</v>
      </c>
      <c r="J705" s="7">
        <f t="shared" si="164"/>
        <v>-85.15112696194798</v>
      </c>
      <c r="K705" s="8">
        <f t="shared" si="153"/>
        <v>181.23187931885329</v>
      </c>
      <c r="L705" s="8">
        <f t="shared" si="154"/>
        <v>-7.6117389313918373</v>
      </c>
      <c r="M705" s="8">
        <f t="shared" si="151"/>
        <v>137.9448256783557</v>
      </c>
      <c r="N705" s="8">
        <f t="shared" si="155"/>
        <v>25.000000000000014</v>
      </c>
      <c r="O705" s="8">
        <f t="shared" si="156"/>
        <v>26.379489751420639</v>
      </c>
    </row>
    <row r="706" spans="1:15" x14ac:dyDescent="0.3">
      <c r="A706" s="5">
        <f t="shared" si="157"/>
        <v>6.9799999999998956</v>
      </c>
      <c r="B706" s="5">
        <f t="shared" si="152"/>
        <v>145.50957856696118</v>
      </c>
      <c r="C706" s="6">
        <f t="shared" si="150"/>
        <v>5612.5123161542169</v>
      </c>
      <c r="D706" s="6">
        <f t="shared" si="158"/>
        <v>31500294.498982772</v>
      </c>
      <c r="E706" s="7">
        <f t="shared" si="159"/>
        <v>6248571.4285714282</v>
      </c>
      <c r="F706" s="7">
        <f t="shared" si="160"/>
        <v>124.97142857142855</v>
      </c>
      <c r="G706" s="7">
        <f t="shared" si="161"/>
        <v>25251723.070411343</v>
      </c>
      <c r="H706" s="6">
        <f t="shared" si="162"/>
        <v>5025.1092595496211</v>
      </c>
      <c r="I706" s="7">
        <f t="shared" si="163"/>
        <v>-4.7002988068497613</v>
      </c>
      <c r="J706" s="7">
        <f t="shared" si="164"/>
        <v>-85.120428703620107</v>
      </c>
      <c r="K706" s="8">
        <f t="shared" si="153"/>
        <v>181.29723969277649</v>
      </c>
      <c r="L706" s="8">
        <f t="shared" si="154"/>
        <v>-7.6144840670966119</v>
      </c>
      <c r="M706" s="8">
        <f t="shared" si="151"/>
        <v>137.89509449986457</v>
      </c>
      <c r="N706" s="8">
        <f t="shared" si="155"/>
        <v>25.000000000000011</v>
      </c>
      <c r="O706" s="8">
        <f t="shared" si="156"/>
        <v>26.380484943049254</v>
      </c>
    </row>
    <row r="707" spans="1:15" x14ac:dyDescent="0.3">
      <c r="A707" s="5">
        <f t="shared" si="157"/>
        <v>6.9899999999998954</v>
      </c>
      <c r="B707" s="5">
        <f t="shared" si="152"/>
        <v>145.46257557889268</v>
      </c>
      <c r="C707" s="6">
        <f t="shared" si="150"/>
        <v>5610.6993437572892</v>
      </c>
      <c r="D707" s="6">
        <f t="shared" si="158"/>
        <v>31479947.126038477</v>
      </c>
      <c r="E707" s="7">
        <f t="shared" si="159"/>
        <v>6248571.4285714282</v>
      </c>
      <c r="F707" s="7">
        <f t="shared" si="160"/>
        <v>124.97142857142855</v>
      </c>
      <c r="G707" s="7">
        <f t="shared" si="161"/>
        <v>25231375.697467048</v>
      </c>
      <c r="H707" s="6">
        <f t="shared" si="162"/>
        <v>5023.0842813421959</v>
      </c>
      <c r="I707" s="7">
        <f t="shared" si="163"/>
        <v>-4.7019952410901391</v>
      </c>
      <c r="J707" s="7">
        <f t="shared" si="164"/>
        <v>-85.089718079213995</v>
      </c>
      <c r="K707" s="8">
        <f t="shared" si="153"/>
        <v>181.36267358490537</v>
      </c>
      <c r="L707" s="8">
        <f t="shared" si="154"/>
        <v>-7.617232290566025</v>
      </c>
      <c r="M707" s="8">
        <f t="shared" si="151"/>
        <v>137.84534328832666</v>
      </c>
      <c r="N707" s="8">
        <f t="shared" si="155"/>
        <v>25.000000000000014</v>
      </c>
      <c r="O707" s="8">
        <f t="shared" si="156"/>
        <v>26.381481613534341</v>
      </c>
    </row>
    <row r="708" spans="1:15" x14ac:dyDescent="0.3">
      <c r="A708" s="5">
        <f t="shared" si="157"/>
        <v>6.9999999999998952</v>
      </c>
      <c r="B708" s="5">
        <f t="shared" si="152"/>
        <v>145.41555562648179</v>
      </c>
      <c r="C708" s="6">
        <f t="shared" si="150"/>
        <v>5608.8857170214405</v>
      </c>
      <c r="D708" s="6">
        <f t="shared" si="158"/>
        <v>31459598.986607119</v>
      </c>
      <c r="E708" s="7">
        <f t="shared" si="159"/>
        <v>6248571.4285714282</v>
      </c>
      <c r="F708" s="7">
        <f t="shared" si="160"/>
        <v>124.97142857142855</v>
      </c>
      <c r="G708" s="7">
        <f t="shared" si="161"/>
        <v>25211027.55803569</v>
      </c>
      <c r="H708" s="6">
        <f t="shared" si="162"/>
        <v>5021.0584101398072</v>
      </c>
      <c r="I708" s="7">
        <f t="shared" si="163"/>
        <v>-4.7036935850153574</v>
      </c>
      <c r="J708" s="7">
        <f t="shared" si="164"/>
        <v>-85.058995073306761</v>
      </c>
      <c r="K708" s="8">
        <f t="shared" si="153"/>
        <v>181.42818113630662</v>
      </c>
      <c r="L708" s="8">
        <f t="shared" si="154"/>
        <v>-7.619983607724877</v>
      </c>
      <c r="M708" s="8">
        <f t="shared" si="151"/>
        <v>137.7955720187569</v>
      </c>
      <c r="N708" s="8">
        <f t="shared" si="155"/>
        <v>25.000000000000011</v>
      </c>
      <c r="O708" s="8">
        <f t="shared" si="156"/>
        <v>26.382479766238006</v>
      </c>
    </row>
    <row r="709" spans="1:15" x14ac:dyDescent="0.3">
      <c r="A709" s="5">
        <f t="shared" si="157"/>
        <v>7.009999999999895</v>
      </c>
      <c r="B709" s="5">
        <f t="shared" si="152"/>
        <v>145.36851869063165</v>
      </c>
      <c r="C709" s="6">
        <f t="shared" si="150"/>
        <v>5607.0714352100777</v>
      </c>
      <c r="D709" s="6">
        <f t="shared" si="158"/>
        <v>31439250.079548799</v>
      </c>
      <c r="E709" s="7">
        <f t="shared" si="159"/>
        <v>6248571.4285714282</v>
      </c>
      <c r="F709" s="7">
        <f t="shared" si="160"/>
        <v>124.97142857142855</v>
      </c>
      <c r="G709" s="7">
        <f t="shared" si="161"/>
        <v>25190678.650977369</v>
      </c>
      <c r="H709" s="6">
        <f t="shared" si="162"/>
        <v>5019.031644747557</v>
      </c>
      <c r="I709" s="7">
        <f t="shared" si="163"/>
        <v>-4.7053938422926898</v>
      </c>
      <c r="J709" s="7">
        <f t="shared" si="164"/>
        <v>-85.028259670442907</v>
      </c>
      <c r="K709" s="8">
        <f t="shared" si="153"/>
        <v>181.49376248843231</v>
      </c>
      <c r="L709" s="8">
        <f t="shared" si="154"/>
        <v>-7.6227380245141561</v>
      </c>
      <c r="M709" s="8">
        <f t="shared" si="151"/>
        <v>137.7457806661175</v>
      </c>
      <c r="N709" s="8">
        <f t="shared" si="155"/>
        <v>25.000000000000021</v>
      </c>
      <c r="O709" s="8">
        <f t="shared" si="156"/>
        <v>26.383479404532732</v>
      </c>
    </row>
    <row r="710" spans="1:15" x14ac:dyDescent="0.3">
      <c r="A710" s="5">
        <f t="shared" si="157"/>
        <v>7.0199999999998948</v>
      </c>
      <c r="B710" s="5">
        <f t="shared" si="152"/>
        <v>145.32146475220873</v>
      </c>
      <c r="C710" s="6">
        <f t="shared" si="150"/>
        <v>5605.2564975851938</v>
      </c>
      <c r="D710" s="6">
        <f t="shared" si="158"/>
        <v>31418900.403721035</v>
      </c>
      <c r="E710" s="7">
        <f t="shared" si="159"/>
        <v>6248571.4285714282</v>
      </c>
      <c r="F710" s="7">
        <f t="shared" si="160"/>
        <v>124.97142857142855</v>
      </c>
      <c r="G710" s="7">
        <f t="shared" si="161"/>
        <v>25170328.975149605</v>
      </c>
      <c r="H710" s="6">
        <f t="shared" si="162"/>
        <v>5017.003983967883</v>
      </c>
      <c r="I710" s="7">
        <f t="shared" si="163"/>
        <v>-4.707096016599424</v>
      </c>
      <c r="J710" s="7">
        <f t="shared" si="164"/>
        <v>-84.997511855134363</v>
      </c>
      <c r="K710" s="8">
        <f t="shared" si="153"/>
        <v>181.55941778312064</v>
      </c>
      <c r="L710" s="8">
        <f t="shared" si="154"/>
        <v>-7.6254955468910657</v>
      </c>
      <c r="M710" s="8">
        <f t="shared" si="151"/>
        <v>137.69596920531765</v>
      </c>
      <c r="N710" s="8">
        <f t="shared" si="155"/>
        <v>24.999999999999982</v>
      </c>
      <c r="O710" s="8">
        <f t="shared" si="156"/>
        <v>26.384480531801302</v>
      </c>
    </row>
    <row r="711" spans="1:15" x14ac:dyDescent="0.3">
      <c r="A711" s="5">
        <f t="shared" si="157"/>
        <v>7.0299999999998946</v>
      </c>
      <c r="B711" s="5">
        <f t="shared" si="152"/>
        <v>145.27439379204273</v>
      </c>
      <c r="C711" s="6">
        <f t="shared" si="150"/>
        <v>5603.4409034073624</v>
      </c>
      <c r="D711" s="6">
        <f t="shared" si="158"/>
        <v>31398549.957978718</v>
      </c>
      <c r="E711" s="7">
        <f t="shared" si="159"/>
        <v>6248571.4285714282</v>
      </c>
      <c r="F711" s="7">
        <f t="shared" si="160"/>
        <v>124.97142857142855</v>
      </c>
      <c r="G711" s="7">
        <f t="shared" si="161"/>
        <v>25149978.529407289</v>
      </c>
      <c r="H711" s="6">
        <f t="shared" si="162"/>
        <v>5014.9754266005421</v>
      </c>
      <c r="I711" s="7">
        <f t="shared" si="163"/>
        <v>-4.708800111622935</v>
      </c>
      <c r="J711" s="7">
        <f t="shared" si="164"/>
        <v>-84.966751611860261</v>
      </c>
      <c r="K711" s="8">
        <f t="shared" si="153"/>
        <v>181.62514716259892</v>
      </c>
      <c r="L711" s="8">
        <f t="shared" si="154"/>
        <v>-7.6282561808291538</v>
      </c>
      <c r="M711" s="8">
        <f t="shared" si="151"/>
        <v>137.64613761121359</v>
      </c>
      <c r="N711" s="8">
        <f t="shared" si="155"/>
        <v>25.000000000000011</v>
      </c>
      <c r="O711" s="8">
        <f t="shared" si="156"/>
        <v>26.385483151437107</v>
      </c>
    </row>
    <row r="712" spans="1:15" x14ac:dyDescent="0.3">
      <c r="A712" s="5">
        <f t="shared" si="157"/>
        <v>7.0399999999998943</v>
      </c>
      <c r="B712" s="5">
        <f t="shared" si="152"/>
        <v>145.22730579092649</v>
      </c>
      <c r="C712" s="6">
        <f t="shared" ref="C712:C775" si="165">$B$1*B712</f>
        <v>5601.6246519357355</v>
      </c>
      <c r="D712" s="6">
        <f t="shared" si="158"/>
        <v>31378198.74117415</v>
      </c>
      <c r="E712" s="7">
        <f t="shared" si="159"/>
        <v>6248571.4285714282</v>
      </c>
      <c r="F712" s="7">
        <f t="shared" si="160"/>
        <v>124.97142857142855</v>
      </c>
      <c r="G712" s="7">
        <f t="shared" si="161"/>
        <v>25129627.312602721</v>
      </c>
      <c r="H712" s="6">
        <f t="shared" si="162"/>
        <v>5012.945971442613</v>
      </c>
      <c r="I712" s="7">
        <f t="shared" si="163"/>
        <v>-4.7105061310606526</v>
      </c>
      <c r="J712" s="7">
        <f t="shared" si="164"/>
        <v>-84.935978925066834</v>
      </c>
      <c r="K712" s="8">
        <f t="shared" si="153"/>
        <v>181.6909507694823</v>
      </c>
      <c r="L712" s="8">
        <f t="shared" si="154"/>
        <v>-7.6310199323182557</v>
      </c>
      <c r="M712" s="8">
        <f t="shared" ref="M712:M775" si="166">B712+L712</f>
        <v>137.59628585860824</v>
      </c>
      <c r="N712" s="8">
        <f t="shared" si="155"/>
        <v>25.000000000000004</v>
      </c>
      <c r="O712" s="8">
        <f t="shared" si="156"/>
        <v>26.38648726684378</v>
      </c>
    </row>
    <row r="713" spans="1:15" x14ac:dyDescent="0.3">
      <c r="A713" s="5">
        <f t="shared" si="157"/>
        <v>7.0499999999998941</v>
      </c>
      <c r="B713" s="5">
        <f t="shared" ref="B713:B776" si="167">I712*$B$5+B712</f>
        <v>145.18020072961588</v>
      </c>
      <c r="C713" s="6">
        <f t="shared" si="165"/>
        <v>5599.8077424280409</v>
      </c>
      <c r="D713" s="6">
        <f t="shared" si="158"/>
        <v>31357846.752157032</v>
      </c>
      <c r="E713" s="7">
        <f t="shared" si="159"/>
        <v>6248571.4285714282</v>
      </c>
      <c r="F713" s="7">
        <f t="shared" si="160"/>
        <v>124.97142857142855</v>
      </c>
      <c r="G713" s="7">
        <f t="shared" si="161"/>
        <v>25109275.323585603</v>
      </c>
      <c r="H713" s="6">
        <f t="shared" si="162"/>
        <v>5010.9156172884814</v>
      </c>
      <c r="I713" s="7">
        <f t="shared" si="163"/>
        <v>-4.7122140786201623</v>
      </c>
      <c r="J713" s="7">
        <f t="shared" si="164"/>
        <v>-84.905193779167419</v>
      </c>
      <c r="K713" s="8">
        <f t="shared" ref="K713:K776" si="168">-$B$1*I713</f>
        <v>181.75682874677767</v>
      </c>
      <c r="L713" s="8">
        <f t="shared" ref="L713:L776" si="169">-$B$2*K713</f>
        <v>-7.6337868073646611</v>
      </c>
      <c r="M713" s="8">
        <f t="shared" si="166"/>
        <v>137.54641392225122</v>
      </c>
      <c r="N713" s="8">
        <f t="shared" ref="N713:N776" si="170">K713*M713/1000</f>
        <v>25.000000000000011</v>
      </c>
      <c r="O713" s="8">
        <f t="shared" ref="O713:O776" si="171">B713*K713/1000</f>
        <v>26.387492881435598</v>
      </c>
    </row>
    <row r="714" spans="1:15" x14ac:dyDescent="0.3">
      <c r="A714" s="5">
        <f t="shared" ref="A714:A777" si="172">A713+$B$5</f>
        <v>7.0599999999998939</v>
      </c>
      <c r="B714" s="5">
        <f t="shared" si="167"/>
        <v>145.13307858882968</v>
      </c>
      <c r="C714" s="6">
        <f t="shared" si="165"/>
        <v>5597.9901741405729</v>
      </c>
      <c r="D714" s="6">
        <f t="shared" ref="D714:D777" si="173">POWER(C714,2)</f>
        <v>31337493.989774402</v>
      </c>
      <c r="E714" s="7">
        <f t="shared" ref="E714:E777" si="174">4*$B$2*$B$3*POWER($B$1,2)</f>
        <v>6248571.4285714282</v>
      </c>
      <c r="F714" s="7">
        <f t="shared" ref="F714:F777" si="175">POWER($B$1,2)*2*$B$2</f>
        <v>124.97142857142855</v>
      </c>
      <c r="G714" s="7">
        <f t="shared" ref="G714:G777" si="176">D714-E714</f>
        <v>25088922.561202973</v>
      </c>
      <c r="H714" s="6">
        <f t="shared" ref="H714:H777" si="177">SQRT(G714)</f>
        <v>5008.8843629298308</v>
      </c>
      <c r="I714" s="7">
        <f t="shared" ref="I714:I777" si="178">(-C714+H714)/F714</f>
        <v>-4.7139239580191994</v>
      </c>
      <c r="J714" s="7">
        <f t="shared" ref="J714:J777" si="179">(-C714-H714)/F714</f>
        <v>-84.874396158542339</v>
      </c>
      <c r="K714" s="8">
        <f t="shared" si="168"/>
        <v>181.82278123788339</v>
      </c>
      <c r="L714" s="8">
        <f t="shared" si="169"/>
        <v>-7.6365568119911016</v>
      </c>
      <c r="M714" s="8">
        <f t="shared" si="166"/>
        <v>137.49652177683856</v>
      </c>
      <c r="N714" s="8">
        <f t="shared" si="170"/>
        <v>24.999999999999989</v>
      </c>
      <c r="O714" s="8">
        <f t="shared" si="171"/>
        <v>26.388499998637315</v>
      </c>
    </row>
    <row r="715" spans="1:15" x14ac:dyDescent="0.3">
      <c r="A715" s="5">
        <f t="shared" si="172"/>
        <v>7.0699999999998937</v>
      </c>
      <c r="B715" s="5">
        <f t="shared" si="167"/>
        <v>145.08593934924949</v>
      </c>
      <c r="C715" s="6">
        <f t="shared" si="165"/>
        <v>5596.1719463281943</v>
      </c>
      <c r="D715" s="6">
        <f t="shared" si="173"/>
        <v>31317140.452870689</v>
      </c>
      <c r="E715" s="7">
        <f t="shared" si="174"/>
        <v>6248571.4285714282</v>
      </c>
      <c r="F715" s="7">
        <f t="shared" si="175"/>
        <v>124.97142857142855</v>
      </c>
      <c r="G715" s="7">
        <f t="shared" si="176"/>
        <v>25068569.02429926</v>
      </c>
      <c r="H715" s="6">
        <f t="shared" si="177"/>
        <v>5006.8522071556354</v>
      </c>
      <c r="I715" s="7">
        <f t="shared" si="178"/>
        <v>-4.7156357729857259</v>
      </c>
      <c r="J715" s="7">
        <f t="shared" si="179"/>
        <v>-84.843586047538665</v>
      </c>
      <c r="K715" s="8">
        <f t="shared" si="168"/>
        <v>181.88880838659227</v>
      </c>
      <c r="L715" s="8">
        <f t="shared" si="169"/>
        <v>-7.6393299522368743</v>
      </c>
      <c r="M715" s="8">
        <f t="shared" si="166"/>
        <v>137.44660939701262</v>
      </c>
      <c r="N715" s="8">
        <f t="shared" si="170"/>
        <v>25.000000000000021</v>
      </c>
      <c r="O715" s="8">
        <f t="shared" si="171"/>
        <v>26.389508621884385</v>
      </c>
    </row>
    <row r="716" spans="1:15" x14ac:dyDescent="0.3">
      <c r="A716" s="5">
        <f t="shared" si="172"/>
        <v>7.0799999999998935</v>
      </c>
      <c r="B716" s="5">
        <f t="shared" si="167"/>
        <v>145.03878299151964</v>
      </c>
      <c r="C716" s="6">
        <f t="shared" si="165"/>
        <v>5594.3530582443291</v>
      </c>
      <c r="D716" s="6">
        <f t="shared" si="173"/>
        <v>31296786.140287679</v>
      </c>
      <c r="E716" s="7">
        <f t="shared" si="174"/>
        <v>6248571.4285714282</v>
      </c>
      <c r="F716" s="7">
        <f t="shared" si="175"/>
        <v>124.97142857142855</v>
      </c>
      <c r="G716" s="7">
        <f t="shared" si="176"/>
        <v>25048214.71171625</v>
      </c>
      <c r="H716" s="6">
        <f t="shared" si="177"/>
        <v>5004.8191487521553</v>
      </c>
      <c r="I716" s="7">
        <f t="shared" si="178"/>
        <v>-4.7173495272579071</v>
      </c>
      <c r="J716" s="7">
        <f t="shared" si="179"/>
        <v>-84.812763430470298</v>
      </c>
      <c r="K716" s="8">
        <f t="shared" si="168"/>
        <v>181.95491033709069</v>
      </c>
      <c r="L716" s="8">
        <f t="shared" si="169"/>
        <v>-7.6421062341578088</v>
      </c>
      <c r="M716" s="8">
        <f t="shared" si="166"/>
        <v>137.39667675736183</v>
      </c>
      <c r="N716" s="8">
        <f t="shared" si="170"/>
        <v>25.000000000000004</v>
      </c>
      <c r="O716" s="8">
        <f t="shared" si="171"/>
        <v>26.390518754622711</v>
      </c>
    </row>
    <row r="717" spans="1:15" x14ac:dyDescent="0.3">
      <c r="A717" s="5">
        <f t="shared" si="172"/>
        <v>7.0899999999998933</v>
      </c>
      <c r="B717" s="5">
        <f t="shared" si="167"/>
        <v>144.99160949624707</v>
      </c>
      <c r="C717" s="6">
        <f t="shared" si="165"/>
        <v>5592.5335091409579</v>
      </c>
      <c r="D717" s="6">
        <f t="shared" si="173"/>
        <v>31276431.050864477</v>
      </c>
      <c r="E717" s="7">
        <f t="shared" si="174"/>
        <v>6248571.4285714282</v>
      </c>
      <c r="F717" s="7">
        <f t="shared" si="175"/>
        <v>124.97142857142855</v>
      </c>
      <c r="G717" s="7">
        <f t="shared" si="176"/>
        <v>25027859.622293048</v>
      </c>
      <c r="H717" s="6">
        <f t="shared" si="177"/>
        <v>5002.7851865029188</v>
      </c>
      <c r="I717" s="7">
        <f t="shared" si="178"/>
        <v>-4.7190652245842184</v>
      </c>
      <c r="J717" s="7">
        <f t="shared" si="179"/>
        <v>-84.781928291617689</v>
      </c>
      <c r="K717" s="8">
        <f t="shared" si="168"/>
        <v>182.0210872339627</v>
      </c>
      <c r="L717" s="8">
        <f t="shared" si="169"/>
        <v>-7.6448856638264324</v>
      </c>
      <c r="M717" s="8">
        <f t="shared" si="166"/>
        <v>137.34672383242062</v>
      </c>
      <c r="N717" s="8">
        <f t="shared" si="170"/>
        <v>25.000000000000018</v>
      </c>
      <c r="O717" s="8">
        <f t="shared" si="171"/>
        <v>26.391530400309044</v>
      </c>
    </row>
    <row r="718" spans="1:15" x14ac:dyDescent="0.3">
      <c r="A718" s="5">
        <f t="shared" si="172"/>
        <v>7.0999999999998931</v>
      </c>
      <c r="B718" s="5">
        <f t="shared" si="167"/>
        <v>144.94441884400123</v>
      </c>
      <c r="C718" s="6">
        <f t="shared" si="165"/>
        <v>5590.7132982686189</v>
      </c>
      <c r="D718" s="6">
        <f t="shared" si="173"/>
        <v>31256075.183437578</v>
      </c>
      <c r="E718" s="7">
        <f t="shared" si="174"/>
        <v>6248571.4285714282</v>
      </c>
      <c r="F718" s="7">
        <f t="shared" si="175"/>
        <v>124.97142857142855</v>
      </c>
      <c r="G718" s="7">
        <f t="shared" si="176"/>
        <v>25007503.754866149</v>
      </c>
      <c r="H718" s="6">
        <f t="shared" si="177"/>
        <v>5000.7503191887263</v>
      </c>
      <c r="I718" s="7">
        <f t="shared" si="178"/>
        <v>-4.7207828687234219</v>
      </c>
      <c r="J718" s="7">
        <f t="shared" si="179"/>
        <v>-84.751080615227977</v>
      </c>
      <c r="K718" s="8">
        <f t="shared" si="168"/>
        <v>182.08733922218912</v>
      </c>
      <c r="L718" s="8">
        <f t="shared" si="169"/>
        <v>-7.6476682473319419</v>
      </c>
      <c r="M718" s="8">
        <f t="shared" si="166"/>
        <v>137.29675059666928</v>
      </c>
      <c r="N718" s="8">
        <f t="shared" si="170"/>
        <v>25.000000000000014</v>
      </c>
      <c r="O718" s="8">
        <f t="shared" si="171"/>
        <v>26.392543562410712</v>
      </c>
    </row>
    <row r="719" spans="1:15" x14ac:dyDescent="0.3">
      <c r="A719" s="5">
        <f t="shared" si="172"/>
        <v>7.1099999999998929</v>
      </c>
      <c r="B719" s="5">
        <f t="shared" si="167"/>
        <v>144.89721101531401</v>
      </c>
      <c r="C719" s="6">
        <f t="shared" si="165"/>
        <v>5588.8924248763969</v>
      </c>
      <c r="D719" s="6">
        <f t="shared" si="173"/>
        <v>31235718.536840774</v>
      </c>
      <c r="E719" s="7">
        <f t="shared" si="174"/>
        <v>6248571.4285714282</v>
      </c>
      <c r="F719" s="7">
        <f t="shared" si="175"/>
        <v>124.97142857142855</v>
      </c>
      <c r="G719" s="7">
        <f t="shared" si="176"/>
        <v>24987147.108269345</v>
      </c>
      <c r="H719" s="6">
        <f t="shared" si="177"/>
        <v>4998.7145455876298</v>
      </c>
      <c r="I719" s="7">
        <f t="shared" si="178"/>
        <v>-4.7225024634446395</v>
      </c>
      <c r="J719" s="7">
        <f t="shared" si="179"/>
        <v>-84.720220385514637</v>
      </c>
      <c r="K719" s="8">
        <f t="shared" si="168"/>
        <v>182.15366644715039</v>
      </c>
      <c r="L719" s="8">
        <f t="shared" si="169"/>
        <v>-7.6504539907803153</v>
      </c>
      <c r="M719" s="8">
        <f t="shared" si="166"/>
        <v>137.24675702453371</v>
      </c>
      <c r="N719" s="8">
        <f t="shared" si="170"/>
        <v>25.000000000000007</v>
      </c>
      <c r="O719" s="8">
        <f t="shared" si="171"/>
        <v>26.393558244405874</v>
      </c>
    </row>
    <row r="720" spans="1:15" x14ac:dyDescent="0.3">
      <c r="A720" s="5">
        <f t="shared" si="172"/>
        <v>7.1199999999998926</v>
      </c>
      <c r="B720" s="5">
        <f t="shared" si="167"/>
        <v>144.84998599067956</v>
      </c>
      <c r="C720" s="6">
        <f t="shared" si="165"/>
        <v>5587.0708882119252</v>
      </c>
      <c r="D720" s="6">
        <f t="shared" si="173"/>
        <v>31215361.109905191</v>
      </c>
      <c r="E720" s="7">
        <f t="shared" si="174"/>
        <v>6248571.4285714282</v>
      </c>
      <c r="F720" s="7">
        <f t="shared" si="175"/>
        <v>124.97142857142855</v>
      </c>
      <c r="G720" s="7">
        <f t="shared" si="176"/>
        <v>24966789.681333762</v>
      </c>
      <c r="H720" s="6">
        <f t="shared" si="177"/>
        <v>4996.6778644749311</v>
      </c>
      <c r="I720" s="7">
        <f t="shared" si="178"/>
        <v>-4.7242240125273884</v>
      </c>
      <c r="J720" s="7">
        <f t="shared" si="179"/>
        <v>-84.689347586657533</v>
      </c>
      <c r="K720" s="8">
        <f t="shared" si="168"/>
        <v>182.22006905462783</v>
      </c>
      <c r="L720" s="8">
        <f t="shared" si="169"/>
        <v>-7.6532429002943676</v>
      </c>
      <c r="M720" s="8">
        <f t="shared" si="166"/>
        <v>137.19674309038518</v>
      </c>
      <c r="N720" s="8">
        <f t="shared" si="170"/>
        <v>25.000000000000021</v>
      </c>
      <c r="O720" s="8">
        <f t="shared" si="171"/>
        <v>26.394574449783505</v>
      </c>
    </row>
    <row r="721" spans="1:15" x14ac:dyDescent="0.3">
      <c r="A721" s="5">
        <f t="shared" si="172"/>
        <v>7.1299999999998924</v>
      </c>
      <c r="B721" s="5">
        <f t="shared" si="167"/>
        <v>144.80274375055427</v>
      </c>
      <c r="C721" s="6">
        <f t="shared" si="165"/>
        <v>5585.248687521379</v>
      </c>
      <c r="D721" s="6">
        <f t="shared" si="173"/>
        <v>31195002.901459288</v>
      </c>
      <c r="E721" s="7">
        <f t="shared" si="174"/>
        <v>6248571.4285714282</v>
      </c>
      <c r="F721" s="7">
        <f t="shared" si="175"/>
        <v>124.97142857142855</v>
      </c>
      <c r="G721" s="7">
        <f t="shared" si="176"/>
        <v>24946431.472887859</v>
      </c>
      <c r="H721" s="6">
        <f t="shared" si="177"/>
        <v>4994.6402746231743</v>
      </c>
      <c r="I721" s="7">
        <f t="shared" si="178"/>
        <v>-4.7259475197615846</v>
      </c>
      <c r="J721" s="7">
        <f t="shared" si="179"/>
        <v>-84.658462202802795</v>
      </c>
      <c r="K721" s="8">
        <f t="shared" si="168"/>
        <v>182.28654719080396</v>
      </c>
      <c r="L721" s="8">
        <f t="shared" si="169"/>
        <v>-7.6560349820137654</v>
      </c>
      <c r="M721" s="8">
        <f t="shared" si="166"/>
        <v>137.14670876854049</v>
      </c>
      <c r="N721" s="8">
        <f t="shared" si="170"/>
        <v>25.000000000000004</v>
      </c>
      <c r="O721" s="8">
        <f t="shared" si="171"/>
        <v>26.395592182043302</v>
      </c>
    </row>
    <row r="722" spans="1:15" x14ac:dyDescent="0.3">
      <c r="A722" s="5">
        <f t="shared" si="172"/>
        <v>7.1399999999998922</v>
      </c>
      <c r="B722" s="5">
        <f t="shared" si="167"/>
        <v>144.75548427535665</v>
      </c>
      <c r="C722" s="6">
        <f t="shared" si="165"/>
        <v>5583.4258220494703</v>
      </c>
      <c r="D722" s="6">
        <f t="shared" si="173"/>
        <v>31174643.910328802</v>
      </c>
      <c r="E722" s="7">
        <f t="shared" si="174"/>
        <v>6248571.4285714282</v>
      </c>
      <c r="F722" s="7">
        <f t="shared" si="175"/>
        <v>124.97142857142855</v>
      </c>
      <c r="G722" s="7">
        <f t="shared" si="176"/>
        <v>24926072.481757373</v>
      </c>
      <c r="H722" s="6">
        <f t="shared" si="177"/>
        <v>4992.6017748021295</v>
      </c>
      <c r="I722" s="7">
        <f t="shared" si="178"/>
        <v>-4.7276729889476297</v>
      </c>
      <c r="J722" s="7">
        <f t="shared" si="179"/>
        <v>-84.627564218062659</v>
      </c>
      <c r="K722" s="8">
        <f t="shared" si="168"/>
        <v>182.3531010022657</v>
      </c>
      <c r="L722" s="8">
        <f t="shared" si="169"/>
        <v>-7.6588302420951591</v>
      </c>
      <c r="M722" s="8">
        <f t="shared" si="166"/>
        <v>137.0966540332615</v>
      </c>
      <c r="N722" s="8">
        <f t="shared" si="170"/>
        <v>25.000000000000011</v>
      </c>
      <c r="O722" s="8">
        <f t="shared" si="171"/>
        <v>26.396611444695996</v>
      </c>
    </row>
    <row r="723" spans="1:15" x14ac:dyDescent="0.3">
      <c r="A723" s="5">
        <f t="shared" si="172"/>
        <v>7.149999999999892</v>
      </c>
      <c r="B723" s="5">
        <f t="shared" si="167"/>
        <v>144.70820754546716</v>
      </c>
      <c r="C723" s="6">
        <f t="shared" si="165"/>
        <v>5581.6022910394477</v>
      </c>
      <c r="D723" s="6">
        <f t="shared" si="173"/>
        <v>31154284.135336813</v>
      </c>
      <c r="E723" s="7">
        <f t="shared" si="174"/>
        <v>6248571.4285714282</v>
      </c>
      <c r="F723" s="7">
        <f t="shared" si="175"/>
        <v>124.97142857142855</v>
      </c>
      <c r="G723" s="7">
        <f t="shared" si="176"/>
        <v>24905712.706765383</v>
      </c>
      <c r="H723" s="6">
        <f t="shared" si="177"/>
        <v>4990.562363778794</v>
      </c>
      <c r="I723" s="7">
        <f t="shared" si="178"/>
        <v>-4.7294004238964069</v>
      </c>
      <c r="J723" s="7">
        <f t="shared" si="179"/>
        <v>-84.596653616515439</v>
      </c>
      <c r="K723" s="8">
        <f t="shared" si="168"/>
        <v>182.41973063600426</v>
      </c>
      <c r="L723" s="8">
        <f t="shared" si="169"/>
        <v>-7.6616286867121781</v>
      </c>
      <c r="M723" s="8">
        <f t="shared" si="166"/>
        <v>137.04657885875497</v>
      </c>
      <c r="N723" s="8">
        <f t="shared" si="170"/>
        <v>24.999999999999996</v>
      </c>
      <c r="O723" s="8">
        <f t="shared" si="171"/>
        <v>26.397632241263121</v>
      </c>
    </row>
    <row r="724" spans="1:15" x14ac:dyDescent="0.3">
      <c r="A724" s="5">
        <f t="shared" si="172"/>
        <v>7.1599999999998918</v>
      </c>
      <c r="B724" s="5">
        <f t="shared" si="167"/>
        <v>144.66091354122818</v>
      </c>
      <c r="C724" s="6">
        <f t="shared" si="165"/>
        <v>5579.7780937330872</v>
      </c>
      <c r="D724" s="6">
        <f t="shared" si="173"/>
        <v>31133923.575303644</v>
      </c>
      <c r="E724" s="7">
        <f t="shared" si="174"/>
        <v>6248571.4285714282</v>
      </c>
      <c r="F724" s="7">
        <f t="shared" si="175"/>
        <v>124.97142857142855</v>
      </c>
      <c r="G724" s="7">
        <f t="shared" si="176"/>
        <v>24885352.146732215</v>
      </c>
      <c r="H724" s="6">
        <f t="shared" si="177"/>
        <v>4988.5220403173735</v>
      </c>
      <c r="I724" s="7">
        <f t="shared" si="178"/>
        <v>-4.7311298284293519</v>
      </c>
      <c r="J724" s="7">
        <f t="shared" si="179"/>
        <v>-84.565730382205345</v>
      </c>
      <c r="K724" s="8">
        <f t="shared" si="168"/>
        <v>182.48643623941786</v>
      </c>
      <c r="L724" s="8">
        <f t="shared" si="169"/>
        <v>-7.6644303220555487</v>
      </c>
      <c r="M724" s="8">
        <f t="shared" si="166"/>
        <v>136.99648321917263</v>
      </c>
      <c r="N724" s="8">
        <f t="shared" si="170"/>
        <v>25.000000000000025</v>
      </c>
      <c r="O724" s="8">
        <f t="shared" si="171"/>
        <v>26.398654575277277</v>
      </c>
    </row>
    <row r="725" spans="1:15" x14ac:dyDescent="0.3">
      <c r="A725" s="5">
        <f t="shared" si="172"/>
        <v>7.1699999999998916</v>
      </c>
      <c r="B725" s="5">
        <f t="shared" si="167"/>
        <v>144.6136022429439</v>
      </c>
      <c r="C725" s="6">
        <f t="shared" si="165"/>
        <v>5577.9532293706925</v>
      </c>
      <c r="D725" s="6">
        <f t="shared" si="173"/>
        <v>31113562.229046937</v>
      </c>
      <c r="E725" s="7">
        <f t="shared" si="174"/>
        <v>6248571.4285714282</v>
      </c>
      <c r="F725" s="7">
        <f t="shared" si="175"/>
        <v>124.97142857142855</v>
      </c>
      <c r="G725" s="7">
        <f t="shared" si="176"/>
        <v>24864990.800475508</v>
      </c>
      <c r="H725" s="6">
        <f t="shared" si="177"/>
        <v>4986.4808031792827</v>
      </c>
      <c r="I725" s="7">
        <f t="shared" si="178"/>
        <v>-4.7328612063784519</v>
      </c>
      <c r="J725" s="7">
        <f t="shared" si="179"/>
        <v>-84.534794499142492</v>
      </c>
      <c r="K725" s="8">
        <f t="shared" si="168"/>
        <v>182.55321796031171</v>
      </c>
      <c r="L725" s="8">
        <f t="shared" si="169"/>
        <v>-7.667235154333091</v>
      </c>
      <c r="M725" s="8">
        <f t="shared" si="166"/>
        <v>136.9463670886108</v>
      </c>
      <c r="N725" s="8">
        <f t="shared" si="170"/>
        <v>25.000000000000025</v>
      </c>
      <c r="O725" s="8">
        <f t="shared" si="171"/>
        <v>26.399678450281961</v>
      </c>
    </row>
    <row r="726" spans="1:15" x14ac:dyDescent="0.3">
      <c r="A726" s="5">
        <f t="shared" si="172"/>
        <v>7.1799999999998914</v>
      </c>
      <c r="B726" s="5">
        <f t="shared" si="167"/>
        <v>144.56627363088012</v>
      </c>
      <c r="C726" s="6">
        <f t="shared" si="165"/>
        <v>5576.1276971910902</v>
      </c>
      <c r="D726" s="6">
        <f t="shared" si="173"/>
        <v>31093200.09538161</v>
      </c>
      <c r="E726" s="7">
        <f t="shared" si="174"/>
        <v>6248571.4285714282</v>
      </c>
      <c r="F726" s="7">
        <f t="shared" si="175"/>
        <v>124.97142857142855</v>
      </c>
      <c r="G726" s="7">
        <f t="shared" si="176"/>
        <v>24844628.666810181</v>
      </c>
      <c r="H726" s="6">
        <f t="shared" si="177"/>
        <v>4984.4386511231314</v>
      </c>
      <c r="I726" s="7">
        <f t="shared" si="178"/>
        <v>-4.7345945615863192</v>
      </c>
      <c r="J726" s="7">
        <f t="shared" si="179"/>
        <v>-84.503845951302665</v>
      </c>
      <c r="K726" s="8">
        <f t="shared" si="168"/>
        <v>182.62007594690087</v>
      </c>
      <c r="L726" s="8">
        <f t="shared" si="169"/>
        <v>-7.670043189769836</v>
      </c>
      <c r="M726" s="8">
        <f t="shared" si="166"/>
        <v>136.89623044111028</v>
      </c>
      <c r="N726" s="8">
        <f t="shared" si="170"/>
        <v>25</v>
      </c>
      <c r="O726" s="8">
        <f t="shared" si="171"/>
        <v>26.40070386983178</v>
      </c>
    </row>
    <row r="727" spans="1:15" x14ac:dyDescent="0.3">
      <c r="A727" s="5">
        <f t="shared" si="172"/>
        <v>7.1899999999998911</v>
      </c>
      <c r="B727" s="5">
        <f t="shared" si="167"/>
        <v>144.51892768526426</v>
      </c>
      <c r="C727" s="6">
        <f t="shared" si="165"/>
        <v>5574.3014964316208</v>
      </c>
      <c r="D727" s="6">
        <f t="shared" si="173"/>
        <v>31072837.173119806</v>
      </c>
      <c r="E727" s="7">
        <f t="shared" si="174"/>
        <v>6248571.4285714282</v>
      </c>
      <c r="F727" s="7">
        <f t="shared" si="175"/>
        <v>124.97142857142855</v>
      </c>
      <c r="G727" s="7">
        <f t="shared" si="176"/>
        <v>24824265.744548377</v>
      </c>
      <c r="H727" s="6">
        <f t="shared" si="177"/>
        <v>4982.3955829047109</v>
      </c>
      <c r="I727" s="7">
        <f t="shared" si="178"/>
        <v>-4.7363298979062298</v>
      </c>
      <c r="J727" s="7">
        <f t="shared" si="179"/>
        <v>-84.472884722627271</v>
      </c>
      <c r="K727" s="8">
        <f t="shared" si="168"/>
        <v>182.68701034781171</v>
      </c>
      <c r="L727" s="8">
        <f t="shared" si="169"/>
        <v>-7.6728544346080909</v>
      </c>
      <c r="M727" s="8">
        <f t="shared" si="166"/>
        <v>136.84607325065616</v>
      </c>
      <c r="N727" s="8">
        <f t="shared" si="170"/>
        <v>25.000000000000021</v>
      </c>
      <c r="O727" s="8">
        <f t="shared" si="171"/>
        <v>26.401730837492522</v>
      </c>
    </row>
    <row r="728" spans="1:15" x14ac:dyDescent="0.3">
      <c r="A728" s="5">
        <f t="shared" si="172"/>
        <v>7.1999999999998909</v>
      </c>
      <c r="B728" s="5">
        <f t="shared" si="167"/>
        <v>144.47156438628519</v>
      </c>
      <c r="C728" s="6">
        <f t="shared" si="165"/>
        <v>5572.4746263281431</v>
      </c>
      <c r="D728" s="6">
        <f t="shared" si="173"/>
        <v>31052473.461070977</v>
      </c>
      <c r="E728" s="7">
        <f t="shared" si="174"/>
        <v>6248571.4285714282</v>
      </c>
      <c r="F728" s="7">
        <f t="shared" si="175"/>
        <v>124.97142857142855</v>
      </c>
      <c r="G728" s="7">
        <f t="shared" si="176"/>
        <v>24803902.032499548</v>
      </c>
      <c r="H728" s="6">
        <f t="shared" si="177"/>
        <v>4980.3515972769983</v>
      </c>
      <c r="I728" s="7">
        <f t="shared" si="178"/>
        <v>-4.7380672192021205</v>
      </c>
      <c r="J728" s="7">
        <f t="shared" si="179"/>
        <v>-84.441910797023326</v>
      </c>
      <c r="K728" s="8">
        <f t="shared" si="168"/>
        <v>182.75402131208179</v>
      </c>
      <c r="L728" s="8">
        <f t="shared" si="169"/>
        <v>-7.6756688951074343</v>
      </c>
      <c r="M728" s="8">
        <f t="shared" si="166"/>
        <v>136.79589549117776</v>
      </c>
      <c r="N728" s="8">
        <f t="shared" si="170"/>
        <v>25.000000000000014</v>
      </c>
      <c r="O728" s="8">
        <f t="shared" si="171"/>
        <v>26.40275935684096</v>
      </c>
    </row>
    <row r="729" spans="1:15" x14ac:dyDescent="0.3">
      <c r="A729" s="5">
        <f t="shared" si="172"/>
        <v>7.2099999999998907</v>
      </c>
      <c r="B729" s="5">
        <f t="shared" si="167"/>
        <v>144.42418371409318</v>
      </c>
      <c r="C729" s="6">
        <f t="shared" si="165"/>
        <v>5570.6470861150219</v>
      </c>
      <c r="D729" s="6">
        <f t="shared" si="173"/>
        <v>31032108.958041783</v>
      </c>
      <c r="E729" s="7">
        <f t="shared" si="174"/>
        <v>6248571.4285714282</v>
      </c>
      <c r="F729" s="7">
        <f t="shared" si="175"/>
        <v>124.97142857142855</v>
      </c>
      <c r="G729" s="7">
        <f t="shared" si="176"/>
        <v>24783537.529470354</v>
      </c>
      <c r="H729" s="6">
        <f t="shared" si="177"/>
        <v>4978.3066929901333</v>
      </c>
      <c r="I729" s="7">
        <f t="shared" si="178"/>
        <v>-4.7398065293486749</v>
      </c>
      <c r="J729" s="7">
        <f t="shared" si="179"/>
        <v>-84.410924158363173</v>
      </c>
      <c r="K729" s="8">
        <f t="shared" si="168"/>
        <v>182.82110898916315</v>
      </c>
      <c r="L729" s="8">
        <f t="shared" si="169"/>
        <v>-7.6784865775448514</v>
      </c>
      <c r="M729" s="8">
        <f t="shared" si="166"/>
        <v>136.74569713654833</v>
      </c>
      <c r="N729" s="8">
        <f t="shared" si="170"/>
        <v>24.999999999999996</v>
      </c>
      <c r="O729" s="8">
        <f t="shared" si="171"/>
        <v>26.40378943146515</v>
      </c>
    </row>
    <row r="730" spans="1:15" x14ac:dyDescent="0.3">
      <c r="A730" s="5">
        <f t="shared" si="172"/>
        <v>7.2199999999998905</v>
      </c>
      <c r="B730" s="5">
        <f t="shared" si="167"/>
        <v>144.37678564879968</v>
      </c>
      <c r="C730" s="6">
        <f t="shared" si="165"/>
        <v>5568.8188750251302</v>
      </c>
      <c r="D730" s="6">
        <f t="shared" si="173"/>
        <v>31011743.662836157</v>
      </c>
      <c r="E730" s="7">
        <f t="shared" si="174"/>
        <v>6248571.4285714282</v>
      </c>
      <c r="F730" s="7">
        <f t="shared" si="175"/>
        <v>124.97142857142855</v>
      </c>
      <c r="G730" s="7">
        <f t="shared" si="176"/>
        <v>24763172.234264728</v>
      </c>
      <c r="H730" s="6">
        <f t="shared" si="177"/>
        <v>4976.2608687914189</v>
      </c>
      <c r="I730" s="7">
        <f t="shared" si="178"/>
        <v>-4.741547832231344</v>
      </c>
      <c r="J730" s="7">
        <f t="shared" si="179"/>
        <v>-84.379924790484523</v>
      </c>
      <c r="K730" s="8">
        <f t="shared" si="168"/>
        <v>182.88827352892326</v>
      </c>
      <c r="L730" s="8">
        <f t="shared" si="169"/>
        <v>-7.6813074882147765</v>
      </c>
      <c r="M730" s="8">
        <f t="shared" si="166"/>
        <v>136.69547816058491</v>
      </c>
      <c r="N730" s="8">
        <f t="shared" si="170"/>
        <v>25.000000000000011</v>
      </c>
      <c r="O730" s="8">
        <f t="shared" si="171"/>
        <v>26.404821064964398</v>
      </c>
    </row>
    <row r="731" spans="1:15" x14ac:dyDescent="0.3">
      <c r="A731" s="5">
        <f t="shared" si="172"/>
        <v>7.2299999999998903</v>
      </c>
      <c r="B731" s="5">
        <f t="shared" si="167"/>
        <v>144.32937017047738</v>
      </c>
      <c r="C731" s="6">
        <f t="shared" si="165"/>
        <v>5566.9899922898412</v>
      </c>
      <c r="D731" s="6">
        <f t="shared" si="173"/>
        <v>30991377.574255247</v>
      </c>
      <c r="E731" s="7">
        <f t="shared" si="174"/>
        <v>6248571.4285714282</v>
      </c>
      <c r="F731" s="7">
        <f t="shared" si="175"/>
        <v>124.97142857142855</v>
      </c>
      <c r="G731" s="7">
        <f t="shared" si="176"/>
        <v>24742806.145683818</v>
      </c>
      <c r="H731" s="6">
        <f t="shared" si="177"/>
        <v>4974.2141234253095</v>
      </c>
      <c r="I731" s="7">
        <f t="shared" si="178"/>
        <v>-4.7432911317463686</v>
      </c>
      <c r="J731" s="7">
        <f t="shared" si="179"/>
        <v>-84.348912677190299</v>
      </c>
      <c r="K731" s="8">
        <f t="shared" si="168"/>
        <v>182.95551508164564</v>
      </c>
      <c r="L731" s="8">
        <f t="shared" si="169"/>
        <v>-7.6841316334291161</v>
      </c>
      <c r="M731" s="8">
        <f t="shared" si="166"/>
        <v>136.64523853704827</v>
      </c>
      <c r="N731" s="8">
        <f t="shared" si="170"/>
        <v>25</v>
      </c>
      <c r="O731" s="8">
        <f t="shared" si="171"/>
        <v>26.405854260949187</v>
      </c>
    </row>
    <row r="732" spans="1:15" x14ac:dyDescent="0.3">
      <c r="A732" s="5">
        <f t="shared" si="172"/>
        <v>7.2399999999998901</v>
      </c>
      <c r="B732" s="5">
        <f t="shared" si="167"/>
        <v>144.28193725915992</v>
      </c>
      <c r="C732" s="6">
        <f t="shared" si="165"/>
        <v>5565.1604371390249</v>
      </c>
      <c r="D732" s="6">
        <f t="shared" si="173"/>
        <v>30971010.691097423</v>
      </c>
      <c r="E732" s="7">
        <f t="shared" si="174"/>
        <v>6248571.4285714282</v>
      </c>
      <c r="F732" s="7">
        <f t="shared" si="175"/>
        <v>124.97142857142855</v>
      </c>
      <c r="G732" s="7">
        <f t="shared" si="176"/>
        <v>24722439.262525994</v>
      </c>
      <c r="H732" s="6">
        <f t="shared" si="177"/>
        <v>4972.166455633399</v>
      </c>
      <c r="I732" s="7">
        <f t="shared" si="178"/>
        <v>-4.7450364318008482</v>
      </c>
      <c r="J732" s="7">
        <f t="shared" si="179"/>
        <v>-84.317887802248492</v>
      </c>
      <c r="K732" s="8">
        <f t="shared" si="168"/>
        <v>183.02283379803271</v>
      </c>
      <c r="L732" s="8">
        <f t="shared" si="169"/>
        <v>-7.6869590195173725</v>
      </c>
      <c r="M732" s="8">
        <f t="shared" si="166"/>
        <v>136.59497823964256</v>
      </c>
      <c r="N732" s="8">
        <f t="shared" si="170"/>
        <v>24.999999999999993</v>
      </c>
      <c r="O732" s="8">
        <f t="shared" si="171"/>
        <v>26.406889023041408</v>
      </c>
    </row>
    <row r="733" spans="1:15" x14ac:dyDescent="0.3">
      <c r="A733" s="5">
        <f t="shared" si="172"/>
        <v>7.2499999999998899</v>
      </c>
      <c r="B733" s="5">
        <f t="shared" si="167"/>
        <v>144.23448689484192</v>
      </c>
      <c r="C733" s="6">
        <f t="shared" si="165"/>
        <v>5563.330208801045</v>
      </c>
      <c r="D733" s="6">
        <f t="shared" si="173"/>
        <v>30950643.012158278</v>
      </c>
      <c r="E733" s="7">
        <f t="shared" si="174"/>
        <v>6248571.4285714282</v>
      </c>
      <c r="F733" s="7">
        <f t="shared" si="175"/>
        <v>124.97142857142855</v>
      </c>
      <c r="G733" s="7">
        <f t="shared" si="176"/>
        <v>24702071.583586849</v>
      </c>
      <c r="H733" s="6">
        <f t="shared" si="177"/>
        <v>4970.1178641544157</v>
      </c>
      <c r="I733" s="7">
        <f t="shared" si="178"/>
        <v>-4.7467837363127643</v>
      </c>
      <c r="J733" s="7">
        <f t="shared" si="179"/>
        <v>-84.286850149392123</v>
      </c>
      <c r="K733" s="8">
        <f t="shared" si="168"/>
        <v>183.09022982920661</v>
      </c>
      <c r="L733" s="8">
        <f t="shared" si="169"/>
        <v>-7.6897896528266765</v>
      </c>
      <c r="M733" s="8">
        <f t="shared" si="166"/>
        <v>136.54469724201525</v>
      </c>
      <c r="N733" s="8">
        <f t="shared" si="170"/>
        <v>25.000000000000004</v>
      </c>
      <c r="O733" s="8">
        <f t="shared" si="171"/>
        <v>26.407925354874298</v>
      </c>
    </row>
    <row r="734" spans="1:15" x14ac:dyDescent="0.3">
      <c r="A734" s="5">
        <f t="shared" si="172"/>
        <v>7.2599999999998897</v>
      </c>
      <c r="B734" s="5">
        <f t="shared" si="167"/>
        <v>144.18701905747881</v>
      </c>
      <c r="C734" s="6">
        <f t="shared" si="165"/>
        <v>5561.4993065027538</v>
      </c>
      <c r="D734" s="6">
        <f t="shared" si="173"/>
        <v>30930274.536230613</v>
      </c>
      <c r="E734" s="7">
        <f t="shared" si="174"/>
        <v>6248571.4285714282</v>
      </c>
      <c r="F734" s="7">
        <f t="shared" si="175"/>
        <v>124.97142857142855</v>
      </c>
      <c r="G734" s="7">
        <f t="shared" si="176"/>
        <v>24681703.107659183</v>
      </c>
      <c r="H734" s="6">
        <f t="shared" si="177"/>
        <v>4968.0683477242119</v>
      </c>
      <c r="I734" s="7">
        <f t="shared" si="178"/>
        <v>-4.7485330492110132</v>
      </c>
      <c r="J734" s="7">
        <f t="shared" si="179"/>
        <v>-84.255799702319123</v>
      </c>
      <c r="K734" s="8">
        <f t="shared" si="168"/>
        <v>183.1577033267105</v>
      </c>
      <c r="L734" s="8">
        <f t="shared" si="169"/>
        <v>-7.6926235397218408</v>
      </c>
      <c r="M734" s="8">
        <f t="shared" si="166"/>
        <v>136.49439551775697</v>
      </c>
      <c r="N734" s="8">
        <f t="shared" si="170"/>
        <v>25.000000000000014</v>
      </c>
      <c r="O734" s="8">
        <f t="shared" si="171"/>
        <v>26.408963260092456</v>
      </c>
    </row>
    <row r="735" spans="1:15" x14ac:dyDescent="0.3">
      <c r="A735" s="5">
        <f t="shared" si="172"/>
        <v>7.2699999999998894</v>
      </c>
      <c r="B735" s="5">
        <f t="shared" si="167"/>
        <v>144.13953372698668</v>
      </c>
      <c r="C735" s="6">
        <f t="shared" si="165"/>
        <v>5559.6677294694864</v>
      </c>
      <c r="D735" s="6">
        <f t="shared" si="173"/>
        <v>30909905.262104396</v>
      </c>
      <c r="E735" s="7">
        <f t="shared" si="174"/>
        <v>6248571.4285714282</v>
      </c>
      <c r="F735" s="7">
        <f t="shared" si="175"/>
        <v>124.97142857142855</v>
      </c>
      <c r="G735" s="7">
        <f t="shared" si="176"/>
        <v>24661333.833532967</v>
      </c>
      <c r="H735" s="6">
        <f t="shared" si="177"/>
        <v>4966.0179050757524</v>
      </c>
      <c r="I735" s="7">
        <f t="shared" si="178"/>
        <v>-4.7502843744354584</v>
      </c>
      <c r="J735" s="7">
        <f t="shared" si="179"/>
        <v>-84.224736444692155</v>
      </c>
      <c r="K735" s="8">
        <f t="shared" si="168"/>
        <v>183.22525444251053</v>
      </c>
      <c r="L735" s="8">
        <f t="shared" si="169"/>
        <v>-7.6954606865854416</v>
      </c>
      <c r="M735" s="8">
        <f t="shared" si="166"/>
        <v>136.44407304040124</v>
      </c>
      <c r="N735" s="8">
        <f t="shared" si="170"/>
        <v>25.000000000000007</v>
      </c>
      <c r="O735" s="8">
        <f t="shared" si="171"/>
        <v>26.410002742351963</v>
      </c>
    </row>
    <row r="736" spans="1:15" x14ac:dyDescent="0.3">
      <c r="A736" s="5">
        <f t="shared" si="172"/>
        <v>7.2799999999998892</v>
      </c>
      <c r="B736" s="5">
        <f t="shared" si="167"/>
        <v>144.09203088324233</v>
      </c>
      <c r="C736" s="6">
        <f t="shared" si="165"/>
        <v>5557.8354769250609</v>
      </c>
      <c r="D736" s="6">
        <f t="shared" si="173"/>
        <v>30889535.188566819</v>
      </c>
      <c r="E736" s="7">
        <f t="shared" si="174"/>
        <v>6248571.4285714282</v>
      </c>
      <c r="F736" s="7">
        <f t="shared" si="175"/>
        <v>124.97142857142855</v>
      </c>
      <c r="G736" s="7">
        <f t="shared" si="176"/>
        <v>24640963.75999539</v>
      </c>
      <c r="H736" s="6">
        <f t="shared" si="177"/>
        <v>4963.9665349391098</v>
      </c>
      <c r="I736" s="7">
        <f t="shared" si="178"/>
        <v>-4.7520377159369671</v>
      </c>
      <c r="J736" s="7">
        <f t="shared" si="179"/>
        <v>-84.193660360138551</v>
      </c>
      <c r="K736" s="8">
        <f t="shared" si="168"/>
        <v>183.29288332899731</v>
      </c>
      <c r="L736" s="8">
        <f t="shared" si="169"/>
        <v>-7.6983010998178862</v>
      </c>
      <c r="M736" s="8">
        <f t="shared" si="166"/>
        <v>136.39372978342445</v>
      </c>
      <c r="N736" s="8">
        <f t="shared" si="170"/>
        <v>25.000000000000004</v>
      </c>
      <c r="O736" s="8">
        <f t="shared" si="171"/>
        <v>26.411043805320414</v>
      </c>
    </row>
    <row r="737" spans="1:15" x14ac:dyDescent="0.3">
      <c r="A737" s="5">
        <f t="shared" si="172"/>
        <v>7.289999999999889</v>
      </c>
      <c r="B737" s="5">
        <f t="shared" si="167"/>
        <v>144.04451050608296</v>
      </c>
      <c r="C737" s="6">
        <f t="shared" si="165"/>
        <v>5556.0025480917711</v>
      </c>
      <c r="D737" s="6">
        <f t="shared" si="173"/>
        <v>30869164.314402252</v>
      </c>
      <c r="E737" s="7">
        <f t="shared" si="174"/>
        <v>6248571.4285714282</v>
      </c>
      <c r="F737" s="7">
        <f t="shared" si="175"/>
        <v>124.97142857142855</v>
      </c>
      <c r="G737" s="7">
        <f t="shared" si="176"/>
        <v>24620592.885830823</v>
      </c>
      <c r="H737" s="6">
        <f t="shared" si="177"/>
        <v>4961.9142360414517</v>
      </c>
      <c r="I737" s="7">
        <f t="shared" si="178"/>
        <v>-4.7537930776774546</v>
      </c>
      <c r="J737" s="7">
        <f t="shared" si="179"/>
        <v>-84.162571432250317</v>
      </c>
      <c r="K737" s="8">
        <f t="shared" si="168"/>
        <v>183.36059013898753</v>
      </c>
      <c r="L737" s="8">
        <f t="shared" si="169"/>
        <v>-7.7011447858374753</v>
      </c>
      <c r="M737" s="8">
        <f t="shared" si="166"/>
        <v>136.34336572024549</v>
      </c>
      <c r="N737" s="8">
        <f t="shared" si="170"/>
        <v>25.000000000000014</v>
      </c>
      <c r="O737" s="8">
        <f t="shared" si="171"/>
        <v>26.412086452676963</v>
      </c>
    </row>
    <row r="738" spans="1:15" x14ac:dyDescent="0.3">
      <c r="A738" s="5">
        <f t="shared" si="172"/>
        <v>7.2999999999998888</v>
      </c>
      <c r="B738" s="5">
        <f t="shared" si="167"/>
        <v>143.99697257530619</v>
      </c>
      <c r="C738" s="6">
        <f t="shared" si="165"/>
        <v>5554.1689421903811</v>
      </c>
      <c r="D738" s="6">
        <f t="shared" si="173"/>
        <v>30848792.638392217</v>
      </c>
      <c r="E738" s="7">
        <f t="shared" si="174"/>
        <v>6248571.4285714282</v>
      </c>
      <c r="F738" s="7">
        <f t="shared" si="175"/>
        <v>124.97142857142855</v>
      </c>
      <c r="G738" s="7">
        <f t="shared" si="176"/>
        <v>24600221.209820788</v>
      </c>
      <c r="H738" s="6">
        <f t="shared" si="177"/>
        <v>4959.8610071070325</v>
      </c>
      <c r="I738" s="7">
        <f t="shared" si="178"/>
        <v>-4.7555504636299055</v>
      </c>
      <c r="J738" s="7">
        <f t="shared" si="179"/>
        <v>-84.131469644583802</v>
      </c>
      <c r="K738" s="8">
        <f t="shared" si="168"/>
        <v>183.4283750257249</v>
      </c>
      <c r="L738" s="8">
        <f t="shared" si="169"/>
        <v>-7.7039917510804452</v>
      </c>
      <c r="M738" s="8">
        <f t="shared" si="166"/>
        <v>136.29298082422574</v>
      </c>
      <c r="N738" s="8">
        <f t="shared" si="170"/>
        <v>25.000000000000011</v>
      </c>
      <c r="O738" s="8">
        <f t="shared" si="171"/>
        <v>26.413130688112286</v>
      </c>
    </row>
    <row r="739" spans="1:15" x14ac:dyDescent="0.3">
      <c r="A739" s="5">
        <f t="shared" si="172"/>
        <v>7.3099999999998886</v>
      </c>
      <c r="B739" s="5">
        <f t="shared" si="167"/>
        <v>143.94941707066988</v>
      </c>
      <c r="C739" s="6">
        <f t="shared" si="165"/>
        <v>5552.3346584401233</v>
      </c>
      <c r="D739" s="6">
        <f t="shared" si="173"/>
        <v>30828420.1593154</v>
      </c>
      <c r="E739" s="7">
        <f t="shared" si="174"/>
        <v>6248571.4285714282</v>
      </c>
      <c r="F739" s="7">
        <f t="shared" si="175"/>
        <v>124.97142857142855</v>
      </c>
      <c r="G739" s="7">
        <f t="shared" si="176"/>
        <v>24579848.730743971</v>
      </c>
      <c r="H739" s="6">
        <f t="shared" si="177"/>
        <v>4957.8068468571837</v>
      </c>
      <c r="I739" s="7">
        <f t="shared" si="178"/>
        <v>-4.7573098777784386</v>
      </c>
      <c r="J739" s="7">
        <f t="shared" si="179"/>
        <v>-84.100354980659759</v>
      </c>
      <c r="K739" s="8">
        <f t="shared" si="168"/>
        <v>183.49623814288262</v>
      </c>
      <c r="L739" s="8">
        <f t="shared" si="169"/>
        <v>-7.7068420020010695</v>
      </c>
      <c r="M739" s="8">
        <f t="shared" si="166"/>
        <v>136.2425750686688</v>
      </c>
      <c r="N739" s="8">
        <f t="shared" si="170"/>
        <v>25.000000000000011</v>
      </c>
      <c r="O739" s="8">
        <f t="shared" si="171"/>
        <v>26.414176515328773</v>
      </c>
    </row>
    <row r="740" spans="1:15" x14ac:dyDescent="0.3">
      <c r="A740" s="5">
        <f t="shared" si="172"/>
        <v>7.3199999999998884</v>
      </c>
      <c r="B740" s="5">
        <f t="shared" si="167"/>
        <v>143.90184397189211</v>
      </c>
      <c r="C740" s="6">
        <f t="shared" si="165"/>
        <v>5550.499696058695</v>
      </c>
      <c r="D740" s="6">
        <f t="shared" si="173"/>
        <v>30808046.875947665</v>
      </c>
      <c r="E740" s="7">
        <f t="shared" si="174"/>
        <v>6248571.4285714282</v>
      </c>
      <c r="F740" s="7">
        <f t="shared" si="175"/>
        <v>124.97142857142855</v>
      </c>
      <c r="G740" s="7">
        <f t="shared" si="176"/>
        <v>24559475.447376236</v>
      </c>
      <c r="H740" s="6">
        <f t="shared" si="177"/>
        <v>4955.7517540103072</v>
      </c>
      <c r="I740" s="7">
        <f t="shared" si="178"/>
        <v>-4.7590713241183309</v>
      </c>
      <c r="J740" s="7">
        <f t="shared" si="179"/>
        <v>-84.069227423963213</v>
      </c>
      <c r="K740" s="8">
        <f t="shared" si="168"/>
        <v>183.56417964456418</v>
      </c>
      <c r="L740" s="8">
        <f t="shared" si="169"/>
        <v>-7.7096955450716944</v>
      </c>
      <c r="M740" s="8">
        <f t="shared" si="166"/>
        <v>136.19214842682041</v>
      </c>
      <c r="N740" s="8">
        <f t="shared" si="170"/>
        <v>25.000000000000011</v>
      </c>
      <c r="O740" s="8">
        <f t="shared" si="171"/>
        <v>26.415223938040445</v>
      </c>
    </row>
    <row r="741" spans="1:15" x14ac:dyDescent="0.3">
      <c r="A741" s="5">
        <f t="shared" si="172"/>
        <v>7.3299999999998882</v>
      </c>
      <c r="B741" s="5">
        <f t="shared" si="167"/>
        <v>143.85425325865091</v>
      </c>
      <c r="C741" s="6">
        <f t="shared" si="165"/>
        <v>5548.664054262249</v>
      </c>
      <c r="D741" s="6">
        <f t="shared" si="173"/>
        <v>30787672.787061978</v>
      </c>
      <c r="E741" s="7">
        <f t="shared" si="174"/>
        <v>6248571.4285714282</v>
      </c>
      <c r="F741" s="7">
        <f t="shared" si="175"/>
        <v>124.97142857142855</v>
      </c>
      <c r="G741" s="7">
        <f t="shared" si="176"/>
        <v>24539101.358490549</v>
      </c>
      <c r="H741" s="6">
        <f t="shared" si="177"/>
        <v>4953.695727281859</v>
      </c>
      <c r="I741" s="7">
        <f t="shared" si="178"/>
        <v>-4.7608348066560708</v>
      </c>
      <c r="J741" s="7">
        <f t="shared" si="179"/>
        <v>-84.038086957943264</v>
      </c>
      <c r="K741" s="8">
        <f t="shared" si="168"/>
        <v>183.63219968530558</v>
      </c>
      <c r="L741" s="8">
        <f t="shared" si="169"/>
        <v>-7.7125523867828338</v>
      </c>
      <c r="M741" s="8">
        <f t="shared" si="166"/>
        <v>136.14170087186807</v>
      </c>
      <c r="N741" s="8">
        <f t="shared" si="170"/>
        <v>25.000000000000018</v>
      </c>
      <c r="O741" s="8">
        <f t="shared" si="171"/>
        <v>26.416272959973107</v>
      </c>
    </row>
    <row r="742" spans="1:15" x14ac:dyDescent="0.3">
      <c r="A742" s="5">
        <f t="shared" si="172"/>
        <v>7.3399999999998879</v>
      </c>
      <c r="B742" s="5">
        <f t="shared" si="167"/>
        <v>143.80664491058437</v>
      </c>
      <c r="C742" s="6">
        <f t="shared" si="165"/>
        <v>5546.8277322653967</v>
      </c>
      <c r="D742" s="6">
        <f t="shared" si="173"/>
        <v>30767297.891428482</v>
      </c>
      <c r="E742" s="7">
        <f t="shared" si="174"/>
        <v>6248571.4285714282</v>
      </c>
      <c r="F742" s="7">
        <f t="shared" si="175"/>
        <v>124.97142857142855</v>
      </c>
      <c r="G742" s="7">
        <f t="shared" si="176"/>
        <v>24518726.462857053</v>
      </c>
      <c r="H742" s="6">
        <f t="shared" si="177"/>
        <v>4951.6387653843503</v>
      </c>
      <c r="I742" s="7">
        <f t="shared" si="178"/>
        <v>-4.7626003294093797</v>
      </c>
      <c r="J742" s="7">
        <f t="shared" si="179"/>
        <v>-84.006933566013089</v>
      </c>
      <c r="K742" s="8">
        <f t="shared" si="168"/>
        <v>183.70029842007605</v>
      </c>
      <c r="L742" s="8">
        <f t="shared" si="169"/>
        <v>-7.7154125336431933</v>
      </c>
      <c r="M742" s="8">
        <f t="shared" si="166"/>
        <v>136.09123237694118</v>
      </c>
      <c r="N742" s="8">
        <f t="shared" si="170"/>
        <v>25.000000000000011</v>
      </c>
      <c r="O742" s="8">
        <f t="shared" si="171"/>
        <v>26.417323584864256</v>
      </c>
    </row>
    <row r="743" spans="1:15" x14ac:dyDescent="0.3">
      <c r="A743" s="5">
        <f t="shared" si="172"/>
        <v>7.3499999999998877</v>
      </c>
      <c r="B743" s="5">
        <f t="shared" si="167"/>
        <v>143.75901890729028</v>
      </c>
      <c r="C743" s="6">
        <f t="shared" si="165"/>
        <v>5544.9907292811968</v>
      </c>
      <c r="D743" s="6">
        <f t="shared" si="173"/>
        <v>30746922.187814418</v>
      </c>
      <c r="E743" s="7">
        <f t="shared" si="174"/>
        <v>6248571.4285714282</v>
      </c>
      <c r="F743" s="7">
        <f t="shared" si="175"/>
        <v>124.97142857142855</v>
      </c>
      <c r="G743" s="7">
        <f t="shared" si="176"/>
        <v>24498350.759242989</v>
      </c>
      <c r="H743" s="6">
        <f t="shared" si="177"/>
        <v>4949.5808670273273</v>
      </c>
      <c r="I743" s="7">
        <f t="shared" si="178"/>
        <v>-4.7643678964072791</v>
      </c>
      <c r="J743" s="7">
        <f t="shared" si="179"/>
        <v>-83.97576723154971</v>
      </c>
      <c r="K743" s="8">
        <f t="shared" si="168"/>
        <v>183.76847600428076</v>
      </c>
      <c r="L743" s="8">
        <f t="shared" si="169"/>
        <v>-7.718275992179791</v>
      </c>
      <c r="M743" s="8">
        <f t="shared" si="166"/>
        <v>136.04074291511049</v>
      </c>
      <c r="N743" s="8">
        <f t="shared" si="170"/>
        <v>25.000000000000007</v>
      </c>
      <c r="O743" s="8">
        <f t="shared" si="171"/>
        <v>26.418375816463318</v>
      </c>
    </row>
    <row r="744" spans="1:15" x14ac:dyDescent="0.3">
      <c r="A744" s="5">
        <f t="shared" si="172"/>
        <v>7.3599999999998875</v>
      </c>
      <c r="B744" s="5">
        <f t="shared" si="167"/>
        <v>143.7113752283262</v>
      </c>
      <c r="C744" s="6">
        <f t="shared" si="165"/>
        <v>5543.1530445211529</v>
      </c>
      <c r="D744" s="6">
        <f t="shared" si="173"/>
        <v>30726545.674984127</v>
      </c>
      <c r="E744" s="7">
        <f t="shared" si="174"/>
        <v>6248571.4285714282</v>
      </c>
      <c r="F744" s="7">
        <f t="shared" si="175"/>
        <v>124.97142857142855</v>
      </c>
      <c r="G744" s="7">
        <f t="shared" si="176"/>
        <v>24477974.246412698</v>
      </c>
      <c r="H744" s="6">
        <f t="shared" si="177"/>
        <v>4947.5220309173665</v>
      </c>
      <c r="I744" s="7">
        <f t="shared" si="178"/>
        <v>-4.7661375116901068</v>
      </c>
      <c r="J744" s="7">
        <f t="shared" si="179"/>
        <v>-83.944587937893971</v>
      </c>
      <c r="K744" s="8">
        <f t="shared" si="168"/>
        <v>183.83673259376124</v>
      </c>
      <c r="L744" s="8">
        <f t="shared" si="169"/>
        <v>-7.7211427689379715</v>
      </c>
      <c r="M744" s="8">
        <f t="shared" si="166"/>
        <v>135.99023245938824</v>
      </c>
      <c r="N744" s="8">
        <f t="shared" si="170"/>
        <v>24.999999999999986</v>
      </c>
      <c r="O744" s="8">
        <f t="shared" si="171"/>
        <v>26.419429658531488</v>
      </c>
    </row>
    <row r="745" spans="1:15" x14ac:dyDescent="0.3">
      <c r="A745" s="5">
        <f t="shared" si="172"/>
        <v>7.3699999999998873</v>
      </c>
      <c r="B745" s="5">
        <f t="shared" si="167"/>
        <v>143.66371385320932</v>
      </c>
      <c r="C745" s="6">
        <f t="shared" si="165"/>
        <v>5541.3146771952161</v>
      </c>
      <c r="D745" s="6">
        <f t="shared" si="173"/>
        <v>30706168.351699121</v>
      </c>
      <c r="E745" s="7">
        <f t="shared" si="174"/>
        <v>6248571.4285714282</v>
      </c>
      <c r="F745" s="7">
        <f t="shared" si="175"/>
        <v>124.97142857142855</v>
      </c>
      <c r="G745" s="7">
        <f t="shared" si="176"/>
        <v>24457596.923127692</v>
      </c>
      <c r="H745" s="6">
        <f t="shared" si="177"/>
        <v>4945.4622557580697</v>
      </c>
      <c r="I745" s="7">
        <f t="shared" si="178"/>
        <v>-4.7679091793095854</v>
      </c>
      <c r="J745" s="7">
        <f t="shared" si="179"/>
        <v>-83.913395668350503</v>
      </c>
      <c r="K745" s="8">
        <f t="shared" si="168"/>
        <v>183.90506834479828</v>
      </c>
      <c r="L745" s="8">
        <f t="shared" si="169"/>
        <v>-7.724012870481527</v>
      </c>
      <c r="M745" s="8">
        <f t="shared" si="166"/>
        <v>135.9397009827278</v>
      </c>
      <c r="N745" s="8">
        <f t="shared" si="170"/>
        <v>24.999999999999996</v>
      </c>
      <c r="O745" s="8">
        <f t="shared" si="171"/>
        <v>26.420485114842002</v>
      </c>
    </row>
    <row r="746" spans="1:15" x14ac:dyDescent="0.3">
      <c r="A746" s="5">
        <f t="shared" si="172"/>
        <v>7.3799999999998871</v>
      </c>
      <c r="B746" s="5">
        <f t="shared" si="167"/>
        <v>143.61603476141622</v>
      </c>
      <c r="C746" s="6">
        <f t="shared" si="165"/>
        <v>5539.4756265117685</v>
      </c>
      <c r="D746" s="6">
        <f t="shared" si="173"/>
        <v>30685790.216717951</v>
      </c>
      <c r="E746" s="7">
        <f t="shared" si="174"/>
        <v>6248571.4285714282</v>
      </c>
      <c r="F746" s="7">
        <f t="shared" si="175"/>
        <v>124.97142857142855</v>
      </c>
      <c r="G746" s="7">
        <f t="shared" si="176"/>
        <v>24437218.788146522</v>
      </c>
      <c r="H746" s="6">
        <f t="shared" si="177"/>
        <v>4943.4015402500454</v>
      </c>
      <c r="I746" s="7">
        <f t="shared" si="178"/>
        <v>-4.7696829033288326</v>
      </c>
      <c r="J746" s="7">
        <f t="shared" si="179"/>
        <v>-83.882190406187362</v>
      </c>
      <c r="K746" s="8">
        <f t="shared" si="168"/>
        <v>183.97348341411211</v>
      </c>
      <c r="L746" s="8">
        <f t="shared" si="169"/>
        <v>-7.7268863033927078</v>
      </c>
      <c r="M746" s="8">
        <f t="shared" si="166"/>
        <v>135.8891484580235</v>
      </c>
      <c r="N746" s="8">
        <f t="shared" si="170"/>
        <v>25.000000000000004</v>
      </c>
      <c r="O746" s="8">
        <f t="shared" si="171"/>
        <v>26.421542189179956</v>
      </c>
    </row>
    <row r="747" spans="1:15" x14ac:dyDescent="0.3">
      <c r="A747" s="5">
        <f t="shared" si="172"/>
        <v>7.3899999999998869</v>
      </c>
      <c r="B747" s="5">
        <f t="shared" si="167"/>
        <v>143.56833793238292</v>
      </c>
      <c r="C747" s="6">
        <f t="shared" si="165"/>
        <v>5537.6358916776262</v>
      </c>
      <c r="D747" s="6">
        <f t="shared" si="173"/>
        <v>30665411.268796258</v>
      </c>
      <c r="E747" s="7">
        <f t="shared" si="174"/>
        <v>6248571.4285714282</v>
      </c>
      <c r="F747" s="7">
        <f t="shared" si="175"/>
        <v>124.97142857142855</v>
      </c>
      <c r="G747" s="7">
        <f t="shared" si="176"/>
        <v>24416839.840224829</v>
      </c>
      <c r="H747" s="6">
        <f t="shared" si="177"/>
        <v>4941.3398830909036</v>
      </c>
      <c r="I747" s="7">
        <f t="shared" si="178"/>
        <v>-4.7714586878224265</v>
      </c>
      <c r="J747" s="7">
        <f t="shared" si="179"/>
        <v>-83.850972134636166</v>
      </c>
      <c r="K747" s="8">
        <f t="shared" si="168"/>
        <v>184.041977958865</v>
      </c>
      <c r="L747" s="8">
        <f t="shared" si="169"/>
        <v>-7.7297630742723298</v>
      </c>
      <c r="M747" s="8">
        <f t="shared" si="166"/>
        <v>135.83857485811058</v>
      </c>
      <c r="N747" s="8">
        <f t="shared" si="170"/>
        <v>25.000000000000021</v>
      </c>
      <c r="O747" s="8">
        <f t="shared" si="171"/>
        <v>26.422600885342501</v>
      </c>
    </row>
    <row r="748" spans="1:15" x14ac:dyDescent="0.3">
      <c r="A748" s="5">
        <f t="shared" si="172"/>
        <v>7.3999999999998867</v>
      </c>
      <c r="B748" s="5">
        <f t="shared" si="167"/>
        <v>143.5206233455047</v>
      </c>
      <c r="C748" s="6">
        <f t="shared" si="165"/>
        <v>5535.7954718980382</v>
      </c>
      <c r="D748" s="6">
        <f t="shared" si="173"/>
        <v>30645031.506686822</v>
      </c>
      <c r="E748" s="7">
        <f t="shared" si="174"/>
        <v>6248571.4285714282</v>
      </c>
      <c r="F748" s="7">
        <f t="shared" si="175"/>
        <v>124.97142857142855</v>
      </c>
      <c r="G748" s="7">
        <f t="shared" si="176"/>
        <v>24396460.078115392</v>
      </c>
      <c r="H748" s="6">
        <f t="shared" si="177"/>
        <v>4939.2772829752521</v>
      </c>
      <c r="I748" s="7">
        <f t="shared" si="178"/>
        <v>-4.7732365368764329</v>
      </c>
      <c r="J748" s="7">
        <f t="shared" si="179"/>
        <v>-83.81974083689191</v>
      </c>
      <c r="K748" s="8">
        <f t="shared" si="168"/>
        <v>184.11055213666239</v>
      </c>
      <c r="L748" s="8">
        <f t="shared" si="169"/>
        <v>-7.7326431897398198</v>
      </c>
      <c r="M748" s="8">
        <f t="shared" si="166"/>
        <v>135.78798015576487</v>
      </c>
      <c r="N748" s="8">
        <f t="shared" si="170"/>
        <v>25.000000000000025</v>
      </c>
      <c r="O748" s="8">
        <f t="shared" si="171"/>
        <v>26.423661207138831</v>
      </c>
    </row>
    <row r="749" spans="1:15" x14ac:dyDescent="0.3">
      <c r="A749" s="5">
        <f t="shared" si="172"/>
        <v>7.4099999999998865</v>
      </c>
      <c r="B749" s="5">
        <f t="shared" si="167"/>
        <v>143.47289098013593</v>
      </c>
      <c r="C749" s="6">
        <f t="shared" si="165"/>
        <v>5533.9543663766717</v>
      </c>
      <c r="D749" s="6">
        <f t="shared" si="173"/>
        <v>30624650.929139432</v>
      </c>
      <c r="E749" s="7">
        <f t="shared" si="174"/>
        <v>6248571.4285714282</v>
      </c>
      <c r="F749" s="7">
        <f t="shared" si="175"/>
        <v>124.97142857142855</v>
      </c>
      <c r="G749" s="7">
        <f t="shared" si="176"/>
        <v>24376079.500568002</v>
      </c>
      <c r="H749" s="6">
        <f t="shared" si="177"/>
        <v>4937.2137385946744</v>
      </c>
      <c r="I749" s="7">
        <f t="shared" si="178"/>
        <v>-4.7750164545884566</v>
      </c>
      <c r="J749" s="7">
        <f t="shared" si="179"/>
        <v>-83.788496496112757</v>
      </c>
      <c r="K749" s="8">
        <f t="shared" si="168"/>
        <v>184.17920610555475</v>
      </c>
      <c r="L749" s="8">
        <f t="shared" si="169"/>
        <v>-7.735526656433299</v>
      </c>
      <c r="M749" s="8">
        <f t="shared" si="166"/>
        <v>135.73736432370262</v>
      </c>
      <c r="N749" s="8">
        <f t="shared" si="170"/>
        <v>25</v>
      </c>
      <c r="O749" s="8">
        <f t="shared" si="171"/>
        <v>26.424723158390243</v>
      </c>
    </row>
    <row r="750" spans="1:15" x14ac:dyDescent="0.3">
      <c r="A750" s="5">
        <f t="shared" si="172"/>
        <v>7.4199999999998862</v>
      </c>
      <c r="B750" s="5">
        <f t="shared" si="167"/>
        <v>143.42514081559005</v>
      </c>
      <c r="C750" s="6">
        <f t="shared" si="165"/>
        <v>5532.1125743156163</v>
      </c>
      <c r="D750" s="6">
        <f t="shared" si="173"/>
        <v>30604269.534900956</v>
      </c>
      <c r="E750" s="7">
        <f t="shared" si="174"/>
        <v>6248571.4285714282</v>
      </c>
      <c r="F750" s="7">
        <f t="shared" si="175"/>
        <v>124.97142857142855</v>
      </c>
      <c r="G750" s="7">
        <f t="shared" si="176"/>
        <v>24355698.106329527</v>
      </c>
      <c r="H750" s="6">
        <f t="shared" si="177"/>
        <v>4935.1492486377274</v>
      </c>
      <c r="I750" s="7">
        <f t="shared" si="178"/>
        <v>-4.7767984450676986</v>
      </c>
      <c r="J750" s="7">
        <f t="shared" si="179"/>
        <v>-83.757239095420005</v>
      </c>
      <c r="K750" s="8">
        <f t="shared" si="168"/>
        <v>184.24794002403979</v>
      </c>
      <c r="L750" s="8">
        <f t="shared" si="169"/>
        <v>-7.7384134810096707</v>
      </c>
      <c r="M750" s="8">
        <f t="shared" si="166"/>
        <v>135.68672733458038</v>
      </c>
      <c r="N750" s="8">
        <f t="shared" si="170"/>
        <v>25.000000000000007</v>
      </c>
      <c r="O750" s="8">
        <f t="shared" si="171"/>
        <v>26.425786742930296</v>
      </c>
    </row>
    <row r="751" spans="1:15" x14ac:dyDescent="0.3">
      <c r="A751" s="5">
        <f t="shared" si="172"/>
        <v>7.429999999999886</v>
      </c>
      <c r="B751" s="5">
        <f t="shared" si="167"/>
        <v>143.37737283113938</v>
      </c>
      <c r="C751" s="6">
        <f t="shared" si="165"/>
        <v>5530.2700949153759</v>
      </c>
      <c r="D751" s="6">
        <f t="shared" si="173"/>
        <v>30583887.32271532</v>
      </c>
      <c r="E751" s="7">
        <f t="shared" si="174"/>
        <v>6248571.4285714282</v>
      </c>
      <c r="F751" s="7">
        <f t="shared" si="175"/>
        <v>124.97142857142855</v>
      </c>
      <c r="G751" s="7">
        <f t="shared" si="176"/>
        <v>24335315.894143891</v>
      </c>
      <c r="H751" s="6">
        <f t="shared" si="177"/>
        <v>4933.083811789933</v>
      </c>
      <c r="I751" s="7">
        <f t="shared" si="178"/>
        <v>-4.7785825124349586</v>
      </c>
      <c r="J751" s="7">
        <f t="shared" si="179"/>
        <v>-83.725968617898019</v>
      </c>
      <c r="K751" s="8">
        <f t="shared" si="168"/>
        <v>184.31675405106267</v>
      </c>
      <c r="L751" s="8">
        <f t="shared" si="169"/>
        <v>-7.7413036701446316</v>
      </c>
      <c r="M751" s="8">
        <f t="shared" si="166"/>
        <v>135.63606916099474</v>
      </c>
      <c r="N751" s="8">
        <f t="shared" si="170"/>
        <v>24.999999999999993</v>
      </c>
      <c r="O751" s="8">
        <f t="shared" si="171"/>
        <v>26.426851964604634</v>
      </c>
    </row>
    <row r="752" spans="1:15" x14ac:dyDescent="0.3">
      <c r="A752" s="5">
        <f t="shared" si="172"/>
        <v>7.4399999999998858</v>
      </c>
      <c r="B752" s="5">
        <f t="shared" si="167"/>
        <v>143.32958700601503</v>
      </c>
      <c r="C752" s="6">
        <f t="shared" si="165"/>
        <v>5528.426927374865</v>
      </c>
      <c r="D752" s="6">
        <f t="shared" si="173"/>
        <v>30563504.29132349</v>
      </c>
      <c r="E752" s="7">
        <f t="shared" si="174"/>
        <v>6248571.4285714282</v>
      </c>
      <c r="F752" s="7">
        <f t="shared" si="175"/>
        <v>124.97142857142855</v>
      </c>
      <c r="G752" s="7">
        <f t="shared" si="176"/>
        <v>24314932.862752061</v>
      </c>
      <c r="H752" s="6">
        <f t="shared" si="177"/>
        <v>4931.0174267337634</v>
      </c>
      <c r="I752" s="7">
        <f t="shared" si="178"/>
        <v>-4.7803686608227167</v>
      </c>
      <c r="J752" s="7">
        <f t="shared" si="179"/>
        <v>-83.694685046593989</v>
      </c>
      <c r="K752" s="8">
        <f t="shared" si="168"/>
        <v>184.38564834601905</v>
      </c>
      <c r="L752" s="8">
        <f t="shared" si="169"/>
        <v>-7.7441972305327997</v>
      </c>
      <c r="M752" s="8">
        <f t="shared" si="166"/>
        <v>135.58538977548224</v>
      </c>
      <c r="N752" s="8">
        <f t="shared" si="170"/>
        <v>24.999999999999996</v>
      </c>
      <c r="O752" s="8">
        <f t="shared" si="171"/>
        <v>26.427918827271231</v>
      </c>
    </row>
    <row r="753" spans="1:15" x14ac:dyDescent="0.3">
      <c r="A753" s="5">
        <f t="shared" si="172"/>
        <v>7.4499999999998856</v>
      </c>
      <c r="B753" s="5">
        <f t="shared" si="167"/>
        <v>143.2817833194068</v>
      </c>
      <c r="C753" s="6">
        <f t="shared" si="165"/>
        <v>5526.5830708914045</v>
      </c>
      <c r="D753" s="6">
        <f t="shared" si="173"/>
        <v>30543120.439463466</v>
      </c>
      <c r="E753" s="7">
        <f t="shared" si="174"/>
        <v>6248571.4285714282</v>
      </c>
      <c r="F753" s="7">
        <f t="shared" si="175"/>
        <v>124.97142857142855</v>
      </c>
      <c r="G753" s="7">
        <f t="shared" si="176"/>
        <v>24294549.010892037</v>
      </c>
      <c r="H753" s="6">
        <f t="shared" si="177"/>
        <v>4928.9500921486351</v>
      </c>
      <c r="I753" s="7">
        <f t="shared" si="178"/>
        <v>-4.7821568943751567</v>
      </c>
      <c r="J753" s="7">
        <f t="shared" si="179"/>
        <v>-83.663388364517942</v>
      </c>
      <c r="K753" s="8">
        <f t="shared" si="168"/>
        <v>184.45462306875604</v>
      </c>
      <c r="L753" s="8">
        <f t="shared" si="169"/>
        <v>-7.7470941688877524</v>
      </c>
      <c r="M753" s="8">
        <f t="shared" si="166"/>
        <v>135.53468915051906</v>
      </c>
      <c r="N753" s="8">
        <f t="shared" si="170"/>
        <v>25.000000000000011</v>
      </c>
      <c r="O753" s="8">
        <f t="shared" si="171"/>
        <v>26.428987334800357</v>
      </c>
    </row>
    <row r="754" spans="1:15" x14ac:dyDescent="0.3">
      <c r="A754" s="5">
        <f t="shared" si="172"/>
        <v>7.4599999999998854</v>
      </c>
      <c r="B754" s="5">
        <f t="shared" si="167"/>
        <v>143.23396175046304</v>
      </c>
      <c r="C754" s="6">
        <f t="shared" si="165"/>
        <v>5524.7385246607173</v>
      </c>
      <c r="D754" s="6">
        <f t="shared" si="173"/>
        <v>30522735.765870281</v>
      </c>
      <c r="E754" s="7">
        <f t="shared" si="174"/>
        <v>6248571.4285714282</v>
      </c>
      <c r="F754" s="7">
        <f t="shared" si="175"/>
        <v>124.97142857142855</v>
      </c>
      <c r="G754" s="7">
        <f t="shared" si="176"/>
        <v>24274164.337298851</v>
      </c>
      <c r="H754" s="6">
        <f t="shared" si="177"/>
        <v>4926.8818067108987</v>
      </c>
      <c r="I754" s="7">
        <f t="shared" si="178"/>
        <v>-4.7839472172482065</v>
      </c>
      <c r="J754" s="7">
        <f t="shared" si="179"/>
        <v>-83.632078554642575</v>
      </c>
      <c r="K754" s="8">
        <f t="shared" si="168"/>
        <v>184.52367837957368</v>
      </c>
      <c r="L754" s="8">
        <f t="shared" si="169"/>
        <v>-7.7499944919420942</v>
      </c>
      <c r="M754" s="8">
        <f t="shared" si="166"/>
        <v>135.48396725852095</v>
      </c>
      <c r="N754" s="8">
        <f t="shared" si="170"/>
        <v>25.000000000000011</v>
      </c>
      <c r="O754" s="8">
        <f t="shared" si="171"/>
        <v>26.430057491074599</v>
      </c>
    </row>
    <row r="755" spans="1:15" x14ac:dyDescent="0.3">
      <c r="A755" s="5">
        <f t="shared" si="172"/>
        <v>7.4699999999998852</v>
      </c>
      <c r="B755" s="5">
        <f t="shared" si="167"/>
        <v>143.18612227829055</v>
      </c>
      <c r="C755" s="6">
        <f t="shared" si="165"/>
        <v>5522.893287876921</v>
      </c>
      <c r="D755" s="6">
        <f t="shared" si="173"/>
        <v>30502350.269275948</v>
      </c>
      <c r="E755" s="7">
        <f t="shared" si="174"/>
        <v>6248571.4285714282</v>
      </c>
      <c r="F755" s="7">
        <f t="shared" si="175"/>
        <v>124.97142857142855</v>
      </c>
      <c r="G755" s="7">
        <f t="shared" si="176"/>
        <v>24253778.840704519</v>
      </c>
      <c r="H755" s="6">
        <f t="shared" si="177"/>
        <v>4924.812569093825</v>
      </c>
      <c r="I755" s="7">
        <f t="shared" si="178"/>
        <v>-4.7857396336095945</v>
      </c>
      <c r="J755" s="7">
        <f t="shared" si="179"/>
        <v>-83.60075559990311</v>
      </c>
      <c r="K755" s="8">
        <f t="shared" si="168"/>
        <v>184.5928144392272</v>
      </c>
      <c r="L755" s="8">
        <f t="shared" si="169"/>
        <v>-7.7528982064475418</v>
      </c>
      <c r="M755" s="8">
        <f t="shared" si="166"/>
        <v>135.433224071843</v>
      </c>
      <c r="N755" s="8">
        <f t="shared" si="170"/>
        <v>24.999999999999993</v>
      </c>
      <c r="O755" s="8">
        <f t="shared" si="171"/>
        <v>26.431129299988985</v>
      </c>
    </row>
    <row r="756" spans="1:15" x14ac:dyDescent="0.3">
      <c r="A756" s="5">
        <f t="shared" si="172"/>
        <v>7.479999999999885</v>
      </c>
      <c r="B756" s="5">
        <f t="shared" si="167"/>
        <v>143.13826488195446</v>
      </c>
      <c r="C756" s="6">
        <f t="shared" si="165"/>
        <v>5521.047359732529</v>
      </c>
      <c r="D756" s="6">
        <f t="shared" si="173"/>
        <v>30481963.948409531</v>
      </c>
      <c r="E756" s="7">
        <f t="shared" si="174"/>
        <v>6248571.4285714282</v>
      </c>
      <c r="F756" s="7">
        <f t="shared" si="175"/>
        <v>124.97142857142855</v>
      </c>
      <c r="G756" s="7">
        <f t="shared" si="176"/>
        <v>24233392.519838102</v>
      </c>
      <c r="H756" s="6">
        <f t="shared" si="177"/>
        <v>4922.7423779676001</v>
      </c>
      <c r="I756" s="7">
        <f t="shared" si="178"/>
        <v>-4.7875341476388931</v>
      </c>
      <c r="J756" s="7">
        <f t="shared" si="179"/>
        <v>-83.569419483197208</v>
      </c>
      <c r="K756" s="8">
        <f t="shared" si="168"/>
        <v>184.66203140892873</v>
      </c>
      <c r="L756" s="8">
        <f t="shared" si="169"/>
        <v>-7.755805319175006</v>
      </c>
      <c r="M756" s="8">
        <f t="shared" si="166"/>
        <v>135.38245956277945</v>
      </c>
      <c r="N756" s="8">
        <f t="shared" si="170"/>
        <v>25</v>
      </c>
      <c r="O756" s="8">
        <f t="shared" si="171"/>
        <v>26.432202765451034</v>
      </c>
    </row>
    <row r="757" spans="1:15" x14ac:dyDescent="0.3">
      <c r="A757" s="5">
        <f t="shared" si="172"/>
        <v>7.4899999999998847</v>
      </c>
      <c r="B757" s="5">
        <f t="shared" si="167"/>
        <v>143.09038954047807</v>
      </c>
      <c r="C757" s="6">
        <f t="shared" si="165"/>
        <v>5519.2007394184393</v>
      </c>
      <c r="D757" s="6">
        <f t="shared" si="173"/>
        <v>30461576.801997047</v>
      </c>
      <c r="E757" s="7">
        <f t="shared" si="174"/>
        <v>6248571.4285714282</v>
      </c>
      <c r="F757" s="7">
        <f t="shared" si="175"/>
        <v>124.97142857142855</v>
      </c>
      <c r="G757" s="7">
        <f t="shared" si="176"/>
        <v>24213005.373425618</v>
      </c>
      <c r="H757" s="6">
        <f t="shared" si="177"/>
        <v>4920.6712319993112</v>
      </c>
      <c r="I757" s="7">
        <f t="shared" si="178"/>
        <v>-4.7893307635275466</v>
      </c>
      <c r="J757" s="7">
        <f t="shared" si="179"/>
        <v>-83.538070187384847</v>
      </c>
      <c r="K757" s="8">
        <f t="shared" si="168"/>
        <v>184.73132945034823</v>
      </c>
      <c r="L757" s="8">
        <f t="shared" si="169"/>
        <v>-7.7587158369146243</v>
      </c>
      <c r="M757" s="8">
        <f t="shared" si="166"/>
        <v>135.33167370356344</v>
      </c>
      <c r="N757" s="8">
        <f t="shared" si="170"/>
        <v>25.000000000000004</v>
      </c>
      <c r="O757" s="8">
        <f t="shared" si="171"/>
        <v>26.433277891380715</v>
      </c>
    </row>
    <row r="758" spans="1:15" x14ac:dyDescent="0.3">
      <c r="A758" s="5">
        <f t="shared" si="172"/>
        <v>7.4999999999998845</v>
      </c>
      <c r="B758" s="5">
        <f t="shared" si="167"/>
        <v>143.04249623284281</v>
      </c>
      <c r="C758" s="6">
        <f t="shared" si="165"/>
        <v>5517.3534261239365</v>
      </c>
      <c r="D758" s="6">
        <f t="shared" si="173"/>
        <v>30441188.82876154</v>
      </c>
      <c r="E758" s="7">
        <f t="shared" si="174"/>
        <v>6248571.4285714282</v>
      </c>
      <c r="F758" s="7">
        <f t="shared" si="175"/>
        <v>124.97142857142855</v>
      </c>
      <c r="G758" s="7">
        <f t="shared" si="176"/>
        <v>24192617.400190111</v>
      </c>
      <c r="H758" s="6">
        <f t="shared" si="177"/>
        <v>4918.5991298529416</v>
      </c>
      <c r="I758" s="7">
        <f t="shared" si="178"/>
        <v>-4.791129485478927</v>
      </c>
      <c r="J758" s="7">
        <f t="shared" si="179"/>
        <v>-83.506707695288242</v>
      </c>
      <c r="K758" s="8">
        <f t="shared" si="168"/>
        <v>184.80070872561575</v>
      </c>
      <c r="L758" s="8">
        <f t="shared" si="169"/>
        <v>-7.7616297664758607</v>
      </c>
      <c r="M758" s="8">
        <f t="shared" si="166"/>
        <v>135.28086646636694</v>
      </c>
      <c r="N758" s="8">
        <f t="shared" si="170"/>
        <v>24.999999999999996</v>
      </c>
      <c r="O758" s="8">
        <f t="shared" si="171"/>
        <v>26.43435468171057</v>
      </c>
    </row>
    <row r="759" spans="1:15" x14ac:dyDescent="0.3">
      <c r="A759" s="5">
        <f t="shared" si="172"/>
        <v>7.5099999999998843</v>
      </c>
      <c r="B759" s="5">
        <f t="shared" si="167"/>
        <v>142.99458493798801</v>
      </c>
      <c r="C759" s="6">
        <f t="shared" si="165"/>
        <v>5515.50541903668</v>
      </c>
      <c r="D759" s="6">
        <f t="shared" si="173"/>
        <v>30420800.027422983</v>
      </c>
      <c r="E759" s="7">
        <f t="shared" si="174"/>
        <v>6248571.4285714282</v>
      </c>
      <c r="F759" s="7">
        <f t="shared" si="175"/>
        <v>124.97142857142855</v>
      </c>
      <c r="G759" s="7">
        <f t="shared" si="176"/>
        <v>24172228.598851554</v>
      </c>
      <c r="H759" s="6">
        <f t="shared" si="177"/>
        <v>4916.5260701893521</v>
      </c>
      <c r="I759" s="7">
        <f t="shared" si="178"/>
        <v>-4.792930317708386</v>
      </c>
      <c r="J759" s="7">
        <f t="shared" si="179"/>
        <v>-83.475331989691625</v>
      </c>
      <c r="K759" s="8">
        <f t="shared" si="168"/>
        <v>184.87016939732345</v>
      </c>
      <c r="L759" s="8">
        <f t="shared" si="169"/>
        <v>-7.7645471146875842</v>
      </c>
      <c r="M759" s="8">
        <f t="shared" si="166"/>
        <v>135.23003782330042</v>
      </c>
      <c r="N759" s="8">
        <f t="shared" si="170"/>
        <v>25.000000000000007</v>
      </c>
      <c r="O759" s="8">
        <f t="shared" si="171"/>
        <v>26.4354331403858</v>
      </c>
    </row>
    <row r="760" spans="1:15" x14ac:dyDescent="0.3">
      <c r="A760" s="5">
        <f t="shared" si="172"/>
        <v>7.5199999999998841</v>
      </c>
      <c r="B760" s="5">
        <f t="shared" si="167"/>
        <v>142.94665563481092</v>
      </c>
      <c r="C760" s="6">
        <f t="shared" si="165"/>
        <v>5513.6567173427065</v>
      </c>
      <c r="D760" s="6">
        <f t="shared" si="173"/>
        <v>30400410.396698352</v>
      </c>
      <c r="E760" s="7">
        <f t="shared" si="174"/>
        <v>6248571.4285714282</v>
      </c>
      <c r="F760" s="7">
        <f t="shared" si="175"/>
        <v>124.97142857142855</v>
      </c>
      <c r="G760" s="7">
        <f t="shared" si="176"/>
        <v>24151838.968126923</v>
      </c>
      <c r="H760" s="6">
        <f t="shared" si="177"/>
        <v>4914.4520516662815</v>
      </c>
      <c r="I760" s="7">
        <f t="shared" si="178"/>
        <v>-4.7947332644432743</v>
      </c>
      <c r="J760" s="7">
        <f t="shared" si="179"/>
        <v>-83.443943053341258</v>
      </c>
      <c r="K760" s="8">
        <f t="shared" si="168"/>
        <v>184.93971162852628</v>
      </c>
      <c r="L760" s="8">
        <f t="shared" si="169"/>
        <v>-7.7674678883981034</v>
      </c>
      <c r="M760" s="8">
        <f t="shared" si="166"/>
        <v>135.17918774641282</v>
      </c>
      <c r="N760" s="8">
        <f t="shared" si="170"/>
        <v>25</v>
      </c>
      <c r="O760" s="8">
        <f t="shared" si="171"/>
        <v>26.436513271364184</v>
      </c>
    </row>
    <row r="761" spans="1:15" x14ac:dyDescent="0.3">
      <c r="A761" s="5">
        <f t="shared" si="172"/>
        <v>7.5299999999998839</v>
      </c>
      <c r="B761" s="5">
        <f t="shared" si="167"/>
        <v>142.89870830216648</v>
      </c>
      <c r="C761" s="6">
        <f t="shared" si="165"/>
        <v>5511.8073202264213</v>
      </c>
      <c r="D761" s="6">
        <f t="shared" si="173"/>
        <v>30380019.935301565</v>
      </c>
      <c r="E761" s="7">
        <f t="shared" si="174"/>
        <v>6248571.4285714282</v>
      </c>
      <c r="F761" s="7">
        <f t="shared" si="175"/>
        <v>124.97142857142855</v>
      </c>
      <c r="G761" s="7">
        <f t="shared" si="176"/>
        <v>24131448.506730136</v>
      </c>
      <c r="H761" s="6">
        <f t="shared" si="177"/>
        <v>4912.3770729383277</v>
      </c>
      <c r="I761" s="7">
        <f t="shared" si="178"/>
        <v>-4.7965383299230178</v>
      </c>
      <c r="J761" s="7">
        <f t="shared" si="179"/>
        <v>-83.4125408689452</v>
      </c>
      <c r="K761" s="8">
        <f t="shared" si="168"/>
        <v>185.00933558274497</v>
      </c>
      <c r="L761" s="8">
        <f t="shared" si="169"/>
        <v>-7.7703920944752882</v>
      </c>
      <c r="M761" s="8">
        <f t="shared" si="166"/>
        <v>135.1283162076912</v>
      </c>
      <c r="N761" s="8">
        <f t="shared" si="170"/>
        <v>25.000000000000018</v>
      </c>
      <c r="O761" s="8">
        <f t="shared" si="171"/>
        <v>26.437595078616305</v>
      </c>
    </row>
    <row r="762" spans="1:15" x14ac:dyDescent="0.3">
      <c r="A762" s="5">
        <f t="shared" si="172"/>
        <v>7.5399999999998837</v>
      </c>
      <c r="B762" s="5">
        <f t="shared" si="167"/>
        <v>142.85074291886724</v>
      </c>
      <c r="C762" s="6">
        <f t="shared" si="165"/>
        <v>5509.9572268705933</v>
      </c>
      <c r="D762" s="6">
        <f t="shared" si="173"/>
        <v>30359628.641943481</v>
      </c>
      <c r="E762" s="7">
        <f t="shared" si="174"/>
        <v>6248571.4285714282</v>
      </c>
      <c r="F762" s="7">
        <f t="shared" si="175"/>
        <v>124.97142857142855</v>
      </c>
      <c r="G762" s="7">
        <f t="shared" si="176"/>
        <v>24111057.213372052</v>
      </c>
      <c r="H762" s="6">
        <f t="shared" si="177"/>
        <v>4910.3011326569422</v>
      </c>
      <c r="I762" s="7">
        <f t="shared" si="178"/>
        <v>-4.7983455183991301</v>
      </c>
      <c r="J762" s="7">
        <f t="shared" si="179"/>
        <v>-83.381125419173259</v>
      </c>
      <c r="K762" s="8">
        <f t="shared" si="168"/>
        <v>185.07904142396643</v>
      </c>
      <c r="L762" s="8">
        <f t="shared" si="169"/>
        <v>-7.7733197398065892</v>
      </c>
      <c r="M762" s="8">
        <f t="shared" si="166"/>
        <v>135.07742317906064</v>
      </c>
      <c r="N762" s="8">
        <f t="shared" si="170"/>
        <v>25.000000000000007</v>
      </c>
      <c r="O762" s="8">
        <f t="shared" si="171"/>
        <v>26.438678566125411</v>
      </c>
    </row>
    <row r="763" spans="1:15" x14ac:dyDescent="0.3">
      <c r="A763" s="5">
        <f t="shared" si="172"/>
        <v>7.5499999999998835</v>
      </c>
      <c r="B763" s="5">
        <f t="shared" si="167"/>
        <v>142.80275946368326</v>
      </c>
      <c r="C763" s="6">
        <f t="shared" si="165"/>
        <v>5508.1064364563535</v>
      </c>
      <c r="D763" s="6">
        <f t="shared" si="173"/>
        <v>30339236.515331909</v>
      </c>
      <c r="E763" s="7">
        <f t="shared" si="174"/>
        <v>6248571.4285714282</v>
      </c>
      <c r="F763" s="7">
        <f t="shared" si="175"/>
        <v>124.97142857142855</v>
      </c>
      <c r="G763" s="7">
        <f t="shared" si="176"/>
        <v>24090665.08676048</v>
      </c>
      <c r="H763" s="6">
        <f t="shared" si="177"/>
        <v>4908.2242294704183</v>
      </c>
      <c r="I763" s="7">
        <f t="shared" si="178"/>
        <v>-4.8001548341352853</v>
      </c>
      <c r="J763" s="7">
        <f t="shared" si="179"/>
        <v>-83.34969668665687</v>
      </c>
      <c r="K763" s="8">
        <f t="shared" si="168"/>
        <v>185.1488293166467</v>
      </c>
      <c r="L763" s="8">
        <f t="shared" si="169"/>
        <v>-7.7762508312991603</v>
      </c>
      <c r="M763" s="8">
        <f t="shared" si="166"/>
        <v>135.02650863238409</v>
      </c>
      <c r="N763" s="8">
        <f t="shared" si="170"/>
        <v>25.000000000000004</v>
      </c>
      <c r="O763" s="8">
        <f t="shared" si="171"/>
        <v>26.439763737887645</v>
      </c>
    </row>
    <row r="764" spans="1:15" x14ac:dyDescent="0.3">
      <c r="A764" s="5">
        <f t="shared" si="172"/>
        <v>7.5599999999998833</v>
      </c>
      <c r="B764" s="5">
        <f t="shared" si="167"/>
        <v>142.75475791534191</v>
      </c>
      <c r="C764" s="6">
        <f t="shared" si="165"/>
        <v>5506.2549481631877</v>
      </c>
      <c r="D764" s="6">
        <f t="shared" si="173"/>
        <v>30318843.554171588</v>
      </c>
      <c r="E764" s="7">
        <f t="shared" si="174"/>
        <v>6248571.4285714282</v>
      </c>
      <c r="F764" s="7">
        <f t="shared" si="175"/>
        <v>124.97142857142855</v>
      </c>
      <c r="G764" s="7">
        <f t="shared" si="176"/>
        <v>24070272.125600159</v>
      </c>
      <c r="H764" s="6">
        <f t="shared" si="177"/>
        <v>4906.146362023881</v>
      </c>
      <c r="I764" s="7">
        <f t="shared" si="178"/>
        <v>-4.8019662814073474</v>
      </c>
      <c r="J764" s="7">
        <f t="shared" si="179"/>
        <v>-83.318254653988916</v>
      </c>
      <c r="K764" s="8">
        <f t="shared" si="168"/>
        <v>185.21869942571195</v>
      </c>
      <c r="L764" s="8">
        <f t="shared" si="169"/>
        <v>-7.7791853758799006</v>
      </c>
      <c r="M764" s="8">
        <f t="shared" si="166"/>
        <v>134.97557253946201</v>
      </c>
      <c r="N764" s="8">
        <f t="shared" si="170"/>
        <v>24.999999999999993</v>
      </c>
      <c r="O764" s="8">
        <f t="shared" si="171"/>
        <v>26.440850597911986</v>
      </c>
    </row>
    <row r="765" spans="1:15" x14ac:dyDescent="0.3">
      <c r="A765" s="5">
        <f t="shared" si="172"/>
        <v>7.569999999999883</v>
      </c>
      <c r="B765" s="5">
        <f t="shared" si="167"/>
        <v>142.70673825252783</v>
      </c>
      <c r="C765" s="6">
        <f t="shared" si="165"/>
        <v>5504.4027611689298</v>
      </c>
      <c r="D765" s="6">
        <f t="shared" si="173"/>
        <v>30298449.757164139</v>
      </c>
      <c r="E765" s="7">
        <f t="shared" si="174"/>
        <v>6248571.4285714282</v>
      </c>
      <c r="F765" s="7">
        <f t="shared" si="175"/>
        <v>124.97142857142855</v>
      </c>
      <c r="G765" s="7">
        <f t="shared" si="176"/>
        <v>24049878.32859271</v>
      </c>
      <c r="H765" s="6">
        <f t="shared" si="177"/>
        <v>4904.0675289592727</v>
      </c>
      <c r="I765" s="7">
        <f t="shared" si="178"/>
        <v>-4.8037798645034302</v>
      </c>
      <c r="J765" s="7">
        <f t="shared" si="179"/>
        <v>-83.28679930372364</v>
      </c>
      <c r="K765" s="8">
        <f t="shared" si="168"/>
        <v>185.28865191656087</v>
      </c>
      <c r="L765" s="8">
        <f t="shared" si="169"/>
        <v>-7.7821233804955554</v>
      </c>
      <c r="M765" s="8">
        <f t="shared" si="166"/>
        <v>134.92461487203227</v>
      </c>
      <c r="N765" s="8">
        <f t="shared" si="170"/>
        <v>25.000000000000018</v>
      </c>
      <c r="O765" s="8">
        <f t="shared" si="171"/>
        <v>26.441939150220392</v>
      </c>
    </row>
    <row r="766" spans="1:15" x14ac:dyDescent="0.3">
      <c r="A766" s="5">
        <f t="shared" si="172"/>
        <v>7.5799999999998828</v>
      </c>
      <c r="B766" s="5">
        <f t="shared" si="167"/>
        <v>142.6587004538828</v>
      </c>
      <c r="C766" s="6">
        <f t="shared" si="165"/>
        <v>5502.5498746497651</v>
      </c>
      <c r="D766" s="6">
        <f t="shared" si="173"/>
        <v>30278055.123008147</v>
      </c>
      <c r="E766" s="7">
        <f t="shared" si="174"/>
        <v>6248571.4285714282</v>
      </c>
      <c r="F766" s="7">
        <f t="shared" si="175"/>
        <v>124.97142857142855</v>
      </c>
      <c r="G766" s="7">
        <f t="shared" si="176"/>
        <v>24029483.694436718</v>
      </c>
      <c r="H766" s="6">
        <f t="shared" si="177"/>
        <v>4901.9877289153546</v>
      </c>
      <c r="I766" s="7">
        <f t="shared" si="178"/>
        <v>-4.8055955877239072</v>
      </c>
      <c r="J766" s="7">
        <f t="shared" si="179"/>
        <v>-83.255330618376604</v>
      </c>
      <c r="K766" s="8">
        <f t="shared" si="168"/>
        <v>185.35868695506497</v>
      </c>
      <c r="L766" s="8">
        <f t="shared" si="169"/>
        <v>-7.7850648521127281</v>
      </c>
      <c r="M766" s="8">
        <f t="shared" si="166"/>
        <v>134.87363560177008</v>
      </c>
      <c r="N766" s="8">
        <f t="shared" si="170"/>
        <v>25.000000000000004</v>
      </c>
      <c r="O766" s="8">
        <f t="shared" si="171"/>
        <v>26.443029398847649</v>
      </c>
    </row>
    <row r="767" spans="1:15" x14ac:dyDescent="0.3">
      <c r="A767" s="5">
        <f t="shared" si="172"/>
        <v>7.5899999999998826</v>
      </c>
      <c r="B767" s="5">
        <f t="shared" si="167"/>
        <v>142.61064449800557</v>
      </c>
      <c r="C767" s="6">
        <f t="shared" si="165"/>
        <v>5500.6962877802143</v>
      </c>
      <c r="D767" s="6">
        <f t="shared" si="173"/>
        <v>30257659.650399029</v>
      </c>
      <c r="E767" s="7">
        <f t="shared" si="174"/>
        <v>6248571.4285714282</v>
      </c>
      <c r="F767" s="7">
        <f t="shared" si="175"/>
        <v>124.97142857142855</v>
      </c>
      <c r="G767" s="7">
        <f t="shared" si="176"/>
        <v>24009088.2218276</v>
      </c>
      <c r="H767" s="6">
        <f t="shared" si="177"/>
        <v>4899.9069605276791</v>
      </c>
      <c r="I767" s="7">
        <f t="shared" si="178"/>
        <v>-4.8074134553815133</v>
      </c>
      <c r="J767" s="7">
        <f t="shared" si="179"/>
        <v>-83.223848580424402</v>
      </c>
      <c r="K767" s="8">
        <f t="shared" si="168"/>
        <v>185.42880470757265</v>
      </c>
      <c r="L767" s="8">
        <f t="shared" si="169"/>
        <v>-7.7880097977180505</v>
      </c>
      <c r="M767" s="8">
        <f t="shared" si="166"/>
        <v>134.82263470028752</v>
      </c>
      <c r="N767" s="8">
        <f t="shared" si="170"/>
        <v>25.000000000000021</v>
      </c>
      <c r="O767" s="8">
        <f t="shared" si="171"/>
        <v>26.444121347841744</v>
      </c>
    </row>
    <row r="768" spans="1:15" x14ac:dyDescent="0.3">
      <c r="A768" s="5">
        <f t="shared" si="172"/>
        <v>7.5999999999998824</v>
      </c>
      <c r="B768" s="5">
        <f t="shared" si="167"/>
        <v>142.56257036345175</v>
      </c>
      <c r="C768" s="6">
        <f t="shared" si="165"/>
        <v>5498.8419997331384</v>
      </c>
      <c r="D768" s="6">
        <f t="shared" si="173"/>
        <v>30237263.338029142</v>
      </c>
      <c r="E768" s="7">
        <f t="shared" si="174"/>
        <v>6248571.4285714282</v>
      </c>
      <c r="F768" s="7">
        <f t="shared" si="175"/>
        <v>124.97142857142855</v>
      </c>
      <c r="G768" s="7">
        <f t="shared" si="176"/>
        <v>23988691.909457713</v>
      </c>
      <c r="H768" s="6">
        <f t="shared" si="177"/>
        <v>4897.8252224285943</v>
      </c>
      <c r="I768" s="7">
        <f t="shared" si="178"/>
        <v>-4.8092334718013374</v>
      </c>
      <c r="J768" s="7">
        <f t="shared" si="179"/>
        <v>-83.192353172304692</v>
      </c>
      <c r="K768" s="8">
        <f t="shared" si="168"/>
        <v>185.49900534090872</v>
      </c>
      <c r="L768" s="8">
        <f t="shared" si="169"/>
        <v>-7.7909582243181656</v>
      </c>
      <c r="M768" s="8">
        <f t="shared" si="166"/>
        <v>134.77161213913359</v>
      </c>
      <c r="N768" s="8">
        <f t="shared" si="170"/>
        <v>25.000000000000021</v>
      </c>
      <c r="O768" s="8">
        <f t="shared" si="171"/>
        <v>26.445215001263612</v>
      </c>
    </row>
    <row r="769" spans="1:15" x14ac:dyDescent="0.3">
      <c r="A769" s="5">
        <f t="shared" si="172"/>
        <v>7.6099999999998822</v>
      </c>
      <c r="B769" s="5">
        <f t="shared" si="167"/>
        <v>142.51447802873375</v>
      </c>
      <c r="C769" s="6">
        <f t="shared" si="165"/>
        <v>5496.9870096797304</v>
      </c>
      <c r="D769" s="6">
        <f t="shared" si="173"/>
        <v>30216866.184587706</v>
      </c>
      <c r="E769" s="7">
        <f t="shared" si="174"/>
        <v>6248571.4285714282</v>
      </c>
      <c r="F769" s="7">
        <f t="shared" si="175"/>
        <v>124.97142857142855</v>
      </c>
      <c r="G769" s="7">
        <f t="shared" si="176"/>
        <v>23968294.756016277</v>
      </c>
      <c r="H769" s="6">
        <f t="shared" si="177"/>
        <v>4895.7425132472272</v>
      </c>
      <c r="I769" s="7">
        <f t="shared" si="178"/>
        <v>-4.8110556413209</v>
      </c>
      <c r="J769" s="7">
        <f t="shared" si="179"/>
        <v>-83.160844376416009</v>
      </c>
      <c r="K769" s="8">
        <f t="shared" si="168"/>
        <v>185.56928902237757</v>
      </c>
      <c r="L769" s="8">
        <f t="shared" si="169"/>
        <v>-7.7939101389398573</v>
      </c>
      <c r="M769" s="8">
        <f t="shared" si="166"/>
        <v>134.7205678897939</v>
      </c>
      <c r="N769" s="8">
        <f t="shared" si="170"/>
        <v>25.000000000000004</v>
      </c>
      <c r="O769" s="8">
        <f t="shared" si="171"/>
        <v>26.446310363187372</v>
      </c>
    </row>
    <row r="770" spans="1:15" x14ac:dyDescent="0.3">
      <c r="A770" s="5">
        <f t="shared" si="172"/>
        <v>7.619999999999882</v>
      </c>
      <c r="B770" s="5">
        <f t="shared" si="167"/>
        <v>142.46636747232054</v>
      </c>
      <c r="C770" s="6">
        <f t="shared" si="165"/>
        <v>5495.1313167895059</v>
      </c>
      <c r="D770" s="6">
        <f t="shared" si="173"/>
        <v>30196468.188760769</v>
      </c>
      <c r="E770" s="7">
        <f t="shared" si="174"/>
        <v>6248571.4285714282</v>
      </c>
      <c r="F770" s="7">
        <f t="shared" si="175"/>
        <v>124.97142857142855</v>
      </c>
      <c r="G770" s="7">
        <f t="shared" si="176"/>
        <v>23947896.76018934</v>
      </c>
      <c r="H770" s="6">
        <f t="shared" si="177"/>
        <v>4893.6588316094676</v>
      </c>
      <c r="I770" s="7">
        <f t="shared" si="178"/>
        <v>-4.8128799682902024</v>
      </c>
      <c r="J770" s="7">
        <f t="shared" si="179"/>
        <v>-83.129322175117551</v>
      </c>
      <c r="K770" s="8">
        <f t="shared" si="168"/>
        <v>185.63965591976495</v>
      </c>
      <c r="L770" s="8">
        <f t="shared" si="169"/>
        <v>-7.7968655486301266</v>
      </c>
      <c r="M770" s="8">
        <f t="shared" si="166"/>
        <v>134.6695019236904</v>
      </c>
      <c r="N770" s="8">
        <f t="shared" si="170"/>
        <v>25.000000000000011</v>
      </c>
      <c r="O770" s="8">
        <f t="shared" si="171"/>
        <v>26.447407437700377</v>
      </c>
    </row>
    <row r="771" spans="1:15" x14ac:dyDescent="0.3">
      <c r="A771" s="5">
        <f t="shared" si="172"/>
        <v>7.6299999999998818</v>
      </c>
      <c r="B771" s="5">
        <f t="shared" si="167"/>
        <v>142.41823867263764</v>
      </c>
      <c r="C771" s="6">
        <f t="shared" si="165"/>
        <v>5493.2749202303085</v>
      </c>
      <c r="D771" s="6">
        <f t="shared" si="173"/>
        <v>30176069.349231303</v>
      </c>
      <c r="E771" s="7">
        <f t="shared" si="174"/>
        <v>6248571.4285714282</v>
      </c>
      <c r="F771" s="7">
        <f t="shared" si="175"/>
        <v>124.97142857142855</v>
      </c>
      <c r="G771" s="7">
        <f t="shared" si="176"/>
        <v>23927497.920659874</v>
      </c>
      <c r="H771" s="6">
        <f t="shared" si="177"/>
        <v>4891.5741761379713</v>
      </c>
      <c r="I771" s="7">
        <f t="shared" si="178"/>
        <v>-4.8147064570717433</v>
      </c>
      <c r="J771" s="7">
        <f t="shared" si="179"/>
        <v>-83.097786550729282</v>
      </c>
      <c r="K771" s="8">
        <f t="shared" si="168"/>
        <v>185.71010620133865</v>
      </c>
      <c r="L771" s="8">
        <f t="shared" si="169"/>
        <v>-7.7998244604562226</v>
      </c>
      <c r="M771" s="8">
        <f t="shared" si="166"/>
        <v>134.61841421218142</v>
      </c>
      <c r="N771" s="8">
        <f t="shared" si="170"/>
        <v>25.000000000000007</v>
      </c>
      <c r="O771" s="8">
        <f t="shared" si="171"/>
        <v>26.448506228903131</v>
      </c>
    </row>
    <row r="772" spans="1:15" x14ac:dyDescent="0.3">
      <c r="A772" s="5">
        <f t="shared" si="172"/>
        <v>7.6399999999998816</v>
      </c>
      <c r="B772" s="5">
        <f t="shared" si="167"/>
        <v>142.37009160806693</v>
      </c>
      <c r="C772" s="6">
        <f t="shared" si="165"/>
        <v>5491.4178191682959</v>
      </c>
      <c r="D772" s="6">
        <f t="shared" si="173"/>
        <v>30155669.664679084</v>
      </c>
      <c r="E772" s="7">
        <f t="shared" si="174"/>
        <v>6248571.4285714282</v>
      </c>
      <c r="F772" s="7">
        <f t="shared" si="175"/>
        <v>124.97142857142855</v>
      </c>
      <c r="G772" s="7">
        <f t="shared" si="176"/>
        <v>23907098.236107655</v>
      </c>
      <c r="H772" s="6">
        <f t="shared" si="177"/>
        <v>4889.4885454521373</v>
      </c>
      <c r="I772" s="7">
        <f t="shared" si="178"/>
        <v>-4.8165351120405937</v>
      </c>
      <c r="J772" s="7">
        <f t="shared" si="179"/>
        <v>-83.066237485531616</v>
      </c>
      <c r="K772" s="8">
        <f t="shared" si="168"/>
        <v>185.78064003585146</v>
      </c>
      <c r="L772" s="8">
        <f t="shared" si="169"/>
        <v>-7.8027868815057611</v>
      </c>
      <c r="M772" s="8">
        <f t="shared" si="166"/>
        <v>134.56730472656116</v>
      </c>
      <c r="N772" s="8">
        <f t="shared" si="170"/>
        <v>24.999999999999993</v>
      </c>
      <c r="O772" s="8">
        <f t="shared" si="171"/>
        <v>26.449606740909481</v>
      </c>
    </row>
    <row r="773" spans="1:15" x14ac:dyDescent="0.3">
      <c r="A773" s="5">
        <f t="shared" si="172"/>
        <v>7.6499999999998813</v>
      </c>
      <c r="B773" s="5">
        <f t="shared" si="167"/>
        <v>142.32192625694651</v>
      </c>
      <c r="C773" s="6">
        <f t="shared" si="165"/>
        <v>5489.5600127679363</v>
      </c>
      <c r="D773" s="6">
        <f t="shared" si="173"/>
        <v>30135269.133780707</v>
      </c>
      <c r="E773" s="7">
        <f t="shared" si="174"/>
        <v>6248571.4285714282</v>
      </c>
      <c r="F773" s="7">
        <f t="shared" si="175"/>
        <v>124.97142857142855</v>
      </c>
      <c r="G773" s="7">
        <f t="shared" si="176"/>
        <v>23886697.705209278</v>
      </c>
      <c r="H773" s="6">
        <f t="shared" si="177"/>
        <v>4887.4019381680973</v>
      </c>
      <c r="I773" s="7">
        <f t="shared" si="178"/>
        <v>-4.8183659375844465</v>
      </c>
      <c r="J773" s="7">
        <f t="shared" si="179"/>
        <v>-83.034674961765262</v>
      </c>
      <c r="K773" s="8">
        <f t="shared" si="168"/>
        <v>185.85125759254294</v>
      </c>
      <c r="L773" s="8">
        <f t="shared" si="169"/>
        <v>-7.8057528188868028</v>
      </c>
      <c r="M773" s="8">
        <f t="shared" si="166"/>
        <v>134.5161734380597</v>
      </c>
      <c r="N773" s="8">
        <f t="shared" si="170"/>
        <v>25.000000000000014</v>
      </c>
      <c r="O773" s="8">
        <f t="shared" si="171"/>
        <v>26.450708977846666</v>
      </c>
    </row>
    <row r="774" spans="1:15" x14ac:dyDescent="0.3">
      <c r="A774" s="5">
        <f t="shared" si="172"/>
        <v>7.6599999999998811</v>
      </c>
      <c r="B774" s="5">
        <f t="shared" si="167"/>
        <v>142.27374259757067</v>
      </c>
      <c r="C774" s="6">
        <f t="shared" si="165"/>
        <v>5487.7015001920117</v>
      </c>
      <c r="D774" s="6">
        <f t="shared" si="173"/>
        <v>30114867.755209655</v>
      </c>
      <c r="E774" s="7">
        <f t="shared" si="174"/>
        <v>6248571.4285714282</v>
      </c>
      <c r="F774" s="7">
        <f t="shared" si="175"/>
        <v>124.97142857142855</v>
      </c>
      <c r="G774" s="7">
        <f t="shared" si="176"/>
        <v>23866296.326638225</v>
      </c>
      <c r="H774" s="6">
        <f t="shared" si="177"/>
        <v>4885.3143528987184</v>
      </c>
      <c r="I774" s="7">
        <f t="shared" si="178"/>
        <v>-4.8201989381036281</v>
      </c>
      <c r="J774" s="7">
        <f t="shared" si="179"/>
        <v>-83.00309896163138</v>
      </c>
      <c r="K774" s="8">
        <f t="shared" si="168"/>
        <v>185.92195904113993</v>
      </c>
      <c r="L774" s="8">
        <f t="shared" si="169"/>
        <v>-7.8087222797278759</v>
      </c>
      <c r="M774" s="8">
        <f t="shared" si="166"/>
        <v>134.4650203178428</v>
      </c>
      <c r="N774" s="8">
        <f t="shared" si="170"/>
        <v>25.000000000000018</v>
      </c>
      <c r="O774" s="8">
        <f t="shared" si="171"/>
        <v>26.45181294385522</v>
      </c>
    </row>
    <row r="775" spans="1:15" x14ac:dyDescent="0.3">
      <c r="A775" s="5">
        <f t="shared" si="172"/>
        <v>7.6699999999998809</v>
      </c>
      <c r="B775" s="5">
        <f t="shared" si="167"/>
        <v>142.22554060818965</v>
      </c>
      <c r="C775" s="6">
        <f t="shared" si="165"/>
        <v>5485.8422806016006</v>
      </c>
      <c r="D775" s="6">
        <f t="shared" si="173"/>
        <v>30094465.52763617</v>
      </c>
      <c r="E775" s="7">
        <f t="shared" si="174"/>
        <v>6248571.4285714282</v>
      </c>
      <c r="F775" s="7">
        <f t="shared" si="175"/>
        <v>124.97142857142855</v>
      </c>
      <c r="G775" s="7">
        <f t="shared" si="176"/>
        <v>23845894.099064741</v>
      </c>
      <c r="H775" s="6">
        <f t="shared" si="177"/>
        <v>4883.2257882535741</v>
      </c>
      <c r="I775" s="7">
        <f t="shared" si="178"/>
        <v>-4.8220341180111861</v>
      </c>
      <c r="J775" s="7">
        <f t="shared" si="179"/>
        <v>-82.971509467291085</v>
      </c>
      <c r="K775" s="8">
        <f t="shared" si="168"/>
        <v>185.99274455186003</v>
      </c>
      <c r="L775" s="8">
        <f t="shared" si="169"/>
        <v>-7.8116952711781202</v>
      </c>
      <c r="M775" s="8">
        <f t="shared" si="166"/>
        <v>134.41384533701154</v>
      </c>
      <c r="N775" s="8">
        <f t="shared" si="170"/>
        <v>25.000000000000007</v>
      </c>
      <c r="O775" s="8">
        <f t="shared" si="171"/>
        <v>26.452918643089212</v>
      </c>
    </row>
    <row r="776" spans="1:15" x14ac:dyDescent="0.3">
      <c r="A776" s="5">
        <f t="shared" si="172"/>
        <v>7.6799999999998807</v>
      </c>
      <c r="B776" s="5">
        <f t="shared" si="167"/>
        <v>142.17732026700955</v>
      </c>
      <c r="C776" s="6">
        <f t="shared" ref="C776:C839" si="180">$B$1*B776</f>
        <v>5483.9823531560824</v>
      </c>
      <c r="D776" s="6">
        <f t="shared" si="173"/>
        <v>30074062.449727323</v>
      </c>
      <c r="E776" s="7">
        <f t="shared" si="174"/>
        <v>6248571.4285714282</v>
      </c>
      <c r="F776" s="7">
        <f t="shared" si="175"/>
        <v>124.97142857142855</v>
      </c>
      <c r="G776" s="7">
        <f t="shared" si="176"/>
        <v>23825491.021155894</v>
      </c>
      <c r="H776" s="6">
        <f t="shared" si="177"/>
        <v>4881.1362428389448</v>
      </c>
      <c r="I776" s="7">
        <f t="shared" si="178"/>
        <v>-4.823871481732926</v>
      </c>
      <c r="J776" s="7">
        <f t="shared" si="179"/>
        <v>-82.939906460865572</v>
      </c>
      <c r="K776" s="8">
        <f t="shared" si="168"/>
        <v>186.06361429541286</v>
      </c>
      <c r="L776" s="8">
        <f t="shared" si="169"/>
        <v>-7.8146718004073392</v>
      </c>
      <c r="M776" s="8">
        <f t="shared" ref="M776:M839" si="181">B776+L776</f>
        <v>134.3626484666022</v>
      </c>
      <c r="N776" s="8">
        <f t="shared" si="170"/>
        <v>25.000000000000018</v>
      </c>
      <c r="O776" s="8">
        <f t="shared" si="171"/>
        <v>26.45402607971625</v>
      </c>
    </row>
    <row r="777" spans="1:15" x14ac:dyDescent="0.3">
      <c r="A777" s="5">
        <f t="shared" si="172"/>
        <v>7.6899999999998805</v>
      </c>
      <c r="B777" s="5">
        <f t="shared" ref="B777:B840" si="182">I776*$B$5+B776</f>
        <v>142.12908155219222</v>
      </c>
      <c r="C777" s="6">
        <f t="shared" si="180"/>
        <v>5482.1217170131285</v>
      </c>
      <c r="D777" s="6">
        <f t="shared" si="173"/>
        <v>30053658.520146973</v>
      </c>
      <c r="E777" s="7">
        <f t="shared" si="174"/>
        <v>6248571.4285714282</v>
      </c>
      <c r="F777" s="7">
        <f t="shared" si="175"/>
        <v>124.97142857142855</v>
      </c>
      <c r="G777" s="7">
        <f t="shared" si="176"/>
        <v>23805087.091575544</v>
      </c>
      <c r="H777" s="6">
        <f t="shared" si="177"/>
        <v>4879.0457152578047</v>
      </c>
      <c r="I777" s="7">
        <f t="shared" si="178"/>
        <v>-4.8257110337074396</v>
      </c>
      <c r="J777" s="7">
        <f t="shared" si="179"/>
        <v>-82.90828992443592</v>
      </c>
      <c r="K777" s="8">
        <f t="shared" ref="K777:K840" si="183">-$B$1*I777</f>
        <v>186.13456844300123</v>
      </c>
      <c r="L777" s="8">
        <f t="shared" ref="L777:L840" si="184">-$B$2*K777</f>
        <v>-7.8176518746060504</v>
      </c>
      <c r="M777" s="8">
        <f t="shared" si="181"/>
        <v>134.31142967758618</v>
      </c>
      <c r="N777" s="8">
        <f t="shared" ref="N777:N840" si="185">K777*M777/1000</f>
        <v>25.000000000000011</v>
      </c>
      <c r="O777" s="8">
        <f t="shared" ref="O777:O840" si="186">B777*K777/1000</f>
        <v>26.455135257917426</v>
      </c>
    </row>
    <row r="778" spans="1:15" x14ac:dyDescent="0.3">
      <c r="A778" s="5">
        <f t="shared" ref="A778:A841" si="187">A777+$B$5</f>
        <v>7.6999999999998803</v>
      </c>
      <c r="B778" s="5">
        <f t="shared" si="182"/>
        <v>142.08082444185516</v>
      </c>
      <c r="C778" s="6">
        <f t="shared" si="180"/>
        <v>5480.260371328699</v>
      </c>
      <c r="D778" s="6">
        <f t="shared" ref="D778:D841" si="188">POWER(C778,2)</f>
        <v>30033253.737555768</v>
      </c>
      <c r="E778" s="7">
        <f t="shared" ref="E778:E841" si="189">4*$B$2*$B$3*POWER($B$1,2)</f>
        <v>6248571.4285714282</v>
      </c>
      <c r="F778" s="7">
        <f t="shared" ref="F778:F841" si="190">POWER($B$1,2)*2*$B$2</f>
        <v>124.97142857142855</v>
      </c>
      <c r="G778" s="7">
        <f t="shared" ref="G778:G841" si="191">D778-E778</f>
        <v>23784682.308984339</v>
      </c>
      <c r="H778" s="6">
        <f t="shared" ref="H778:H841" si="192">SQRT(G778)</f>
        <v>4876.9542041098084</v>
      </c>
      <c r="I778" s="7">
        <f t="shared" ref="I778:I841" si="193">(-C778+H778)/F778</f>
        <v>-4.8275527783861847</v>
      </c>
      <c r="J778" s="7">
        <f t="shared" ref="J778:J841" si="194">(-C778-H778)/F778</f>
        <v>-82.876659840042947</v>
      </c>
      <c r="K778" s="8">
        <f t="shared" si="183"/>
        <v>186.20560716632426</v>
      </c>
      <c r="L778" s="8">
        <f t="shared" si="184"/>
        <v>-7.8206355009856177</v>
      </c>
      <c r="M778" s="8">
        <f t="shared" si="181"/>
        <v>134.26018894086954</v>
      </c>
      <c r="N778" s="8">
        <f t="shared" si="185"/>
        <v>25.000000000000025</v>
      </c>
      <c r="O778" s="8">
        <f t="shared" si="186"/>
        <v>26.456246181887565</v>
      </c>
    </row>
    <row r="779" spans="1:15" x14ac:dyDescent="0.3">
      <c r="A779" s="5">
        <f t="shared" si="187"/>
        <v>7.7099999999998801</v>
      </c>
      <c r="B779" s="5">
        <f t="shared" si="182"/>
        <v>142.0325489140713</v>
      </c>
      <c r="C779" s="6">
        <f t="shared" si="180"/>
        <v>5478.3983152570354</v>
      </c>
      <c r="D779" s="6">
        <f t="shared" si="188"/>
        <v>30012848.100611124</v>
      </c>
      <c r="E779" s="7">
        <f t="shared" si="189"/>
        <v>6248571.4285714282</v>
      </c>
      <c r="F779" s="7">
        <f t="shared" si="190"/>
        <v>124.97142857142855</v>
      </c>
      <c r="G779" s="7">
        <f t="shared" si="191"/>
        <v>23764276.672039695</v>
      </c>
      <c r="H779" s="6">
        <f t="shared" si="192"/>
        <v>4874.8617079912838</v>
      </c>
      <c r="I779" s="7">
        <f t="shared" si="193"/>
        <v>-4.829396720233496</v>
      </c>
      <c r="J779" s="7">
        <f t="shared" si="194"/>
        <v>-82.845016189687072</v>
      </c>
      <c r="K779" s="8">
        <f t="shared" si="183"/>
        <v>186.27673063757769</v>
      </c>
      <c r="L779" s="8">
        <f t="shared" si="184"/>
        <v>-7.8236226867782621</v>
      </c>
      <c r="M779" s="8">
        <f t="shared" si="181"/>
        <v>134.20892622729303</v>
      </c>
      <c r="N779" s="8">
        <f t="shared" si="185"/>
        <v>25</v>
      </c>
      <c r="O779" s="8">
        <f t="shared" si="186"/>
        <v>26.457358855835036</v>
      </c>
    </row>
    <row r="780" spans="1:15" x14ac:dyDescent="0.3">
      <c r="A780" s="5">
        <f t="shared" si="187"/>
        <v>7.7199999999998798</v>
      </c>
      <c r="B780" s="5">
        <f t="shared" si="182"/>
        <v>141.98425494686896</v>
      </c>
      <c r="C780" s="6">
        <f t="shared" si="180"/>
        <v>5476.5355479506597</v>
      </c>
      <c r="D780" s="6">
        <f t="shared" si="188"/>
        <v>29992441.607967231</v>
      </c>
      <c r="E780" s="7">
        <f t="shared" si="189"/>
        <v>6248571.4285714282</v>
      </c>
      <c r="F780" s="7">
        <f t="shared" si="190"/>
        <v>124.97142857142855</v>
      </c>
      <c r="G780" s="7">
        <f t="shared" si="191"/>
        <v>23743870.179395802</v>
      </c>
      <c r="H780" s="6">
        <f t="shared" si="192"/>
        <v>4872.7682254952169</v>
      </c>
      <c r="I780" s="7">
        <f t="shared" si="193"/>
        <v>-4.8312428637266809</v>
      </c>
      <c r="J780" s="7">
        <f t="shared" si="194"/>
        <v>-82.813358955328255</v>
      </c>
      <c r="K780" s="8">
        <f t="shared" si="183"/>
        <v>186.34793902945768</v>
      </c>
      <c r="L780" s="8">
        <f t="shared" si="184"/>
        <v>-7.8266134392372217</v>
      </c>
      <c r="M780" s="8">
        <f t="shared" si="181"/>
        <v>134.15764150763172</v>
      </c>
      <c r="N780" s="8">
        <f t="shared" si="185"/>
        <v>24.999999999999996</v>
      </c>
      <c r="O780" s="8">
        <f t="shared" si="186"/>
        <v>26.458473283982112</v>
      </c>
    </row>
    <row r="781" spans="1:15" x14ac:dyDescent="0.3">
      <c r="A781" s="5">
        <f t="shared" si="187"/>
        <v>7.7299999999998796</v>
      </c>
      <c r="B781" s="5">
        <f t="shared" si="182"/>
        <v>141.93594251823168</v>
      </c>
      <c r="C781" s="6">
        <f t="shared" si="180"/>
        <v>5474.672068560365</v>
      </c>
      <c r="D781" s="6">
        <f t="shared" si="188"/>
        <v>29972034.258275025</v>
      </c>
      <c r="E781" s="7">
        <f t="shared" si="189"/>
        <v>6248571.4285714282</v>
      </c>
      <c r="F781" s="7">
        <f t="shared" si="190"/>
        <v>124.97142857142855</v>
      </c>
      <c r="G781" s="7">
        <f t="shared" si="191"/>
        <v>23723462.829703595</v>
      </c>
      <c r="H781" s="6">
        <f t="shared" si="192"/>
        <v>4870.6737552112436</v>
      </c>
      <c r="I781" s="7">
        <f t="shared" si="193"/>
        <v>-4.8330912133560249</v>
      </c>
      <c r="J781" s="7">
        <f t="shared" si="194"/>
        <v>-82.781688118885768</v>
      </c>
      <c r="K781" s="8">
        <f t="shared" si="183"/>
        <v>186.41923251516096</v>
      </c>
      <c r="L781" s="8">
        <f t="shared" si="184"/>
        <v>-7.8296077656367595</v>
      </c>
      <c r="M781" s="8">
        <f t="shared" si="181"/>
        <v>134.10633475259493</v>
      </c>
      <c r="N781" s="8">
        <f t="shared" si="185"/>
        <v>25.000000000000004</v>
      </c>
      <c r="O781" s="8">
        <f t="shared" si="186"/>
        <v>26.459589470564751</v>
      </c>
    </row>
    <row r="782" spans="1:15" x14ac:dyDescent="0.3">
      <c r="A782" s="5">
        <f t="shared" si="187"/>
        <v>7.7399999999998794</v>
      </c>
      <c r="B782" s="5">
        <f t="shared" si="182"/>
        <v>141.88761160609812</v>
      </c>
      <c r="C782" s="6">
        <f t="shared" si="180"/>
        <v>5472.8078762352125</v>
      </c>
      <c r="D782" s="6">
        <f t="shared" si="188"/>
        <v>29951626.050182175</v>
      </c>
      <c r="E782" s="7">
        <f t="shared" si="189"/>
        <v>6248571.4285714282</v>
      </c>
      <c r="F782" s="7">
        <f t="shared" si="190"/>
        <v>124.97142857142855</v>
      </c>
      <c r="G782" s="7">
        <f t="shared" si="191"/>
        <v>23703054.621610746</v>
      </c>
      <c r="H782" s="6">
        <f t="shared" si="192"/>
        <v>4868.578295725637</v>
      </c>
      <c r="I782" s="7">
        <f t="shared" si="193"/>
        <v>-4.8349417736248617</v>
      </c>
      <c r="J782" s="7">
        <f t="shared" si="194"/>
        <v>-82.750003662238186</v>
      </c>
      <c r="K782" s="8">
        <f t="shared" si="183"/>
        <v>186.49061126838751</v>
      </c>
      <c r="L782" s="8">
        <f t="shared" si="184"/>
        <v>-7.8326056732722744</v>
      </c>
      <c r="M782" s="8">
        <f t="shared" si="181"/>
        <v>134.05500593282585</v>
      </c>
      <c r="N782" s="8">
        <f t="shared" si="185"/>
        <v>25.000000000000007</v>
      </c>
      <c r="O782" s="8">
        <f t="shared" si="186"/>
        <v>26.460707419832794</v>
      </c>
    </row>
    <row r="783" spans="1:15" x14ac:dyDescent="0.3">
      <c r="A783" s="5">
        <f t="shared" si="187"/>
        <v>7.7499999999998792</v>
      </c>
      <c r="B783" s="5">
        <f t="shared" si="182"/>
        <v>141.83926218836186</v>
      </c>
      <c r="C783" s="6">
        <f t="shared" si="180"/>
        <v>5470.9429701225281</v>
      </c>
      <c r="D783" s="6">
        <f t="shared" si="188"/>
        <v>29931216.982333109</v>
      </c>
      <c r="E783" s="7">
        <f t="shared" si="189"/>
        <v>6248571.4285714282</v>
      </c>
      <c r="F783" s="7">
        <f t="shared" si="190"/>
        <v>124.97142857142855</v>
      </c>
      <c r="G783" s="7">
        <f t="shared" si="191"/>
        <v>23682645.55376168</v>
      </c>
      <c r="H783" s="6">
        <f t="shared" si="192"/>
        <v>4866.4818456212988</v>
      </c>
      <c r="I783" s="7">
        <f t="shared" si="193"/>
        <v>-4.8367945490496176</v>
      </c>
      <c r="J783" s="7">
        <f t="shared" si="194"/>
        <v>-82.71830556722314</v>
      </c>
      <c r="K783" s="8">
        <f t="shared" si="183"/>
        <v>186.56207546334238</v>
      </c>
      <c r="L783" s="8">
        <f t="shared" si="184"/>
        <v>-7.8356071694603795</v>
      </c>
      <c r="M783" s="8">
        <f t="shared" si="181"/>
        <v>134.00365501890147</v>
      </c>
      <c r="N783" s="8">
        <f t="shared" si="185"/>
        <v>24.999999999999996</v>
      </c>
      <c r="O783" s="8">
        <f t="shared" si="186"/>
        <v>26.461827136049973</v>
      </c>
    </row>
    <row r="784" spans="1:15" x14ac:dyDescent="0.3">
      <c r="A784" s="5">
        <f t="shared" si="187"/>
        <v>7.759999999999879</v>
      </c>
      <c r="B784" s="5">
        <f t="shared" si="182"/>
        <v>141.79089424287136</v>
      </c>
      <c r="C784" s="6">
        <f t="shared" si="180"/>
        <v>5469.0773493678953</v>
      </c>
      <c r="D784" s="6">
        <f t="shared" si="188"/>
        <v>29910807.053368963</v>
      </c>
      <c r="E784" s="7">
        <f t="shared" si="189"/>
        <v>6248571.4285714282</v>
      </c>
      <c r="F784" s="7">
        <f t="shared" si="190"/>
        <v>124.97142857142855</v>
      </c>
      <c r="G784" s="7">
        <f t="shared" si="191"/>
        <v>23662235.624797534</v>
      </c>
      <c r="H784" s="6">
        <f t="shared" si="192"/>
        <v>4864.3844034777449</v>
      </c>
      <c r="I784" s="7">
        <f t="shared" si="193"/>
        <v>-4.8386495441598694</v>
      </c>
      <c r="J784" s="7">
        <f t="shared" si="194"/>
        <v>-82.686593815637281</v>
      </c>
      <c r="K784" s="8">
        <f t="shared" si="183"/>
        <v>186.6336252747378</v>
      </c>
      <c r="L784" s="8">
        <f t="shared" si="184"/>
        <v>-7.8386122615389864</v>
      </c>
      <c r="M784" s="8">
        <f t="shared" si="181"/>
        <v>133.95228198133236</v>
      </c>
      <c r="N784" s="8">
        <f t="shared" si="185"/>
        <v>24.999999999999996</v>
      </c>
      <c r="O784" s="8">
        <f t="shared" si="186"/>
        <v>26.462948623494029</v>
      </c>
    </row>
    <row r="785" spans="1:15" x14ac:dyDescent="0.3">
      <c r="A785" s="5">
        <f t="shared" si="187"/>
        <v>7.7699999999998788</v>
      </c>
      <c r="B785" s="5">
        <f t="shared" si="182"/>
        <v>141.74250774742976</v>
      </c>
      <c r="C785" s="6">
        <f t="shared" si="180"/>
        <v>5467.2110131151476</v>
      </c>
      <c r="D785" s="6">
        <f t="shared" si="188"/>
        <v>29890396.26192756</v>
      </c>
      <c r="E785" s="7">
        <f t="shared" si="189"/>
        <v>6248571.4285714282</v>
      </c>
      <c r="F785" s="7">
        <f t="shared" si="190"/>
        <v>124.97142857142855</v>
      </c>
      <c r="G785" s="7">
        <f t="shared" si="191"/>
        <v>23641824.833356131</v>
      </c>
      <c r="H785" s="6">
        <f t="shared" si="192"/>
        <v>4862.2859678710929</v>
      </c>
      <c r="I785" s="7">
        <f t="shared" si="193"/>
        <v>-4.8405067634983805</v>
      </c>
      <c r="J785" s="7">
        <f t="shared" si="194"/>
        <v>-82.654868389236057</v>
      </c>
      <c r="K785" s="8">
        <f t="shared" si="183"/>
        <v>186.70526087779467</v>
      </c>
      <c r="L785" s="8">
        <f t="shared" si="184"/>
        <v>-7.8416209568673754</v>
      </c>
      <c r="M785" s="8">
        <f t="shared" si="181"/>
        <v>133.90088679056237</v>
      </c>
      <c r="N785" s="8">
        <f t="shared" si="185"/>
        <v>24.999999999999996</v>
      </c>
      <c r="O785" s="8">
        <f t="shared" si="186"/>
        <v>26.464071886456708</v>
      </c>
    </row>
    <row r="786" spans="1:15" x14ac:dyDescent="0.3">
      <c r="A786" s="5">
        <f t="shared" si="187"/>
        <v>7.7799999999998786</v>
      </c>
      <c r="B786" s="5">
        <f t="shared" si="182"/>
        <v>141.69410267979478</v>
      </c>
      <c r="C786" s="6">
        <f t="shared" si="180"/>
        <v>5465.3439605063695</v>
      </c>
      <c r="D786" s="6">
        <f t="shared" si="188"/>
        <v>29869984.60664345</v>
      </c>
      <c r="E786" s="7">
        <f t="shared" si="189"/>
        <v>6248571.4285714282</v>
      </c>
      <c r="F786" s="7">
        <f t="shared" si="190"/>
        <v>124.97142857142855</v>
      </c>
      <c r="G786" s="7">
        <f t="shared" si="191"/>
        <v>23621413.17807202</v>
      </c>
      <c r="H786" s="6">
        <f t="shared" si="192"/>
        <v>4860.1865373740566</v>
      </c>
      <c r="I786" s="7">
        <f t="shared" si="193"/>
        <v>-4.8423662116211608</v>
      </c>
      <c r="J786" s="7">
        <f t="shared" si="194"/>
        <v>-82.623129269733653</v>
      </c>
      <c r="K786" s="8">
        <f t="shared" si="183"/>
        <v>186.77698244824475</v>
      </c>
      <c r="L786" s="8">
        <f t="shared" si="184"/>
        <v>-7.8446332628262789</v>
      </c>
      <c r="M786" s="8">
        <f t="shared" si="181"/>
        <v>133.8494694169685</v>
      </c>
      <c r="N786" s="8">
        <f t="shared" si="185"/>
        <v>25</v>
      </c>
      <c r="O786" s="8">
        <f t="shared" si="186"/>
        <v>26.46519692924382</v>
      </c>
    </row>
    <row r="787" spans="1:15" x14ac:dyDescent="0.3">
      <c r="A787" s="5">
        <f t="shared" si="187"/>
        <v>7.7899999999998784</v>
      </c>
      <c r="B787" s="5">
        <f t="shared" si="182"/>
        <v>141.64567901767856</v>
      </c>
      <c r="C787" s="6">
        <f t="shared" si="180"/>
        <v>5463.4761906818867</v>
      </c>
      <c r="D787" s="6">
        <f t="shared" si="188"/>
        <v>29849572.08614786</v>
      </c>
      <c r="E787" s="7">
        <f t="shared" si="189"/>
        <v>6248571.4285714282</v>
      </c>
      <c r="F787" s="7">
        <f t="shared" si="190"/>
        <v>124.97142857142855</v>
      </c>
      <c r="G787" s="7">
        <f t="shared" si="191"/>
        <v>23601000.657576431</v>
      </c>
      <c r="H787" s="6">
        <f t="shared" si="192"/>
        <v>4858.0861105559288</v>
      </c>
      <c r="I787" s="7">
        <f t="shared" si="193"/>
        <v>-4.8442278930975151</v>
      </c>
      <c r="J787" s="7">
        <f t="shared" si="194"/>
        <v>-82.59137643880284</v>
      </c>
      <c r="K787" s="8">
        <f t="shared" si="183"/>
        <v>186.8487901623327</v>
      </c>
      <c r="L787" s="8">
        <f t="shared" si="184"/>
        <v>-7.8476491868179732</v>
      </c>
      <c r="M787" s="8">
        <f t="shared" si="181"/>
        <v>133.7980298308606</v>
      </c>
      <c r="N787" s="8">
        <f t="shared" si="185"/>
        <v>25.000000000000004</v>
      </c>
      <c r="O787" s="8">
        <f t="shared" si="186"/>
        <v>26.466323756175353</v>
      </c>
    </row>
    <row r="788" spans="1:15" x14ac:dyDescent="0.3">
      <c r="A788" s="5">
        <f t="shared" si="187"/>
        <v>7.7999999999998781</v>
      </c>
      <c r="B788" s="5">
        <f t="shared" si="182"/>
        <v>141.5972367387476</v>
      </c>
      <c r="C788" s="6">
        <f t="shared" si="180"/>
        <v>5461.6077027802639</v>
      </c>
      <c r="D788" s="6">
        <f t="shared" si="188"/>
        <v>29829158.69906871</v>
      </c>
      <c r="E788" s="7">
        <f t="shared" si="189"/>
        <v>6248571.4285714282</v>
      </c>
      <c r="F788" s="7">
        <f t="shared" si="190"/>
        <v>124.97142857142855</v>
      </c>
      <c r="G788" s="7">
        <f t="shared" si="191"/>
        <v>23580587.270497281</v>
      </c>
      <c r="H788" s="6">
        <f t="shared" si="192"/>
        <v>4855.9846859825748</v>
      </c>
      <c r="I788" s="7">
        <f t="shared" si="193"/>
        <v>-4.846091812510088</v>
      </c>
      <c r="J788" s="7">
        <f t="shared" si="194"/>
        <v>-82.559609878074852</v>
      </c>
      <c r="K788" s="8">
        <f t="shared" si="183"/>
        <v>186.92068419681766</v>
      </c>
      <c r="L788" s="8">
        <f t="shared" si="184"/>
        <v>-7.850668736266341</v>
      </c>
      <c r="M788" s="8">
        <f t="shared" si="181"/>
        <v>133.74656800248127</v>
      </c>
      <c r="N788" s="8">
        <f t="shared" si="185"/>
        <v>25</v>
      </c>
      <c r="O788" s="8">
        <f t="shared" si="186"/>
        <v>26.467452371585466</v>
      </c>
    </row>
    <row r="789" spans="1:15" x14ac:dyDescent="0.3">
      <c r="A789" s="5">
        <f t="shared" si="187"/>
        <v>7.8099999999998779</v>
      </c>
      <c r="B789" s="5">
        <f t="shared" si="182"/>
        <v>141.5487758206225</v>
      </c>
      <c r="C789" s="6">
        <f t="shared" si="180"/>
        <v>5459.7384959382962</v>
      </c>
      <c r="D789" s="6">
        <f t="shared" si="188"/>
        <v>29808744.444030568</v>
      </c>
      <c r="E789" s="7">
        <f t="shared" si="189"/>
        <v>6248571.4285714282</v>
      </c>
      <c r="F789" s="7">
        <f t="shared" si="190"/>
        <v>124.97142857142855</v>
      </c>
      <c r="G789" s="7">
        <f t="shared" si="191"/>
        <v>23560173.015459139</v>
      </c>
      <c r="H789" s="6">
        <f t="shared" si="192"/>
        <v>4853.8822622164143</v>
      </c>
      <c r="I789" s="7">
        <f t="shared" si="193"/>
        <v>-4.847957974454931</v>
      </c>
      <c r="J789" s="7">
        <f t="shared" si="194"/>
        <v>-82.527829569139215</v>
      </c>
      <c r="K789" s="8">
        <f t="shared" si="183"/>
        <v>186.99266472897591</v>
      </c>
      <c r="L789" s="8">
        <f t="shared" si="184"/>
        <v>-7.8536919186169873</v>
      </c>
      <c r="M789" s="8">
        <f t="shared" si="181"/>
        <v>133.69508390200551</v>
      </c>
      <c r="N789" s="8">
        <f t="shared" si="185"/>
        <v>25.000000000000021</v>
      </c>
      <c r="O789" s="8">
        <f t="shared" si="186"/>
        <v>26.468582779822636</v>
      </c>
    </row>
    <row r="790" spans="1:15" x14ac:dyDescent="0.3">
      <c r="A790" s="5">
        <f t="shared" si="187"/>
        <v>7.8199999999998777</v>
      </c>
      <c r="B790" s="5">
        <f t="shared" si="182"/>
        <v>141.50029624087796</v>
      </c>
      <c r="C790" s="6">
        <f t="shared" si="180"/>
        <v>5457.8685692910067</v>
      </c>
      <c r="D790" s="6">
        <f t="shared" si="188"/>
        <v>29788329.319654658</v>
      </c>
      <c r="E790" s="7">
        <f t="shared" si="189"/>
        <v>6248571.4285714282</v>
      </c>
      <c r="F790" s="7">
        <f t="shared" si="190"/>
        <v>124.97142857142855</v>
      </c>
      <c r="G790" s="7">
        <f t="shared" si="191"/>
        <v>23539757.891083229</v>
      </c>
      <c r="H790" s="6">
        <f t="shared" si="192"/>
        <v>4851.7788378164178</v>
      </c>
      <c r="I790" s="7">
        <f t="shared" si="193"/>
        <v>-4.8498263835415214</v>
      </c>
      <c r="J790" s="7">
        <f t="shared" si="194"/>
        <v>-82.496035493543644</v>
      </c>
      <c r="K790" s="8">
        <f t="shared" si="183"/>
        <v>187.06473193660153</v>
      </c>
      <c r="L790" s="8">
        <f t="shared" si="184"/>
        <v>-7.8567187413372634</v>
      </c>
      <c r="M790" s="8">
        <f t="shared" si="181"/>
        <v>133.6435774995407</v>
      </c>
      <c r="N790" s="8">
        <f t="shared" si="185"/>
        <v>25.000000000000011</v>
      </c>
      <c r="O790" s="8">
        <f t="shared" si="186"/>
        <v>26.469714985249542</v>
      </c>
    </row>
    <row r="791" spans="1:15" x14ac:dyDescent="0.3">
      <c r="A791" s="5">
        <f t="shared" si="187"/>
        <v>7.8299999999998775</v>
      </c>
      <c r="B791" s="5">
        <f t="shared" si="182"/>
        <v>141.45179797704253</v>
      </c>
      <c r="C791" s="6">
        <f t="shared" si="180"/>
        <v>5455.9979219716406</v>
      </c>
      <c r="D791" s="6">
        <f t="shared" si="188"/>
        <v>29767913.324558862</v>
      </c>
      <c r="E791" s="7">
        <f t="shared" si="189"/>
        <v>6248571.4285714282</v>
      </c>
      <c r="F791" s="7">
        <f t="shared" si="190"/>
        <v>124.97142857142855</v>
      </c>
      <c r="G791" s="7">
        <f t="shared" si="191"/>
        <v>23519341.895987432</v>
      </c>
      <c r="H791" s="6">
        <f t="shared" si="192"/>
        <v>4849.6744113380882</v>
      </c>
      <c r="I791" s="7">
        <f t="shared" si="193"/>
        <v>-4.8516970443928527</v>
      </c>
      <c r="J791" s="7">
        <f t="shared" si="194"/>
        <v>-82.464227632793921</v>
      </c>
      <c r="K791" s="8">
        <f t="shared" si="183"/>
        <v>187.13688599801003</v>
      </c>
      <c r="L791" s="8">
        <f t="shared" si="184"/>
        <v>-7.8597492119164203</v>
      </c>
      <c r="M791" s="8">
        <f t="shared" si="181"/>
        <v>133.59204876512612</v>
      </c>
      <c r="N791" s="8">
        <f t="shared" si="185"/>
        <v>25.000000000000004</v>
      </c>
      <c r="O791" s="8">
        <f t="shared" si="186"/>
        <v>26.470848992243354</v>
      </c>
    </row>
    <row r="792" spans="1:15" x14ac:dyDescent="0.3">
      <c r="A792" s="5">
        <f t="shared" si="187"/>
        <v>7.8399999999998773</v>
      </c>
      <c r="B792" s="5">
        <f t="shared" si="182"/>
        <v>141.4032810065986</v>
      </c>
      <c r="C792" s="6">
        <f t="shared" si="180"/>
        <v>5454.1265531116605</v>
      </c>
      <c r="D792" s="6">
        <f t="shared" si="188"/>
        <v>29747496.457357682</v>
      </c>
      <c r="E792" s="7">
        <f t="shared" si="189"/>
        <v>6248571.4285714282</v>
      </c>
      <c r="F792" s="7">
        <f t="shared" si="190"/>
        <v>124.97142857142855</v>
      </c>
      <c r="G792" s="7">
        <f t="shared" si="191"/>
        <v>23498925.028786253</v>
      </c>
      <c r="H792" s="6">
        <f t="shared" si="192"/>
        <v>4847.5689813334529</v>
      </c>
      <c r="I792" s="7">
        <f t="shared" si="193"/>
        <v>-4.8535699616454666</v>
      </c>
      <c r="J792" s="7">
        <f t="shared" si="194"/>
        <v>-82.432405968353677</v>
      </c>
      <c r="K792" s="8">
        <f t="shared" si="183"/>
        <v>187.20912709203941</v>
      </c>
      <c r="L792" s="8">
        <f t="shared" si="184"/>
        <v>-7.862783337865654</v>
      </c>
      <c r="M792" s="8">
        <f t="shared" si="181"/>
        <v>133.54049766873294</v>
      </c>
      <c r="N792" s="8">
        <f t="shared" si="185"/>
        <v>25.000000000000018</v>
      </c>
      <c r="O792" s="8">
        <f t="shared" si="186"/>
        <v>26.471984805195678</v>
      </c>
    </row>
    <row r="793" spans="1:15" x14ac:dyDescent="0.3">
      <c r="A793" s="5">
        <f t="shared" si="187"/>
        <v>7.8499999999998771</v>
      </c>
      <c r="B793" s="5">
        <f t="shared" si="182"/>
        <v>141.35474530698215</v>
      </c>
      <c r="C793" s="6">
        <f t="shared" si="180"/>
        <v>5452.2544618407401</v>
      </c>
      <c r="D793" s="6">
        <f t="shared" si="188"/>
        <v>29727078.716662258</v>
      </c>
      <c r="E793" s="7">
        <f t="shared" si="189"/>
        <v>6248571.4285714282</v>
      </c>
      <c r="F793" s="7">
        <f t="shared" si="190"/>
        <v>124.97142857142855</v>
      </c>
      <c r="G793" s="7">
        <f t="shared" si="191"/>
        <v>23478507.288090829</v>
      </c>
      <c r="H793" s="6">
        <f t="shared" si="192"/>
        <v>4845.4625463510529</v>
      </c>
      <c r="I793" s="7">
        <f t="shared" si="193"/>
        <v>-4.8554451399494871</v>
      </c>
      <c r="J793" s="7">
        <f t="shared" si="194"/>
        <v>-82.400570481644451</v>
      </c>
      <c r="K793" s="8">
        <f t="shared" si="183"/>
        <v>187.28145539805163</v>
      </c>
      <c r="L793" s="8">
        <f t="shared" si="184"/>
        <v>-7.8658211267181679</v>
      </c>
      <c r="M793" s="8">
        <f t="shared" si="181"/>
        <v>133.48892418026398</v>
      </c>
      <c r="N793" s="8">
        <f t="shared" si="185"/>
        <v>25.000000000000004</v>
      </c>
      <c r="O793" s="8">
        <f t="shared" si="186"/>
        <v>26.473122428512529</v>
      </c>
    </row>
    <row r="794" spans="1:15" x14ac:dyDescent="0.3">
      <c r="A794" s="5">
        <f t="shared" si="187"/>
        <v>7.8599999999998769</v>
      </c>
      <c r="B794" s="5">
        <f t="shared" si="182"/>
        <v>141.30619085558266</v>
      </c>
      <c r="C794" s="6">
        <f t="shared" si="180"/>
        <v>5450.3816472867593</v>
      </c>
      <c r="D794" s="6">
        <f t="shared" si="188"/>
        <v>29706660.101080328</v>
      </c>
      <c r="E794" s="7">
        <f t="shared" si="189"/>
        <v>6248571.4285714282</v>
      </c>
      <c r="F794" s="7">
        <f t="shared" si="190"/>
        <v>124.97142857142855</v>
      </c>
      <c r="G794" s="7">
        <f t="shared" si="191"/>
        <v>23458088.672508899</v>
      </c>
      <c r="H794" s="6">
        <f t="shared" si="192"/>
        <v>4843.3551049359266</v>
      </c>
      <c r="I794" s="7">
        <f t="shared" si="193"/>
        <v>-4.8573225839687124</v>
      </c>
      <c r="J794" s="7">
        <f t="shared" si="194"/>
        <v>-82.368721154045275</v>
      </c>
      <c r="K794" s="8">
        <f t="shared" si="183"/>
        <v>187.35387109593603</v>
      </c>
      <c r="L794" s="8">
        <f t="shared" si="184"/>
        <v>-7.8688625860293122</v>
      </c>
      <c r="M794" s="8">
        <f t="shared" si="181"/>
        <v>133.43732826955335</v>
      </c>
      <c r="N794" s="8">
        <f t="shared" si="185"/>
        <v>25</v>
      </c>
      <c r="O794" s="8">
        <f t="shared" si="186"/>
        <v>26.474261866614569</v>
      </c>
    </row>
    <row r="795" spans="1:15" x14ac:dyDescent="0.3">
      <c r="A795" s="5">
        <f t="shared" si="187"/>
        <v>7.8699999999998766</v>
      </c>
      <c r="B795" s="5">
        <f t="shared" si="182"/>
        <v>141.25761762974298</v>
      </c>
      <c r="C795" s="6">
        <f t="shared" si="180"/>
        <v>5448.5081085758002</v>
      </c>
      <c r="D795" s="6">
        <f t="shared" si="188"/>
        <v>29686240.609216243</v>
      </c>
      <c r="E795" s="7">
        <f t="shared" si="189"/>
        <v>6248571.4285714282</v>
      </c>
      <c r="F795" s="7">
        <f t="shared" si="190"/>
        <v>124.97142857142855</v>
      </c>
      <c r="G795" s="7">
        <f t="shared" si="191"/>
        <v>23437669.180644814</v>
      </c>
      <c r="H795" s="6">
        <f t="shared" si="192"/>
        <v>4841.2466556296031</v>
      </c>
      <c r="I795" s="7">
        <f t="shared" si="193"/>
        <v>-4.8592022983806364</v>
      </c>
      <c r="J795" s="7">
        <f t="shared" si="194"/>
        <v>-82.336857966892822</v>
      </c>
      <c r="K795" s="8">
        <f t="shared" si="183"/>
        <v>187.42637436611025</v>
      </c>
      <c r="L795" s="8">
        <f t="shared" si="184"/>
        <v>-7.8719077233766299</v>
      </c>
      <c r="M795" s="8">
        <f t="shared" si="181"/>
        <v>133.38570990636634</v>
      </c>
      <c r="N795" s="8">
        <f t="shared" si="185"/>
        <v>25</v>
      </c>
      <c r="O795" s="8">
        <f t="shared" si="186"/>
        <v>26.475403123937063</v>
      </c>
    </row>
    <row r="796" spans="1:15" x14ac:dyDescent="0.3">
      <c r="A796" s="5">
        <f t="shared" si="187"/>
        <v>7.8799999999998764</v>
      </c>
      <c r="B796" s="5">
        <f t="shared" si="182"/>
        <v>141.20902560675918</v>
      </c>
      <c r="C796" s="6">
        <f t="shared" si="180"/>
        <v>5446.6338448321394</v>
      </c>
      <c r="D796" s="6">
        <f t="shared" si="188"/>
        <v>29665820.239670932</v>
      </c>
      <c r="E796" s="7">
        <f t="shared" si="189"/>
        <v>6248571.4285714282</v>
      </c>
      <c r="F796" s="7">
        <f t="shared" si="190"/>
        <v>124.97142857142855</v>
      </c>
      <c r="G796" s="7">
        <f t="shared" si="191"/>
        <v>23417248.811099503</v>
      </c>
      <c r="H796" s="6">
        <f t="shared" si="192"/>
        <v>4839.1371969700858</v>
      </c>
      <c r="I796" s="7">
        <f t="shared" si="193"/>
        <v>-4.8610842878765155</v>
      </c>
      <c r="J796" s="7">
        <f t="shared" si="194"/>
        <v>-82.304980901481017</v>
      </c>
      <c r="K796" s="8">
        <f t="shared" si="183"/>
        <v>187.49896538952274</v>
      </c>
      <c r="L796" s="8">
        <f t="shared" si="184"/>
        <v>-7.8749565463599538</v>
      </c>
      <c r="M796" s="8">
        <f t="shared" si="181"/>
        <v>133.33406906039923</v>
      </c>
      <c r="N796" s="8">
        <f t="shared" si="185"/>
        <v>25.000000000000028</v>
      </c>
      <c r="O796" s="8">
        <f t="shared" si="186"/>
        <v>26.476546204929971</v>
      </c>
    </row>
    <row r="797" spans="1:15" x14ac:dyDescent="0.3">
      <c r="A797" s="5">
        <f t="shared" si="187"/>
        <v>7.8899999999998762</v>
      </c>
      <c r="B797" s="5">
        <f t="shared" si="182"/>
        <v>141.16041476388042</v>
      </c>
      <c r="C797" s="6">
        <f t="shared" si="180"/>
        <v>5444.7588551782446</v>
      </c>
      <c r="D797" s="6">
        <f t="shared" si="188"/>
        <v>29645398.99104191</v>
      </c>
      <c r="E797" s="7">
        <f t="shared" si="189"/>
        <v>6248571.4285714282</v>
      </c>
      <c r="F797" s="7">
        <f t="shared" si="190"/>
        <v>124.97142857142855</v>
      </c>
      <c r="G797" s="7">
        <f t="shared" si="191"/>
        <v>23396827.562470481</v>
      </c>
      <c r="H797" s="6">
        <f t="shared" si="192"/>
        <v>4837.026727491846</v>
      </c>
      <c r="I797" s="7">
        <f t="shared" si="193"/>
        <v>-4.8629685571613983</v>
      </c>
      <c r="J797" s="7">
        <f t="shared" si="194"/>
        <v>-82.273089939061094</v>
      </c>
      <c r="K797" s="8">
        <f t="shared" si="183"/>
        <v>187.57164434765392</v>
      </c>
      <c r="L797" s="8">
        <f t="shared" si="184"/>
        <v>-7.8780090626014641</v>
      </c>
      <c r="M797" s="8">
        <f t="shared" si="181"/>
        <v>133.28240570127895</v>
      </c>
      <c r="N797" s="8">
        <f t="shared" si="185"/>
        <v>25.000000000000014</v>
      </c>
      <c r="O797" s="8">
        <f t="shared" si="186"/>
        <v>26.477691114057894</v>
      </c>
    </row>
    <row r="798" spans="1:15" x14ac:dyDescent="0.3">
      <c r="A798" s="5">
        <f t="shared" si="187"/>
        <v>7.899999999999876</v>
      </c>
      <c r="B798" s="5">
        <f t="shared" si="182"/>
        <v>141.1117850783088</v>
      </c>
      <c r="C798" s="6">
        <f t="shared" si="180"/>
        <v>5442.8831387347673</v>
      </c>
      <c r="D798" s="6">
        <f t="shared" si="188"/>
        <v>29624976.861923233</v>
      </c>
      <c r="E798" s="7">
        <f t="shared" si="189"/>
        <v>6248571.4285714282</v>
      </c>
      <c r="F798" s="7">
        <f t="shared" si="190"/>
        <v>124.97142857142855</v>
      </c>
      <c r="G798" s="7">
        <f t="shared" si="191"/>
        <v>23376405.433351804</v>
      </c>
      <c r="H798" s="6">
        <f t="shared" si="192"/>
        <v>4834.9152457258033</v>
      </c>
      <c r="I798" s="7">
        <f t="shared" si="193"/>
        <v>-4.8648551109542169</v>
      </c>
      <c r="J798" s="7">
        <f t="shared" si="194"/>
        <v>-82.241185060841332</v>
      </c>
      <c r="K798" s="8">
        <f t="shared" si="183"/>
        <v>187.64441142251979</v>
      </c>
      <c r="L798" s="8">
        <f t="shared" si="184"/>
        <v>-7.8810652797458305</v>
      </c>
      <c r="M798" s="8">
        <f t="shared" si="181"/>
        <v>133.23071979856297</v>
      </c>
      <c r="N798" s="8">
        <f t="shared" si="185"/>
        <v>25.000000000000004</v>
      </c>
      <c r="O798" s="8">
        <f t="shared" si="186"/>
        <v>26.478837855800364</v>
      </c>
    </row>
    <row r="799" spans="1:15" x14ac:dyDescent="0.3">
      <c r="A799" s="5">
        <f t="shared" si="187"/>
        <v>7.9099999999998758</v>
      </c>
      <c r="B799" s="5">
        <f t="shared" si="182"/>
        <v>141.06313652719925</v>
      </c>
      <c r="C799" s="6">
        <f t="shared" si="180"/>
        <v>5441.0066946205425</v>
      </c>
      <c r="D799" s="6">
        <f t="shared" si="188"/>
        <v>29604553.85090556</v>
      </c>
      <c r="E799" s="7">
        <f t="shared" si="189"/>
        <v>6248571.4285714282</v>
      </c>
      <c r="F799" s="7">
        <f t="shared" si="190"/>
        <v>124.97142857142855</v>
      </c>
      <c r="G799" s="7">
        <f t="shared" si="191"/>
        <v>23355982.422334131</v>
      </c>
      <c r="H799" s="6">
        <f t="shared" si="192"/>
        <v>4832.802750199322</v>
      </c>
      <c r="I799" s="7">
        <f t="shared" si="193"/>
        <v>-4.866743953987819</v>
      </c>
      <c r="J799" s="7">
        <f t="shared" si="194"/>
        <v>-82.209266247987046</v>
      </c>
      <c r="K799" s="8">
        <f t="shared" si="183"/>
        <v>187.71726679667302</v>
      </c>
      <c r="L799" s="8">
        <f t="shared" si="184"/>
        <v>-7.8841252054602657</v>
      </c>
      <c r="M799" s="8">
        <f t="shared" si="181"/>
        <v>133.17901132173898</v>
      </c>
      <c r="N799" s="8">
        <f t="shared" si="185"/>
        <v>25.000000000000014</v>
      </c>
      <c r="O799" s="8">
        <f t="shared" si="186"/>
        <v>26.479986434651771</v>
      </c>
    </row>
    <row r="800" spans="1:15" x14ac:dyDescent="0.3">
      <c r="A800" s="5">
        <f t="shared" si="187"/>
        <v>7.9199999999998756</v>
      </c>
      <c r="B800" s="5">
        <f t="shared" si="182"/>
        <v>141.01446908765936</v>
      </c>
      <c r="C800" s="6">
        <f t="shared" si="180"/>
        <v>5439.1295219525755</v>
      </c>
      <c r="D800" s="6">
        <f t="shared" si="188"/>
        <v>29584129.956576053</v>
      </c>
      <c r="E800" s="7">
        <f t="shared" si="189"/>
        <v>6248571.4285714282</v>
      </c>
      <c r="F800" s="7">
        <f t="shared" si="190"/>
        <v>124.97142857142855</v>
      </c>
      <c r="G800" s="7">
        <f t="shared" si="191"/>
        <v>23335558.528004624</v>
      </c>
      <c r="H800" s="6">
        <f t="shared" si="192"/>
        <v>4830.689239436193</v>
      </c>
      <c r="I800" s="7">
        <f t="shared" si="193"/>
        <v>-4.8686350910090059</v>
      </c>
      <c r="J800" s="7">
        <f t="shared" si="194"/>
        <v>-82.177333481620238</v>
      </c>
      <c r="K800" s="8">
        <f t="shared" si="183"/>
        <v>187.7902106532045</v>
      </c>
      <c r="L800" s="8">
        <f t="shared" si="184"/>
        <v>-7.8871888474345884</v>
      </c>
      <c r="M800" s="8">
        <f t="shared" si="181"/>
        <v>133.12728024022476</v>
      </c>
      <c r="N800" s="8">
        <f t="shared" si="185"/>
        <v>24.999999999999996</v>
      </c>
      <c r="O800" s="8">
        <f t="shared" si="186"/>
        <v>26.481136855121346</v>
      </c>
    </row>
    <row r="801" spans="1:15" x14ac:dyDescent="0.3">
      <c r="A801" s="5">
        <f t="shared" si="187"/>
        <v>7.9299999999998754</v>
      </c>
      <c r="B801" s="5">
        <f t="shared" si="182"/>
        <v>140.96578273674928</v>
      </c>
      <c r="C801" s="6">
        <f t="shared" si="180"/>
        <v>5437.2516198460435</v>
      </c>
      <c r="D801" s="6">
        <f t="shared" si="188"/>
        <v>29563705.177518424</v>
      </c>
      <c r="E801" s="7">
        <f t="shared" si="189"/>
        <v>6248571.4285714282</v>
      </c>
      <c r="F801" s="7">
        <f t="shared" si="190"/>
        <v>124.97142857142855</v>
      </c>
      <c r="G801" s="7">
        <f t="shared" si="191"/>
        <v>23315133.748946995</v>
      </c>
      <c r="H801" s="6">
        <f t="shared" si="192"/>
        <v>4828.574711956624</v>
      </c>
      <c r="I801" s="7">
        <f t="shared" si="193"/>
        <v>-4.87052852677862</v>
      </c>
      <c r="J801" s="7">
        <f t="shared" si="194"/>
        <v>-82.14538674281971</v>
      </c>
      <c r="K801" s="8">
        <f t="shared" si="183"/>
        <v>187.86324317574676</v>
      </c>
      <c r="L801" s="8">
        <f t="shared" si="184"/>
        <v>-7.8902562133813632</v>
      </c>
      <c r="M801" s="8">
        <f t="shared" si="181"/>
        <v>133.0755265233679</v>
      </c>
      <c r="N801" s="8">
        <f t="shared" si="185"/>
        <v>25</v>
      </c>
      <c r="O801" s="8">
        <f t="shared" si="186"/>
        <v>26.482289121733416</v>
      </c>
    </row>
    <row r="802" spans="1:15" x14ac:dyDescent="0.3">
      <c r="A802" s="5">
        <f t="shared" si="187"/>
        <v>7.9399999999998752</v>
      </c>
      <c r="B802" s="5">
        <f t="shared" si="182"/>
        <v>140.9170774514815</v>
      </c>
      <c r="C802" s="6">
        <f t="shared" si="180"/>
        <v>5435.3729874142864</v>
      </c>
      <c r="D802" s="6">
        <f t="shared" si="188"/>
        <v>29543279.512312904</v>
      </c>
      <c r="E802" s="7">
        <f t="shared" si="189"/>
        <v>6248571.4285714282</v>
      </c>
      <c r="F802" s="7">
        <f t="shared" si="190"/>
        <v>124.97142857142855</v>
      </c>
      <c r="G802" s="7">
        <f t="shared" si="191"/>
        <v>23294708.083741475</v>
      </c>
      <c r="H802" s="6">
        <f t="shared" si="192"/>
        <v>4826.4591662772282</v>
      </c>
      <c r="I802" s="7">
        <f t="shared" si="193"/>
        <v>-4.8724242660715689</v>
      </c>
      <c r="J802" s="7">
        <f t="shared" si="194"/>
        <v>-82.113426012620721</v>
      </c>
      <c r="K802" s="8">
        <f t="shared" si="183"/>
        <v>187.93636454847478</v>
      </c>
      <c r="L802" s="8">
        <f t="shared" si="184"/>
        <v>-7.8933273110359403</v>
      </c>
      <c r="M802" s="8">
        <f t="shared" si="181"/>
        <v>133.02375014044557</v>
      </c>
      <c r="N802" s="8">
        <f t="shared" si="185"/>
        <v>25.000000000000004</v>
      </c>
      <c r="O802" s="8">
        <f t="shared" si="186"/>
        <v>26.483443239027284</v>
      </c>
    </row>
    <row r="803" spans="1:15" x14ac:dyDescent="0.3">
      <c r="A803" s="5">
        <f t="shared" si="187"/>
        <v>7.9499999999998749</v>
      </c>
      <c r="B803" s="5">
        <f t="shared" si="182"/>
        <v>140.86835320882079</v>
      </c>
      <c r="C803" s="6">
        <f t="shared" si="180"/>
        <v>5433.4936237688016</v>
      </c>
      <c r="D803" s="6">
        <f t="shared" si="188"/>
        <v>29522852.959536225</v>
      </c>
      <c r="E803" s="7">
        <f t="shared" si="189"/>
        <v>6248571.4285714282</v>
      </c>
      <c r="F803" s="7">
        <f t="shared" si="190"/>
        <v>124.97142857142855</v>
      </c>
      <c r="G803" s="7">
        <f t="shared" si="191"/>
        <v>23274281.530964796</v>
      </c>
      <c r="H803" s="6">
        <f t="shared" si="192"/>
        <v>4824.342600911009</v>
      </c>
      <c r="I803" s="7">
        <f t="shared" si="193"/>
        <v>-4.8743223136768972</v>
      </c>
      <c r="J803" s="7">
        <f t="shared" si="194"/>
        <v>-82.081451272014959</v>
      </c>
      <c r="K803" s="8">
        <f t="shared" si="183"/>
        <v>188.00957495610888</v>
      </c>
      <c r="L803" s="8">
        <f t="shared" si="184"/>
        <v>-7.8964021481565725</v>
      </c>
      <c r="M803" s="8">
        <f t="shared" si="181"/>
        <v>132.97195106066422</v>
      </c>
      <c r="N803" s="8">
        <f t="shared" si="185"/>
        <v>24.999999999999993</v>
      </c>
      <c r="O803" s="8">
        <f t="shared" si="186"/>
        <v>26.484599211557413</v>
      </c>
    </row>
    <row r="804" spans="1:15" x14ac:dyDescent="0.3">
      <c r="A804" s="5">
        <f t="shared" si="187"/>
        <v>7.9599999999998747</v>
      </c>
      <c r="B804" s="5">
        <f t="shared" si="182"/>
        <v>140.81960998568402</v>
      </c>
      <c r="C804" s="6">
        <f t="shared" si="180"/>
        <v>5431.6135280192402</v>
      </c>
      <c r="D804" s="6">
        <f t="shared" si="188"/>
        <v>29502425.517761618</v>
      </c>
      <c r="E804" s="7">
        <f t="shared" si="189"/>
        <v>6248571.4285714282</v>
      </c>
      <c r="F804" s="7">
        <f t="shared" si="190"/>
        <v>124.97142857142855</v>
      </c>
      <c r="G804" s="7">
        <f t="shared" si="191"/>
        <v>23253854.089190189</v>
      </c>
      <c r="H804" s="6">
        <f t="shared" si="192"/>
        <v>4822.22501436735</v>
      </c>
      <c r="I804" s="7">
        <f t="shared" si="193"/>
        <v>-4.8762226743978418</v>
      </c>
      <c r="J804" s="7">
        <f t="shared" si="194"/>
        <v>-82.04946250195033</v>
      </c>
      <c r="K804" s="8">
        <f t="shared" si="183"/>
        <v>188.08287458391675</v>
      </c>
      <c r="L804" s="8">
        <f t="shared" si="184"/>
        <v>-7.8994807325245029</v>
      </c>
      <c r="M804" s="8">
        <f t="shared" si="181"/>
        <v>132.92012925315953</v>
      </c>
      <c r="N804" s="8">
        <f t="shared" si="185"/>
        <v>25.000000000000007</v>
      </c>
      <c r="O804" s="8">
        <f t="shared" si="186"/>
        <v>26.485757043893479</v>
      </c>
    </row>
    <row r="805" spans="1:15" x14ac:dyDescent="0.3">
      <c r="A805" s="5">
        <f t="shared" si="187"/>
        <v>7.9699999999998745</v>
      </c>
      <c r="B805" s="5">
        <f t="shared" si="182"/>
        <v>140.77084775894005</v>
      </c>
      <c r="C805" s="6">
        <f t="shared" si="180"/>
        <v>5429.7326992734015</v>
      </c>
      <c r="D805" s="6">
        <f t="shared" si="188"/>
        <v>29481997.185558818</v>
      </c>
      <c r="E805" s="7">
        <f t="shared" si="189"/>
        <v>6248571.4285714282</v>
      </c>
      <c r="F805" s="7">
        <f t="shared" si="190"/>
        <v>124.97142857142855</v>
      </c>
      <c r="G805" s="7">
        <f t="shared" si="191"/>
        <v>23233425.756987389</v>
      </c>
      <c r="H805" s="6">
        <f t="shared" si="192"/>
        <v>4820.1064051520052</v>
      </c>
      <c r="I805" s="7">
        <f t="shared" si="193"/>
        <v>-4.8781253530518693</v>
      </c>
      <c r="J805" s="7">
        <f t="shared" si="194"/>
        <v>-82.017459683330884</v>
      </c>
      <c r="K805" s="8">
        <f t="shared" si="183"/>
        <v>188.15626361771496</v>
      </c>
      <c r="L805" s="8">
        <f t="shared" si="184"/>
        <v>-7.9025630719440274</v>
      </c>
      <c r="M805" s="8">
        <f t="shared" si="181"/>
        <v>132.86828468699602</v>
      </c>
      <c r="N805" s="8">
        <f t="shared" si="185"/>
        <v>25.000000000000021</v>
      </c>
      <c r="O805" s="8">
        <f t="shared" si="186"/>
        <v>26.486916740620341</v>
      </c>
    </row>
    <row r="806" spans="1:15" x14ac:dyDescent="0.3">
      <c r="A806" s="5">
        <f t="shared" si="187"/>
        <v>7.9799999999998743</v>
      </c>
      <c r="B806" s="5">
        <f t="shared" si="182"/>
        <v>140.72206650540954</v>
      </c>
      <c r="C806" s="6">
        <f t="shared" si="180"/>
        <v>5427.851136637225</v>
      </c>
      <c r="D806" s="6">
        <f t="shared" si="188"/>
        <v>29461567.961494014</v>
      </c>
      <c r="E806" s="7">
        <f t="shared" si="189"/>
        <v>6248571.4285714282</v>
      </c>
      <c r="F806" s="7">
        <f t="shared" si="190"/>
        <v>124.97142857142855</v>
      </c>
      <c r="G806" s="7">
        <f t="shared" si="191"/>
        <v>23212996.532922585</v>
      </c>
      <c r="H806" s="6">
        <f t="shared" si="192"/>
        <v>4817.9867717670813</v>
      </c>
      <c r="I806" s="7">
        <f t="shared" si="193"/>
        <v>-4.8800303544707431</v>
      </c>
      <c r="J806" s="7">
        <f t="shared" si="194"/>
        <v>-81.985442797016645</v>
      </c>
      <c r="K806" s="8">
        <f t="shared" si="183"/>
        <v>188.2297422438715</v>
      </c>
      <c r="L806" s="8">
        <f t="shared" si="184"/>
        <v>-7.9056491742426021</v>
      </c>
      <c r="M806" s="8">
        <f t="shared" si="181"/>
        <v>132.81641733116695</v>
      </c>
      <c r="N806" s="8">
        <f t="shared" si="185"/>
        <v>25.000000000000021</v>
      </c>
      <c r="O806" s="8">
        <f t="shared" si="186"/>
        <v>26.488078306338181</v>
      </c>
    </row>
    <row r="807" spans="1:15" x14ac:dyDescent="0.3">
      <c r="A807" s="5">
        <f t="shared" si="187"/>
        <v>7.9899999999998741</v>
      </c>
      <c r="B807" s="5">
        <f t="shared" si="182"/>
        <v>140.67326620186483</v>
      </c>
      <c r="C807" s="6">
        <f t="shared" si="180"/>
        <v>5425.9688392147864</v>
      </c>
      <c r="D807" s="6">
        <f t="shared" si="188"/>
        <v>29441137.844129857</v>
      </c>
      <c r="E807" s="7">
        <f t="shared" si="189"/>
        <v>6248571.4285714282</v>
      </c>
      <c r="F807" s="7">
        <f t="shared" si="190"/>
        <v>124.97142857142855</v>
      </c>
      <c r="G807" s="7">
        <f t="shared" si="191"/>
        <v>23192566.415558428</v>
      </c>
      <c r="H807" s="6">
        <f t="shared" si="192"/>
        <v>4815.8661127110281</v>
      </c>
      <c r="I807" s="7">
        <f t="shared" si="193"/>
        <v>-4.8819376835005812</v>
      </c>
      <c r="J807" s="7">
        <f t="shared" si="194"/>
        <v>-81.953411823823416</v>
      </c>
      <c r="K807" s="8">
        <f t="shared" si="183"/>
        <v>188.30331064930812</v>
      </c>
      <c r="L807" s="8">
        <f t="shared" si="184"/>
        <v>-7.9087390472709398</v>
      </c>
      <c r="M807" s="8">
        <f t="shared" si="181"/>
        <v>132.76452715459391</v>
      </c>
      <c r="N807" s="8">
        <f t="shared" si="185"/>
        <v>25</v>
      </c>
      <c r="O807" s="8">
        <f t="shared" si="186"/>
        <v>26.489241745662572</v>
      </c>
    </row>
    <row r="808" spans="1:15" x14ac:dyDescent="0.3">
      <c r="A808" s="5">
        <f t="shared" si="187"/>
        <v>7.9999999999998739</v>
      </c>
      <c r="B808" s="5">
        <f t="shared" si="182"/>
        <v>140.62444682502982</v>
      </c>
      <c r="C808" s="6">
        <f t="shared" si="180"/>
        <v>5424.0858061082927</v>
      </c>
      <c r="D808" s="6">
        <f t="shared" si="188"/>
        <v>29420706.832025446</v>
      </c>
      <c r="E808" s="7">
        <f t="shared" si="189"/>
        <v>6248571.4285714282</v>
      </c>
      <c r="F808" s="7">
        <f t="shared" si="190"/>
        <v>124.97142857142855</v>
      </c>
      <c r="G808" s="7">
        <f t="shared" si="191"/>
        <v>23172135.403454017</v>
      </c>
      <c r="H808" s="6">
        <f t="shared" si="192"/>
        <v>4813.7444264786236</v>
      </c>
      <c r="I808" s="7">
        <f t="shared" si="193"/>
        <v>-4.8838473450019251</v>
      </c>
      <c r="J808" s="7">
        <f t="shared" si="194"/>
        <v>-81.921366744522658</v>
      </c>
      <c r="K808" s="8">
        <f t="shared" si="183"/>
        <v>188.37696902150282</v>
      </c>
      <c r="L808" s="8">
        <f t="shared" si="184"/>
        <v>-7.9118326989031171</v>
      </c>
      <c r="M808" s="8">
        <f t="shared" si="181"/>
        <v>132.71261412612671</v>
      </c>
      <c r="N808" s="8">
        <f t="shared" si="185"/>
        <v>25.000000000000028</v>
      </c>
      <c r="O808" s="8">
        <f t="shared" si="186"/>
        <v>26.490407063224612</v>
      </c>
    </row>
    <row r="809" spans="1:15" x14ac:dyDescent="0.3">
      <c r="A809" s="5">
        <f t="shared" si="187"/>
        <v>8.0099999999998737</v>
      </c>
      <c r="B809" s="5">
        <f t="shared" si="182"/>
        <v>140.5756083515798</v>
      </c>
      <c r="C809" s="6">
        <f t="shared" si="180"/>
        <v>5422.202036418078</v>
      </c>
      <c r="D809" s="6">
        <f t="shared" si="188"/>
        <v>29400274.923736352</v>
      </c>
      <c r="E809" s="7">
        <f t="shared" si="189"/>
        <v>6248571.4285714282</v>
      </c>
      <c r="F809" s="7">
        <f t="shared" si="190"/>
        <v>124.97142857142855</v>
      </c>
      <c r="G809" s="7">
        <f t="shared" si="191"/>
        <v>23151703.495164923</v>
      </c>
      <c r="H809" s="6">
        <f t="shared" si="192"/>
        <v>4811.6217115609707</v>
      </c>
      <c r="I809" s="7">
        <f t="shared" si="193"/>
        <v>-4.88575934384974</v>
      </c>
      <c r="J809" s="7">
        <f t="shared" si="194"/>
        <v>-81.889307539841511</v>
      </c>
      <c r="K809" s="8">
        <f t="shared" si="183"/>
        <v>188.45071754848996</v>
      </c>
      <c r="L809" s="8">
        <f t="shared" si="184"/>
        <v>-7.9149301370365777</v>
      </c>
      <c r="M809" s="8">
        <f t="shared" si="181"/>
        <v>132.66067821454322</v>
      </c>
      <c r="N809" s="8">
        <f t="shared" si="185"/>
        <v>25</v>
      </c>
      <c r="O809" s="8">
        <f t="shared" si="186"/>
        <v>26.49157426367071</v>
      </c>
    </row>
    <row r="810" spans="1:15" x14ac:dyDescent="0.3">
      <c r="A810" s="5">
        <f t="shared" si="187"/>
        <v>8.0199999999998735</v>
      </c>
      <c r="B810" s="5">
        <f t="shared" si="182"/>
        <v>140.5267507581413</v>
      </c>
      <c r="C810" s="6">
        <f t="shared" si="180"/>
        <v>5420.3175292425931</v>
      </c>
      <c r="D810" s="6">
        <f t="shared" si="188"/>
        <v>29379842.11781453</v>
      </c>
      <c r="E810" s="7">
        <f t="shared" si="189"/>
        <v>6248571.4285714282</v>
      </c>
      <c r="F810" s="7">
        <f t="shared" si="190"/>
        <v>124.97142857142855</v>
      </c>
      <c r="G810" s="7">
        <f t="shared" si="191"/>
        <v>23131270.689243101</v>
      </c>
      <c r="H810" s="6">
        <f t="shared" si="192"/>
        <v>4809.4979664454686</v>
      </c>
      <c r="I810" s="7">
        <f t="shared" si="193"/>
        <v>-4.8876736849335529</v>
      </c>
      <c r="J810" s="7">
        <f t="shared" si="194"/>
        <v>-81.857234190462322</v>
      </c>
      <c r="K810" s="8">
        <f t="shared" si="183"/>
        <v>188.52455641886561</v>
      </c>
      <c r="L810" s="8">
        <f t="shared" si="184"/>
        <v>-7.918031369592355</v>
      </c>
      <c r="M810" s="8">
        <f t="shared" si="181"/>
        <v>132.60871938854896</v>
      </c>
      <c r="N810" s="8">
        <f t="shared" si="185"/>
        <v>25.000000000000018</v>
      </c>
      <c r="O810" s="8">
        <f t="shared" si="186"/>
        <v>26.492743351663076</v>
      </c>
    </row>
    <row r="811" spans="1:15" x14ac:dyDescent="0.3">
      <c r="A811" s="5">
        <f t="shared" si="187"/>
        <v>8.0299999999998732</v>
      </c>
      <c r="B811" s="5">
        <f t="shared" si="182"/>
        <v>140.47787402129197</v>
      </c>
      <c r="C811" s="6">
        <f t="shared" si="180"/>
        <v>5418.432283678404</v>
      </c>
      <c r="D811" s="6">
        <f t="shared" si="188"/>
        <v>29359408.412808366</v>
      </c>
      <c r="E811" s="7">
        <f t="shared" si="189"/>
        <v>6248571.4285714282</v>
      </c>
      <c r="F811" s="7">
        <f t="shared" si="190"/>
        <v>124.97142857142855</v>
      </c>
      <c r="G811" s="7">
        <f t="shared" si="191"/>
        <v>23110836.984236937</v>
      </c>
      <c r="H811" s="6">
        <f t="shared" si="192"/>
        <v>4807.3731896158151</v>
      </c>
      <c r="I811" s="7">
        <f t="shared" si="193"/>
        <v>-4.8895903731574339</v>
      </c>
      <c r="J811" s="7">
        <f t="shared" si="194"/>
        <v>-81.825146677022801</v>
      </c>
      <c r="K811" s="8">
        <f t="shared" si="183"/>
        <v>188.59848582178674</v>
      </c>
      <c r="L811" s="8">
        <f t="shared" si="184"/>
        <v>-7.9211364045150425</v>
      </c>
      <c r="M811" s="8">
        <f t="shared" si="181"/>
        <v>132.55673761677693</v>
      </c>
      <c r="N811" s="8">
        <f t="shared" si="185"/>
        <v>25.000000000000007</v>
      </c>
      <c r="O811" s="8">
        <f t="shared" si="186"/>
        <v>26.493914331879377</v>
      </c>
    </row>
    <row r="812" spans="1:15" x14ac:dyDescent="0.3">
      <c r="A812" s="5">
        <f t="shared" si="187"/>
        <v>8.039999999999873</v>
      </c>
      <c r="B812" s="5">
        <f t="shared" si="182"/>
        <v>140.4289781175604</v>
      </c>
      <c r="C812" s="6">
        <f t="shared" si="180"/>
        <v>5416.5462988201871</v>
      </c>
      <c r="D812" s="6">
        <f t="shared" si="188"/>
        <v>29338973.807262667</v>
      </c>
      <c r="E812" s="7">
        <f t="shared" si="189"/>
        <v>6248571.4285714282</v>
      </c>
      <c r="F812" s="7">
        <f t="shared" si="190"/>
        <v>124.97142857142855</v>
      </c>
      <c r="G812" s="7">
        <f t="shared" si="191"/>
        <v>23090402.378691237</v>
      </c>
      <c r="H812" s="6">
        <f t="shared" si="192"/>
        <v>4805.2473795519873</v>
      </c>
      <c r="I812" s="7">
        <f t="shared" si="193"/>
        <v>-4.8915094134401</v>
      </c>
      <c r="J812" s="7">
        <f t="shared" si="194"/>
        <v>-81.793044980115724</v>
      </c>
      <c r="K812" s="8">
        <f t="shared" si="183"/>
        <v>188.67250594697526</v>
      </c>
      <c r="L812" s="8">
        <f t="shared" si="184"/>
        <v>-7.9242452497729605</v>
      </c>
      <c r="M812" s="8">
        <f t="shared" si="181"/>
        <v>132.50473286778745</v>
      </c>
      <c r="N812" s="8">
        <f t="shared" si="185"/>
        <v>24.999999999999996</v>
      </c>
      <c r="O812" s="8">
        <f t="shared" si="186"/>
        <v>26.495087209013075</v>
      </c>
    </row>
    <row r="813" spans="1:15" x14ac:dyDescent="0.3">
      <c r="A813" s="5">
        <f t="shared" si="187"/>
        <v>8.0499999999998728</v>
      </c>
      <c r="B813" s="5">
        <f t="shared" si="182"/>
        <v>140.380063023426</v>
      </c>
      <c r="C813" s="6">
        <f t="shared" si="180"/>
        <v>5414.6595737607167</v>
      </c>
      <c r="D813" s="6">
        <f t="shared" si="188"/>
        <v>29318538.299718585</v>
      </c>
      <c r="E813" s="7">
        <f t="shared" si="189"/>
        <v>6248571.4285714282</v>
      </c>
      <c r="F813" s="7">
        <f t="shared" si="190"/>
        <v>124.97142857142855</v>
      </c>
      <c r="G813" s="7">
        <f t="shared" si="191"/>
        <v>23069966.871147156</v>
      </c>
      <c r="H813" s="6">
        <f t="shared" si="192"/>
        <v>4803.1205347302239</v>
      </c>
      <c r="I813" s="7">
        <f t="shared" si="193"/>
        <v>-4.893430810714964</v>
      </c>
      <c r="J813" s="7">
        <f t="shared" si="194"/>
        <v>-81.760929080288747</v>
      </c>
      <c r="K813" s="8">
        <f t="shared" si="183"/>
        <v>188.74661698472002</v>
      </c>
      <c r="L813" s="8">
        <f t="shared" si="184"/>
        <v>-7.9273579133582404</v>
      </c>
      <c r="M813" s="8">
        <f t="shared" si="181"/>
        <v>132.45270511006777</v>
      </c>
      <c r="N813" s="8">
        <f t="shared" si="185"/>
        <v>25.000000000000028</v>
      </c>
      <c r="O813" s="8">
        <f t="shared" si="186"/>
        <v>26.496261987773448</v>
      </c>
    </row>
    <row r="814" spans="1:15" x14ac:dyDescent="0.3">
      <c r="A814" s="5">
        <f t="shared" si="187"/>
        <v>8.0599999999998726</v>
      </c>
      <c r="B814" s="5">
        <f t="shared" si="182"/>
        <v>140.33112871531884</v>
      </c>
      <c r="C814" s="6">
        <f t="shared" si="180"/>
        <v>5412.7721075908694</v>
      </c>
      <c r="D814" s="6">
        <f t="shared" si="188"/>
        <v>29298101.888713703</v>
      </c>
      <c r="E814" s="7">
        <f t="shared" si="189"/>
        <v>6248571.4285714282</v>
      </c>
      <c r="F814" s="7">
        <f t="shared" si="190"/>
        <v>124.97142857142855</v>
      </c>
      <c r="G814" s="7">
        <f t="shared" si="191"/>
        <v>23049530.460142273</v>
      </c>
      <c r="H814" s="6">
        <f t="shared" si="192"/>
        <v>4800.9926536230269</v>
      </c>
      <c r="I814" s="7">
        <f t="shared" si="193"/>
        <v>-4.8953545699301539</v>
      </c>
      <c r="J814" s="7">
        <f t="shared" si="194"/>
        <v>-81.728798958044464</v>
      </c>
      <c r="K814" s="8">
        <f t="shared" si="183"/>
        <v>188.82081912587736</v>
      </c>
      <c r="L814" s="8">
        <f t="shared" si="184"/>
        <v>-7.9304744032868486</v>
      </c>
      <c r="M814" s="8">
        <f t="shared" si="181"/>
        <v>132.400654312032</v>
      </c>
      <c r="N814" s="8">
        <f t="shared" si="185"/>
        <v>25.000000000000011</v>
      </c>
      <c r="O814" s="8">
        <f t="shared" si="186"/>
        <v>26.497438672885433</v>
      </c>
    </row>
    <row r="815" spans="1:15" x14ac:dyDescent="0.3">
      <c r="A815" s="5">
        <f t="shared" si="187"/>
        <v>8.0699999999998724</v>
      </c>
      <c r="B815" s="5">
        <f t="shared" si="182"/>
        <v>140.28217516961953</v>
      </c>
      <c r="C815" s="6">
        <f t="shared" si="180"/>
        <v>5410.8838993996105</v>
      </c>
      <c r="D815" s="6">
        <f t="shared" si="188"/>
        <v>29277664.572781935</v>
      </c>
      <c r="E815" s="7">
        <f t="shared" si="189"/>
        <v>6248571.4285714282</v>
      </c>
      <c r="F815" s="7">
        <f t="shared" si="190"/>
        <v>124.97142857142855</v>
      </c>
      <c r="G815" s="7">
        <f t="shared" si="191"/>
        <v>23029093.144210506</v>
      </c>
      <c r="H815" s="6">
        <f t="shared" si="192"/>
        <v>4798.8637346991327</v>
      </c>
      <c r="I815" s="7">
        <f t="shared" si="193"/>
        <v>-4.897280696048635</v>
      </c>
      <c r="J815" s="7">
        <f t="shared" si="194"/>
        <v>-81.69665459383998</v>
      </c>
      <c r="K815" s="8">
        <f t="shared" si="183"/>
        <v>188.89511256187592</v>
      </c>
      <c r="L815" s="8">
        <f t="shared" si="184"/>
        <v>-7.9335947275987877</v>
      </c>
      <c r="M815" s="8">
        <f t="shared" si="181"/>
        <v>132.34858044202076</v>
      </c>
      <c r="N815" s="8">
        <f t="shared" si="185"/>
        <v>25</v>
      </c>
      <c r="O815" s="8">
        <f t="shared" si="186"/>
        <v>26.498617269090079</v>
      </c>
    </row>
    <row r="816" spans="1:15" x14ac:dyDescent="0.3">
      <c r="A816" s="5">
        <f t="shared" si="187"/>
        <v>8.0799999999998722</v>
      </c>
      <c r="B816" s="5">
        <f t="shared" si="182"/>
        <v>140.23320236265906</v>
      </c>
      <c r="C816" s="6">
        <f t="shared" si="180"/>
        <v>5408.9949482739921</v>
      </c>
      <c r="D816" s="6">
        <f t="shared" si="188"/>
        <v>29257226.350453567</v>
      </c>
      <c r="E816" s="7">
        <f t="shared" si="189"/>
        <v>6248571.4285714282</v>
      </c>
      <c r="F816" s="7">
        <f t="shared" si="190"/>
        <v>124.97142857142855</v>
      </c>
      <c r="G816" s="7">
        <f t="shared" si="191"/>
        <v>23008654.921882138</v>
      </c>
      <c r="H816" s="6">
        <f t="shared" si="192"/>
        <v>4796.733776423509</v>
      </c>
      <c r="I816" s="7">
        <f t="shared" si="193"/>
        <v>-4.8992091940482201</v>
      </c>
      <c r="J816" s="7">
        <f t="shared" si="194"/>
        <v>-81.66449596808701</v>
      </c>
      <c r="K816" s="8">
        <f t="shared" si="183"/>
        <v>188.96949748471704</v>
      </c>
      <c r="L816" s="8">
        <f t="shared" si="184"/>
        <v>-7.9367188943581146</v>
      </c>
      <c r="M816" s="8">
        <f t="shared" si="181"/>
        <v>132.29648346830095</v>
      </c>
      <c r="N816" s="8">
        <f t="shared" si="185"/>
        <v>25.000000000000004</v>
      </c>
      <c r="O816" s="8">
        <f t="shared" si="186"/>
        <v>26.499797781144316</v>
      </c>
    </row>
    <row r="817" spans="1:15" x14ac:dyDescent="0.3">
      <c r="A817" s="5">
        <f t="shared" si="187"/>
        <v>8.089999999999872</v>
      </c>
      <c r="B817" s="5">
        <f t="shared" si="182"/>
        <v>140.18421027071858</v>
      </c>
      <c r="C817" s="6">
        <f t="shared" si="180"/>
        <v>5407.1052532991453</v>
      </c>
      <c r="D817" s="6">
        <f t="shared" si="188"/>
        <v>29236787.220255215</v>
      </c>
      <c r="E817" s="7">
        <f t="shared" si="189"/>
        <v>6248571.4285714282</v>
      </c>
      <c r="F817" s="7">
        <f t="shared" si="190"/>
        <v>124.97142857142855</v>
      </c>
      <c r="G817" s="7">
        <f t="shared" si="191"/>
        <v>22988215.791683786</v>
      </c>
      <c r="H817" s="6">
        <f t="shared" si="192"/>
        <v>4794.6027772573389</v>
      </c>
      <c r="I817" s="7">
        <f t="shared" si="193"/>
        <v>-4.9011400689216345</v>
      </c>
      <c r="J817" s="7">
        <f t="shared" si="194"/>
        <v>-81.632323061151581</v>
      </c>
      <c r="K817" s="8">
        <f t="shared" si="183"/>
        <v>189.04397408697733</v>
      </c>
      <c r="L817" s="8">
        <f t="shared" si="184"/>
        <v>-7.9398469116530466</v>
      </c>
      <c r="M817" s="8">
        <f t="shared" si="181"/>
        <v>132.24436335906555</v>
      </c>
      <c r="N817" s="8">
        <f t="shared" si="185"/>
        <v>25</v>
      </c>
      <c r="O817" s="8">
        <f t="shared" si="186"/>
        <v>26.500980213821105</v>
      </c>
    </row>
    <row r="818" spans="1:15" x14ac:dyDescent="0.3">
      <c r="A818" s="5">
        <f t="shared" si="187"/>
        <v>8.0999999999998717</v>
      </c>
      <c r="B818" s="5">
        <f t="shared" si="182"/>
        <v>140.13519887002937</v>
      </c>
      <c r="C818" s="6">
        <f t="shared" si="180"/>
        <v>5405.2148135582756</v>
      </c>
      <c r="D818" s="6">
        <f t="shared" si="188"/>
        <v>29216347.180709824</v>
      </c>
      <c r="E818" s="7">
        <f t="shared" si="189"/>
        <v>6248571.4285714282</v>
      </c>
      <c r="F818" s="7">
        <f t="shared" si="190"/>
        <v>124.97142857142855</v>
      </c>
      <c r="G818" s="7">
        <f t="shared" si="191"/>
        <v>22967775.752138395</v>
      </c>
      <c r="H818" s="6">
        <f t="shared" si="192"/>
        <v>4792.4707356580066</v>
      </c>
      <c r="I818" s="7">
        <f t="shared" si="193"/>
        <v>-4.9030733256765942</v>
      </c>
      <c r="J818" s="7">
        <f t="shared" si="194"/>
        <v>-81.600135853353905</v>
      </c>
      <c r="K818" s="8">
        <f t="shared" si="183"/>
        <v>189.11854256181147</v>
      </c>
      <c r="L818" s="8">
        <f t="shared" si="184"/>
        <v>-7.9429787875960809</v>
      </c>
      <c r="M818" s="8">
        <f t="shared" si="181"/>
        <v>132.19222008243329</v>
      </c>
      <c r="N818" s="8">
        <f t="shared" si="185"/>
        <v>25.000000000000011</v>
      </c>
      <c r="O818" s="8">
        <f t="shared" si="186"/>
        <v>26.502164571909564</v>
      </c>
    </row>
    <row r="819" spans="1:15" x14ac:dyDescent="0.3">
      <c r="A819" s="5">
        <f t="shared" si="187"/>
        <v>8.1099999999998715</v>
      </c>
      <c r="B819" s="5">
        <f t="shared" si="182"/>
        <v>140.08616813677261</v>
      </c>
      <c r="C819" s="6">
        <f t="shared" si="180"/>
        <v>5403.3236281326581</v>
      </c>
      <c r="D819" s="6">
        <f t="shared" si="188"/>
        <v>29195906.23033667</v>
      </c>
      <c r="E819" s="7">
        <f t="shared" si="189"/>
        <v>6248571.4285714282</v>
      </c>
      <c r="F819" s="7">
        <f t="shared" si="190"/>
        <v>124.97142857142855</v>
      </c>
      <c r="G819" s="7">
        <f t="shared" si="191"/>
        <v>22947334.801765241</v>
      </c>
      <c r="H819" s="6">
        <f t="shared" si="192"/>
        <v>4790.3376500790882</v>
      </c>
      <c r="I819" s="7">
        <f t="shared" si="193"/>
        <v>-4.905008969335837</v>
      </c>
      <c r="J819" s="7">
        <f t="shared" si="194"/>
        <v>-81.567934324968263</v>
      </c>
      <c r="K819" s="8">
        <f t="shared" si="183"/>
        <v>189.1932031029537</v>
      </c>
      <c r="L819" s="8">
        <f t="shared" si="184"/>
        <v>-7.9461145303240546</v>
      </c>
      <c r="M819" s="8">
        <f t="shared" si="181"/>
        <v>132.14005360644856</v>
      </c>
      <c r="N819" s="8">
        <f t="shared" si="185"/>
        <v>25.000000000000011</v>
      </c>
      <c r="O819" s="8">
        <f t="shared" si="186"/>
        <v>26.50335086021494</v>
      </c>
    </row>
    <row r="820" spans="1:15" x14ac:dyDescent="0.3">
      <c r="A820" s="5">
        <f t="shared" si="187"/>
        <v>8.1199999999998713</v>
      </c>
      <c r="B820" s="5">
        <f t="shared" si="182"/>
        <v>140.03711804707925</v>
      </c>
      <c r="C820" s="6">
        <f t="shared" si="180"/>
        <v>5401.4316961016275</v>
      </c>
      <c r="D820" s="6">
        <f t="shared" si="188"/>
        <v>29175464.367651306</v>
      </c>
      <c r="E820" s="7">
        <f t="shared" si="189"/>
        <v>6248571.4285714282</v>
      </c>
      <c r="F820" s="7">
        <f t="shared" si="190"/>
        <v>124.97142857142855</v>
      </c>
      <c r="G820" s="7">
        <f t="shared" si="191"/>
        <v>22926892.939079877</v>
      </c>
      <c r="H820" s="6">
        <f t="shared" si="192"/>
        <v>4788.2035189703329</v>
      </c>
      <c r="I820" s="7">
        <f t="shared" si="193"/>
        <v>-4.9069470049372006</v>
      </c>
      <c r="J820" s="7">
        <f t="shared" si="194"/>
        <v>-81.535718456222838</v>
      </c>
      <c r="K820" s="8">
        <f t="shared" si="183"/>
        <v>189.26795590472059</v>
      </c>
      <c r="L820" s="8">
        <f t="shared" si="184"/>
        <v>-7.9492541479982641</v>
      </c>
      <c r="M820" s="8">
        <f t="shared" si="181"/>
        <v>132.08786389908099</v>
      </c>
      <c r="N820" s="8">
        <f t="shared" si="185"/>
        <v>24.999999999999996</v>
      </c>
      <c r="O820" s="8">
        <f t="shared" si="186"/>
        <v>26.504539083558747</v>
      </c>
    </row>
    <row r="821" spans="1:15" x14ac:dyDescent="0.3">
      <c r="A821" s="5">
        <f t="shared" si="187"/>
        <v>8.1299999999998711</v>
      </c>
      <c r="B821" s="5">
        <f t="shared" si="182"/>
        <v>139.98804857702987</v>
      </c>
      <c r="C821" s="6">
        <f t="shared" si="180"/>
        <v>5399.5390165425806</v>
      </c>
      <c r="D821" s="6">
        <f t="shared" si="188"/>
        <v>29155021.591165617</v>
      </c>
      <c r="E821" s="7">
        <f t="shared" si="189"/>
        <v>6248571.4285714282</v>
      </c>
      <c r="F821" s="7">
        <f t="shared" si="190"/>
        <v>124.97142857142855</v>
      </c>
      <c r="G821" s="7">
        <f t="shared" si="191"/>
        <v>22906450.162594188</v>
      </c>
      <c r="H821" s="6">
        <f t="shared" si="192"/>
        <v>4786.068340777656</v>
      </c>
      <c r="I821" s="7">
        <f t="shared" si="193"/>
        <v>-4.9088874375336911</v>
      </c>
      <c r="J821" s="7">
        <f t="shared" si="194"/>
        <v>-81.503488227299584</v>
      </c>
      <c r="K821" s="8">
        <f t="shared" si="183"/>
        <v>189.34280116201379</v>
      </c>
      <c r="L821" s="8">
        <f t="shared" si="184"/>
        <v>-7.9523976488045784</v>
      </c>
      <c r="M821" s="8">
        <f t="shared" si="181"/>
        <v>132.03565092822529</v>
      </c>
      <c r="N821" s="8">
        <f t="shared" si="185"/>
        <v>25.000000000000021</v>
      </c>
      <c r="O821" s="8">
        <f t="shared" si="186"/>
        <v>26.505729246778895</v>
      </c>
    </row>
    <row r="822" spans="1:15" x14ac:dyDescent="0.3">
      <c r="A822" s="5">
        <f t="shared" si="187"/>
        <v>8.1399999999998709</v>
      </c>
      <c r="B822" s="5">
        <f t="shared" si="182"/>
        <v>139.93895970265453</v>
      </c>
      <c r="C822" s="6">
        <f t="shared" si="180"/>
        <v>5397.6455885309597</v>
      </c>
      <c r="D822" s="6">
        <f t="shared" si="188"/>
        <v>29134577.899387728</v>
      </c>
      <c r="E822" s="7">
        <f t="shared" si="189"/>
        <v>6248571.4285714282</v>
      </c>
      <c r="F822" s="7">
        <f t="shared" si="190"/>
        <v>124.97142857142855</v>
      </c>
      <c r="G822" s="7">
        <f t="shared" si="191"/>
        <v>22886006.470816299</v>
      </c>
      <c r="H822" s="6">
        <f t="shared" si="192"/>
        <v>4783.9321139431213</v>
      </c>
      <c r="I822" s="7">
        <f t="shared" si="193"/>
        <v>-4.9108302721934951</v>
      </c>
      <c r="J822" s="7">
        <f t="shared" si="194"/>
        <v>-81.471243618334</v>
      </c>
      <c r="K822" s="8">
        <f t="shared" si="183"/>
        <v>189.41773907032052</v>
      </c>
      <c r="L822" s="8">
        <f t="shared" si="184"/>
        <v>-7.9555450409534609</v>
      </c>
      <c r="M822" s="8">
        <f t="shared" si="181"/>
        <v>131.98341466170106</v>
      </c>
      <c r="N822" s="8">
        <f t="shared" si="185"/>
        <v>25.000000000000007</v>
      </c>
      <c r="O822" s="8">
        <f t="shared" si="186"/>
        <v>26.506921354729513</v>
      </c>
    </row>
    <row r="823" spans="1:15" x14ac:dyDescent="0.3">
      <c r="A823" s="5">
        <f t="shared" si="187"/>
        <v>8.1499999999998707</v>
      </c>
      <c r="B823" s="5">
        <f t="shared" si="182"/>
        <v>139.88985139993258</v>
      </c>
      <c r="C823" s="6">
        <f t="shared" si="180"/>
        <v>5395.7514111402561</v>
      </c>
      <c r="D823" s="6">
        <f t="shared" si="188"/>
        <v>29114133.290822066</v>
      </c>
      <c r="E823" s="7">
        <f t="shared" si="189"/>
        <v>6248571.4285714282</v>
      </c>
      <c r="F823" s="7">
        <f t="shared" si="190"/>
        <v>124.97142857142855</v>
      </c>
      <c r="G823" s="7">
        <f t="shared" si="191"/>
        <v>22865561.862250637</v>
      </c>
      <c r="H823" s="6">
        <f t="shared" si="192"/>
        <v>4781.7948369049291</v>
      </c>
      <c r="I823" s="7">
        <f t="shared" si="193"/>
        <v>-4.9127755140001028</v>
      </c>
      <c r="J823" s="7">
        <f t="shared" si="194"/>
        <v>-81.438984609415087</v>
      </c>
      <c r="K823" s="8">
        <f t="shared" si="183"/>
        <v>189.49276982571826</v>
      </c>
      <c r="L823" s="8">
        <f t="shared" si="184"/>
        <v>-7.9586963326801659</v>
      </c>
      <c r="M823" s="8">
        <f t="shared" si="181"/>
        <v>131.9311550672524</v>
      </c>
      <c r="N823" s="8">
        <f t="shared" si="185"/>
        <v>25.000000000000004</v>
      </c>
      <c r="O823" s="8">
        <f t="shared" si="186"/>
        <v>26.508115412281356</v>
      </c>
    </row>
    <row r="824" spans="1:15" x14ac:dyDescent="0.3">
      <c r="A824" s="5">
        <f t="shared" si="187"/>
        <v>8.1599999999998705</v>
      </c>
      <c r="B824" s="5">
        <f t="shared" si="182"/>
        <v>139.84072364479258</v>
      </c>
      <c r="C824" s="6">
        <f t="shared" si="180"/>
        <v>5393.8564834419994</v>
      </c>
      <c r="D824" s="6">
        <f t="shared" si="188"/>
        <v>29093687.763969291</v>
      </c>
      <c r="E824" s="7">
        <f t="shared" si="189"/>
        <v>6248571.4285714282</v>
      </c>
      <c r="F824" s="7">
        <f t="shared" si="190"/>
        <v>124.97142857142855</v>
      </c>
      <c r="G824" s="7">
        <f t="shared" si="191"/>
        <v>22845116.335397862</v>
      </c>
      <c r="H824" s="6">
        <f t="shared" si="192"/>
        <v>4779.6565080974033</v>
      </c>
      <c r="I824" s="7">
        <f t="shared" si="193"/>
        <v>-4.9147231680523253</v>
      </c>
      <c r="J824" s="7">
        <f t="shared" si="194"/>
        <v>-81.406711180585091</v>
      </c>
      <c r="K824" s="8">
        <f t="shared" si="183"/>
        <v>189.56789362487541</v>
      </c>
      <c r="L824" s="8">
        <f t="shared" si="184"/>
        <v>-7.9618515322447667</v>
      </c>
      <c r="M824" s="8">
        <f t="shared" si="181"/>
        <v>131.87887211254781</v>
      </c>
      <c r="N824" s="8">
        <f t="shared" si="185"/>
        <v>25.000000000000011</v>
      </c>
      <c r="O824" s="8">
        <f t="shared" si="186"/>
        <v>26.509311424321638</v>
      </c>
    </row>
    <row r="825" spans="1:15" x14ac:dyDescent="0.3">
      <c r="A825" s="5">
        <f t="shared" si="187"/>
        <v>8.1699999999998703</v>
      </c>
      <c r="B825" s="5">
        <f t="shared" si="182"/>
        <v>139.79157641311204</v>
      </c>
      <c r="C825" s="6">
        <f t="shared" si="180"/>
        <v>5391.9608045057503</v>
      </c>
      <c r="D825" s="6">
        <f t="shared" si="188"/>
        <v>29073241.317326296</v>
      </c>
      <c r="E825" s="7">
        <f t="shared" si="189"/>
        <v>6248571.4285714282</v>
      </c>
      <c r="F825" s="7">
        <f t="shared" si="190"/>
        <v>124.97142857142855</v>
      </c>
      <c r="G825" s="7">
        <f t="shared" si="191"/>
        <v>22824669.888754867</v>
      </c>
      <c r="H825" s="6">
        <f t="shared" si="192"/>
        <v>4777.5171259509752</v>
      </c>
      <c r="I825" s="7">
        <f t="shared" si="193"/>
        <v>-4.9166732394643642</v>
      </c>
      <c r="J825" s="7">
        <f t="shared" si="194"/>
        <v>-81.374423311839379</v>
      </c>
      <c r="K825" s="8">
        <f t="shared" si="183"/>
        <v>189.64311066505402</v>
      </c>
      <c r="L825" s="8">
        <f t="shared" si="184"/>
        <v>-7.9650106479322682</v>
      </c>
      <c r="M825" s="8">
        <f t="shared" si="181"/>
        <v>131.82656576517977</v>
      </c>
      <c r="N825" s="8">
        <f t="shared" si="185"/>
        <v>25.000000000000007</v>
      </c>
      <c r="O825" s="8">
        <f t="shared" si="186"/>
        <v>26.510509395754163</v>
      </c>
    </row>
    <row r="826" spans="1:15" x14ac:dyDescent="0.3">
      <c r="A826" s="5">
        <f t="shared" si="187"/>
        <v>8.17999999999987</v>
      </c>
      <c r="B826" s="5">
        <f t="shared" si="182"/>
        <v>139.7424096807174</v>
      </c>
      <c r="C826" s="6">
        <f t="shared" si="180"/>
        <v>5390.0643733990992</v>
      </c>
      <c r="D826" s="6">
        <f t="shared" si="188"/>
        <v>29052793.949386224</v>
      </c>
      <c r="E826" s="7">
        <f t="shared" si="189"/>
        <v>6248571.4285714282</v>
      </c>
      <c r="F826" s="7">
        <f t="shared" si="190"/>
        <v>124.97142857142855</v>
      </c>
      <c r="G826" s="7">
        <f t="shared" si="191"/>
        <v>22804222.520814795</v>
      </c>
      <c r="H826" s="6">
        <f t="shared" si="192"/>
        <v>4775.3766888921755</v>
      </c>
      <c r="I826" s="7">
        <f t="shared" si="193"/>
        <v>-4.9186257333658743</v>
      </c>
      <c r="J826" s="7">
        <f t="shared" si="194"/>
        <v>-81.34212098312635</v>
      </c>
      <c r="K826" s="8">
        <f t="shared" si="183"/>
        <v>189.71842114411228</v>
      </c>
      <c r="L826" s="8">
        <f t="shared" si="184"/>
        <v>-7.9681736880527154</v>
      </c>
      <c r="M826" s="8">
        <f t="shared" si="181"/>
        <v>131.77423599266467</v>
      </c>
      <c r="N826" s="8">
        <f t="shared" si="185"/>
        <v>24.999999999999996</v>
      </c>
      <c r="O826" s="8">
        <f t="shared" si="186"/>
        <v>26.511709331499418</v>
      </c>
    </row>
    <row r="827" spans="1:15" x14ac:dyDescent="0.3">
      <c r="A827" s="5">
        <f t="shared" si="187"/>
        <v>8.1899999999998698</v>
      </c>
      <c r="B827" s="5">
        <f t="shared" si="182"/>
        <v>139.69322342338376</v>
      </c>
      <c r="C827" s="6">
        <f t="shared" si="180"/>
        <v>5388.1671891876586</v>
      </c>
      <c r="D827" s="6">
        <f t="shared" si="188"/>
        <v>29032345.658638433</v>
      </c>
      <c r="E827" s="7">
        <f t="shared" si="189"/>
        <v>6248571.4285714282</v>
      </c>
      <c r="F827" s="7">
        <f t="shared" si="190"/>
        <v>124.97142857142855</v>
      </c>
      <c r="G827" s="7">
        <f t="shared" si="191"/>
        <v>22783774.230067004</v>
      </c>
      <c r="H827" s="6">
        <f t="shared" si="192"/>
        <v>4773.2351953436155</v>
      </c>
      <c r="I827" s="7">
        <f t="shared" si="193"/>
        <v>-4.9205806549020377</v>
      </c>
      <c r="J827" s="7">
        <f t="shared" si="194"/>
        <v>-81.309804174347192</v>
      </c>
      <c r="K827" s="8">
        <f t="shared" si="183"/>
        <v>189.79382526050716</v>
      </c>
      <c r="L827" s="8">
        <f t="shared" si="184"/>
        <v>-7.9713406609412996</v>
      </c>
      <c r="M827" s="8">
        <f t="shared" si="181"/>
        <v>131.72188276244245</v>
      </c>
      <c r="N827" s="8">
        <f t="shared" si="185"/>
        <v>25.000000000000011</v>
      </c>
      <c r="O827" s="8">
        <f t="shared" si="186"/>
        <v>26.512911236494681</v>
      </c>
    </row>
    <row r="828" spans="1:15" x14ac:dyDescent="0.3">
      <c r="A828" s="5">
        <f t="shared" si="187"/>
        <v>8.1999999999998696</v>
      </c>
      <c r="B828" s="5">
        <f t="shared" si="182"/>
        <v>139.64401761683473</v>
      </c>
      <c r="C828" s="6">
        <f t="shared" si="180"/>
        <v>5386.2692509350536</v>
      </c>
      <c r="D828" s="6">
        <f t="shared" si="188"/>
        <v>29011896.443568464</v>
      </c>
      <c r="E828" s="7">
        <f t="shared" si="189"/>
        <v>6248571.4285714282</v>
      </c>
      <c r="F828" s="7">
        <f t="shared" si="190"/>
        <v>124.97142857142855</v>
      </c>
      <c r="G828" s="7">
        <f t="shared" si="191"/>
        <v>22763325.014997035</v>
      </c>
      <c r="H828" s="6">
        <f t="shared" si="192"/>
        <v>4771.0926437239759</v>
      </c>
      <c r="I828" s="7">
        <f t="shared" si="193"/>
        <v>-4.9225380092335902</v>
      </c>
      <c r="J828" s="7">
        <f t="shared" si="194"/>
        <v>-81.277472865355762</v>
      </c>
      <c r="K828" s="8">
        <f t="shared" si="183"/>
        <v>189.86932321329562</v>
      </c>
      <c r="L828" s="8">
        <f t="shared" si="184"/>
        <v>-7.9745115749584148</v>
      </c>
      <c r="M828" s="8">
        <f t="shared" si="181"/>
        <v>131.6695060418763</v>
      </c>
      <c r="N828" s="8">
        <f t="shared" si="185"/>
        <v>24.999999999999993</v>
      </c>
      <c r="O828" s="8">
        <f t="shared" si="186"/>
        <v>26.51411511569394</v>
      </c>
    </row>
    <row r="829" spans="1:15" x14ac:dyDescent="0.3">
      <c r="A829" s="5">
        <f t="shared" si="187"/>
        <v>8.2099999999998694</v>
      </c>
      <c r="B829" s="5">
        <f t="shared" si="182"/>
        <v>139.59479223674239</v>
      </c>
      <c r="C829" s="6">
        <f t="shared" si="180"/>
        <v>5384.3705577029205</v>
      </c>
      <c r="D829" s="6">
        <f t="shared" si="188"/>
        <v>28991446.302658059</v>
      </c>
      <c r="E829" s="7">
        <f t="shared" si="189"/>
        <v>6248571.4285714282</v>
      </c>
      <c r="F829" s="7">
        <f t="shared" si="190"/>
        <v>124.97142857142855</v>
      </c>
      <c r="G829" s="7">
        <f t="shared" si="191"/>
        <v>22742874.87408663</v>
      </c>
      <c r="H829" s="6">
        <f t="shared" si="192"/>
        <v>4768.9490324479912</v>
      </c>
      <c r="I829" s="7">
        <f t="shared" si="193"/>
        <v>-4.9244978015369298</v>
      </c>
      <c r="J829" s="7">
        <f t="shared" si="194"/>
        <v>-81.24512703595839</v>
      </c>
      <c r="K829" s="8">
        <f t="shared" si="183"/>
        <v>189.9449152021387</v>
      </c>
      <c r="L829" s="8">
        <f t="shared" si="184"/>
        <v>-7.9776864384898243</v>
      </c>
      <c r="M829" s="8">
        <f t="shared" si="181"/>
        <v>131.61710579825257</v>
      </c>
      <c r="N829" s="8">
        <f t="shared" si="185"/>
        <v>25.000000000000004</v>
      </c>
      <c r="O829" s="8">
        <f t="shared" si="186"/>
        <v>26.515320974068203</v>
      </c>
    </row>
    <row r="830" spans="1:15" x14ac:dyDescent="0.3">
      <c r="A830" s="5">
        <f t="shared" si="187"/>
        <v>8.2199999999998692</v>
      </c>
      <c r="B830" s="5">
        <f t="shared" si="182"/>
        <v>139.54554725872703</v>
      </c>
      <c r="C830" s="6">
        <f t="shared" si="180"/>
        <v>5382.4711085508989</v>
      </c>
      <c r="D830" s="6">
        <f t="shared" si="188"/>
        <v>28970995.23438514</v>
      </c>
      <c r="E830" s="7">
        <f t="shared" si="189"/>
        <v>6248571.4285714282</v>
      </c>
      <c r="F830" s="7">
        <f t="shared" si="190"/>
        <v>124.97142857142855</v>
      </c>
      <c r="G830" s="7">
        <f t="shared" si="191"/>
        <v>22722423.805813711</v>
      </c>
      <c r="H830" s="6">
        <f t="shared" si="192"/>
        <v>4766.8043599264392</v>
      </c>
      <c r="I830" s="7">
        <f t="shared" si="193"/>
        <v>-4.9264600370041363</v>
      </c>
      <c r="J830" s="7">
        <f t="shared" si="194"/>
        <v>-81.21276666591379</v>
      </c>
      <c r="K830" s="8">
        <f t="shared" si="183"/>
        <v>190.02060142730238</v>
      </c>
      <c r="L830" s="8">
        <f t="shared" si="184"/>
        <v>-7.9808652599466994</v>
      </c>
      <c r="M830" s="8">
        <f t="shared" si="181"/>
        <v>131.56468199878032</v>
      </c>
      <c r="N830" s="8">
        <f t="shared" si="185"/>
        <v>25.000000000000018</v>
      </c>
      <c r="O830" s="8">
        <f t="shared" si="186"/>
        <v>26.516528816605359</v>
      </c>
    </row>
    <row r="831" spans="1:15" x14ac:dyDescent="0.3">
      <c r="A831" s="5">
        <f t="shared" si="187"/>
        <v>8.229999999999869</v>
      </c>
      <c r="B831" s="5">
        <f t="shared" si="182"/>
        <v>139.49628265835699</v>
      </c>
      <c r="C831" s="6">
        <f t="shared" si="180"/>
        <v>5380.5709025366268</v>
      </c>
      <c r="D831" s="6">
        <f t="shared" si="188"/>
        <v>28950543.237223811</v>
      </c>
      <c r="E831" s="7">
        <f t="shared" si="189"/>
        <v>6248571.4285714282</v>
      </c>
      <c r="F831" s="7">
        <f t="shared" si="190"/>
        <v>124.97142857142855</v>
      </c>
      <c r="G831" s="7">
        <f t="shared" si="191"/>
        <v>22701971.808652382</v>
      </c>
      <c r="H831" s="6">
        <f t="shared" si="192"/>
        <v>4764.6586245661274</v>
      </c>
      <c r="I831" s="7">
        <f t="shared" si="193"/>
        <v>-4.9284247208430463</v>
      </c>
      <c r="J831" s="7">
        <f t="shared" si="194"/>
        <v>-81.180391734932897</v>
      </c>
      <c r="K831" s="8">
        <f t="shared" si="183"/>
        <v>190.09638208966035</v>
      </c>
      <c r="L831" s="8">
        <f t="shared" si="184"/>
        <v>-7.9840480477657341</v>
      </c>
      <c r="M831" s="8">
        <f t="shared" si="181"/>
        <v>131.51223461059126</v>
      </c>
      <c r="N831" s="8">
        <f t="shared" si="185"/>
        <v>25.000000000000011</v>
      </c>
      <c r="O831" s="8">
        <f t="shared" si="186"/>
        <v>26.517738648310292</v>
      </c>
    </row>
    <row r="832" spans="1:15" x14ac:dyDescent="0.3">
      <c r="A832" s="5">
        <f t="shared" si="187"/>
        <v>8.2399999999998688</v>
      </c>
      <c r="B832" s="5">
        <f t="shared" si="182"/>
        <v>139.44699841114857</v>
      </c>
      <c r="C832" s="6">
        <f t="shared" si="180"/>
        <v>5378.6699387157305</v>
      </c>
      <c r="D832" s="6">
        <f t="shared" si="188"/>
        <v>28930090.309644282</v>
      </c>
      <c r="E832" s="7">
        <f t="shared" si="189"/>
        <v>6248571.4285714282</v>
      </c>
      <c r="F832" s="7">
        <f t="shared" si="190"/>
        <v>124.97142857142855</v>
      </c>
      <c r="G832" s="7">
        <f t="shared" si="191"/>
        <v>22681518.881072853</v>
      </c>
      <c r="H832" s="6">
        <f t="shared" si="192"/>
        <v>4762.511824769872</v>
      </c>
      <c r="I832" s="7">
        <f t="shared" si="193"/>
        <v>-4.930391858277333</v>
      </c>
      <c r="J832" s="7">
        <f t="shared" si="194"/>
        <v>-81.148002222678585</v>
      </c>
      <c r="K832" s="8">
        <f t="shared" si="183"/>
        <v>190.17225739069713</v>
      </c>
      <c r="L832" s="8">
        <f t="shared" si="184"/>
        <v>-7.9872348104092783</v>
      </c>
      <c r="M832" s="8">
        <f t="shared" si="181"/>
        <v>131.45976360073928</v>
      </c>
      <c r="N832" s="8">
        <f t="shared" si="185"/>
        <v>24.999999999999989</v>
      </c>
      <c r="O832" s="8">
        <f t="shared" si="186"/>
        <v>26.518950474205077</v>
      </c>
    </row>
    <row r="833" spans="1:15" x14ac:dyDescent="0.3">
      <c r="A833" s="5">
        <f t="shared" si="187"/>
        <v>8.2499999999998685</v>
      </c>
      <c r="B833" s="5">
        <f t="shared" si="182"/>
        <v>139.39769449256579</v>
      </c>
      <c r="C833" s="6">
        <f t="shared" si="180"/>
        <v>5376.7682161418234</v>
      </c>
      <c r="D833" s="6">
        <f t="shared" si="188"/>
        <v>28909636.450112924</v>
      </c>
      <c r="E833" s="7">
        <f t="shared" si="189"/>
        <v>6248571.4285714282</v>
      </c>
      <c r="F833" s="7">
        <f t="shared" si="190"/>
        <v>124.97142857142855</v>
      </c>
      <c r="G833" s="7">
        <f t="shared" si="191"/>
        <v>22661065.021541495</v>
      </c>
      <c r="H833" s="6">
        <f t="shared" si="192"/>
        <v>4760.3639589364902</v>
      </c>
      <c r="I833" s="7">
        <f t="shared" si="193"/>
        <v>-4.9323614545465624</v>
      </c>
      <c r="J833" s="7">
        <f t="shared" si="194"/>
        <v>-81.115598108765667</v>
      </c>
      <c r="K833" s="8">
        <f t="shared" si="183"/>
        <v>190.24822753251024</v>
      </c>
      <c r="L833" s="8">
        <f t="shared" si="184"/>
        <v>-7.9904255563654294</v>
      </c>
      <c r="M833" s="8">
        <f t="shared" si="181"/>
        <v>131.40726893620035</v>
      </c>
      <c r="N833" s="8">
        <f t="shared" si="185"/>
        <v>25.000000000000011</v>
      </c>
      <c r="O833" s="8">
        <f t="shared" si="186"/>
        <v>26.520164299329007</v>
      </c>
    </row>
    <row r="834" spans="1:15" x14ac:dyDescent="0.3">
      <c r="A834" s="5">
        <f t="shared" si="187"/>
        <v>8.2599999999998683</v>
      </c>
      <c r="B834" s="5">
        <f t="shared" si="182"/>
        <v>139.34837087802032</v>
      </c>
      <c r="C834" s="6">
        <f t="shared" si="180"/>
        <v>5374.865733866498</v>
      </c>
      <c r="D834" s="6">
        <f t="shared" si="188"/>
        <v>28889181.657092247</v>
      </c>
      <c r="E834" s="7">
        <f t="shared" si="189"/>
        <v>6248571.4285714282</v>
      </c>
      <c r="F834" s="7">
        <f t="shared" si="190"/>
        <v>124.97142857142855</v>
      </c>
      <c r="G834" s="7">
        <f t="shared" si="191"/>
        <v>22640610.228520818</v>
      </c>
      <c r="H834" s="6">
        <f t="shared" si="192"/>
        <v>4758.2150254607895</v>
      </c>
      <c r="I834" s="7">
        <f t="shared" si="193"/>
        <v>-4.9343335149062186</v>
      </c>
      <c r="J834" s="7">
        <f t="shared" si="194"/>
        <v>-81.083179372760668</v>
      </c>
      <c r="K834" s="8">
        <f t="shared" si="183"/>
        <v>190.32429271781129</v>
      </c>
      <c r="L834" s="8">
        <f t="shared" si="184"/>
        <v>-7.993620294148073</v>
      </c>
      <c r="M834" s="8">
        <f t="shared" si="181"/>
        <v>131.35475058387226</v>
      </c>
      <c r="N834" s="8">
        <f t="shared" si="185"/>
        <v>24.999999999999996</v>
      </c>
      <c r="O834" s="8">
        <f t="shared" si="186"/>
        <v>26.521380128738471</v>
      </c>
    </row>
    <row r="835" spans="1:15" x14ac:dyDescent="0.3">
      <c r="A835" s="5">
        <f t="shared" si="187"/>
        <v>8.2699999999998681</v>
      </c>
      <c r="B835" s="5">
        <f t="shared" si="182"/>
        <v>139.29902754287124</v>
      </c>
      <c r="C835" s="6">
        <f t="shared" si="180"/>
        <v>5372.9624909393187</v>
      </c>
      <c r="D835" s="6">
        <f t="shared" si="188"/>
        <v>28868725.929040849</v>
      </c>
      <c r="E835" s="7">
        <f t="shared" si="189"/>
        <v>6248571.4285714282</v>
      </c>
      <c r="F835" s="7">
        <f t="shared" si="190"/>
        <v>124.97142857142855</v>
      </c>
      <c r="G835" s="7">
        <f t="shared" si="191"/>
        <v>22620154.50046942</v>
      </c>
      <c r="H835" s="6">
        <f t="shared" si="192"/>
        <v>4756.0650227335436</v>
      </c>
      <c r="I835" s="7">
        <f t="shared" si="193"/>
        <v>-4.9363080446278307</v>
      </c>
      <c r="J835" s="7">
        <f t="shared" si="194"/>
        <v>-81.050745994181597</v>
      </c>
      <c r="K835" s="8">
        <f t="shared" si="183"/>
        <v>190.4004531499306</v>
      </c>
      <c r="L835" s="8">
        <f t="shared" si="184"/>
        <v>-7.9968190322970845</v>
      </c>
      <c r="M835" s="8">
        <f t="shared" si="181"/>
        <v>131.30220851057416</v>
      </c>
      <c r="N835" s="8">
        <f t="shared" si="185"/>
        <v>24.999999999999993</v>
      </c>
      <c r="O835" s="8">
        <f t="shared" si="186"/>
        <v>26.522597967507348</v>
      </c>
    </row>
    <row r="836" spans="1:15" x14ac:dyDescent="0.3">
      <c r="A836" s="5">
        <f t="shared" si="187"/>
        <v>8.2799999999998679</v>
      </c>
      <c r="B836" s="5">
        <f t="shared" si="182"/>
        <v>139.24966446242496</v>
      </c>
      <c r="C836" s="6">
        <f t="shared" si="180"/>
        <v>5371.0584864078191</v>
      </c>
      <c r="D836" s="6">
        <f t="shared" si="188"/>
        <v>28848269.264413454</v>
      </c>
      <c r="E836" s="7">
        <f t="shared" si="189"/>
        <v>6248571.4285714282</v>
      </c>
      <c r="F836" s="7">
        <f t="shared" si="190"/>
        <v>124.97142857142855</v>
      </c>
      <c r="G836" s="7">
        <f t="shared" si="191"/>
        <v>22599697.835842025</v>
      </c>
      <c r="H836" s="6">
        <f t="shared" si="192"/>
        <v>4753.913949141489</v>
      </c>
      <c r="I836" s="7">
        <f t="shared" si="193"/>
        <v>-4.9382850489989849</v>
      </c>
      <c r="J836" s="7">
        <f t="shared" si="194"/>
        <v>-81.018297952497917</v>
      </c>
      <c r="K836" s="8">
        <f t="shared" si="183"/>
        <v>190.47670903281798</v>
      </c>
      <c r="L836" s="8">
        <f t="shared" si="184"/>
        <v>-8.0000217793783541</v>
      </c>
      <c r="M836" s="8">
        <f t="shared" si="181"/>
        <v>131.2496426830466</v>
      </c>
      <c r="N836" s="8">
        <f t="shared" si="185"/>
        <v>24.999999999999996</v>
      </c>
      <c r="O836" s="8">
        <f t="shared" si="186"/>
        <v>26.523817820726855</v>
      </c>
    </row>
    <row r="837" spans="1:15" x14ac:dyDescent="0.3">
      <c r="A837" s="5">
        <f t="shared" si="187"/>
        <v>8.2899999999998677</v>
      </c>
      <c r="B837" s="5">
        <f t="shared" si="182"/>
        <v>139.20028161193497</v>
      </c>
      <c r="C837" s="6">
        <f t="shared" si="180"/>
        <v>5369.1537193174918</v>
      </c>
      <c r="D837" s="6">
        <f t="shared" si="188"/>
        <v>28827811.661660854</v>
      </c>
      <c r="E837" s="7">
        <f t="shared" si="189"/>
        <v>6248571.4285714282</v>
      </c>
      <c r="F837" s="7">
        <f t="shared" si="190"/>
        <v>124.97142857142855</v>
      </c>
      <c r="G837" s="7">
        <f t="shared" si="191"/>
        <v>22579240.233089425</v>
      </c>
      <c r="H837" s="6">
        <f t="shared" si="192"/>
        <v>4751.7618030673029</v>
      </c>
      <c r="I837" s="7">
        <f t="shared" si="193"/>
        <v>-4.9402645333234139</v>
      </c>
      <c r="J837" s="7">
        <f t="shared" si="194"/>
        <v>-80.985835227130295</v>
      </c>
      <c r="K837" s="8">
        <f t="shared" si="183"/>
        <v>190.55306057104596</v>
      </c>
      <c r="L837" s="8">
        <f t="shared" si="184"/>
        <v>-8.0032285439839299</v>
      </c>
      <c r="M837" s="8">
        <f t="shared" si="181"/>
        <v>131.19705306795103</v>
      </c>
      <c r="N837" s="8">
        <f t="shared" si="185"/>
        <v>25.000000000000004</v>
      </c>
      <c r="O837" s="8">
        <f t="shared" si="186"/>
        <v>26.5250396935057</v>
      </c>
    </row>
    <row r="838" spans="1:15" x14ac:dyDescent="0.3">
      <c r="A838" s="5">
        <f t="shared" si="187"/>
        <v>8.2999999999998675</v>
      </c>
      <c r="B838" s="5">
        <f t="shared" si="182"/>
        <v>139.15087896660174</v>
      </c>
      <c r="C838" s="6">
        <f t="shared" si="180"/>
        <v>5367.248188711781</v>
      </c>
      <c r="D838" s="6">
        <f t="shared" si="188"/>
        <v>28807353.119229894</v>
      </c>
      <c r="E838" s="7">
        <f t="shared" si="189"/>
        <v>6248571.4285714282</v>
      </c>
      <c r="F838" s="7">
        <f t="shared" si="190"/>
        <v>124.97142857142855</v>
      </c>
      <c r="G838" s="7">
        <f t="shared" si="191"/>
        <v>22558781.690658465</v>
      </c>
      <c r="H838" s="6">
        <f t="shared" si="192"/>
        <v>4749.6085828895903</v>
      </c>
      <c r="I838" s="7">
        <f t="shared" si="193"/>
        <v>-4.9422465029210523</v>
      </c>
      <c r="J838" s="7">
        <f t="shared" si="194"/>
        <v>-80.953357797450408</v>
      </c>
      <c r="K838" s="8">
        <f t="shared" si="183"/>
        <v>190.62950796981201</v>
      </c>
      <c r="L838" s="8">
        <f t="shared" si="184"/>
        <v>-8.0064393347321037</v>
      </c>
      <c r="M838" s="8">
        <f t="shared" si="181"/>
        <v>131.14443963186963</v>
      </c>
      <c r="N838" s="8">
        <f t="shared" si="185"/>
        <v>25.000000000000021</v>
      </c>
      <c r="O838" s="8">
        <f t="shared" si="186"/>
        <v>26.526263590970153</v>
      </c>
    </row>
    <row r="839" spans="1:15" x14ac:dyDescent="0.3">
      <c r="A839" s="5">
        <f t="shared" si="187"/>
        <v>8.3099999999998673</v>
      </c>
      <c r="B839" s="5">
        <f t="shared" si="182"/>
        <v>139.10145650157253</v>
      </c>
      <c r="C839" s="6">
        <f t="shared" si="180"/>
        <v>5365.3418936320832</v>
      </c>
      <c r="D839" s="6">
        <f t="shared" si="188"/>
        <v>28786893.635563508</v>
      </c>
      <c r="E839" s="7">
        <f t="shared" si="189"/>
        <v>6248571.4285714282</v>
      </c>
      <c r="F839" s="7">
        <f t="shared" si="190"/>
        <v>124.97142857142855</v>
      </c>
      <c r="G839" s="7">
        <f t="shared" si="191"/>
        <v>22538322.206992079</v>
      </c>
      <c r="H839" s="6">
        <f t="shared" si="192"/>
        <v>4747.4542869828747</v>
      </c>
      <c r="I839" s="7">
        <f t="shared" si="193"/>
        <v>-4.9442309631280983</v>
      </c>
      <c r="J839" s="7">
        <f t="shared" si="194"/>
        <v>-80.920865642780882</v>
      </c>
      <c r="K839" s="8">
        <f t="shared" si="183"/>
        <v>190.70605143494092</v>
      </c>
      <c r="L839" s="8">
        <f t="shared" si="184"/>
        <v>-8.0096541602675178</v>
      </c>
      <c r="M839" s="8">
        <f t="shared" si="181"/>
        <v>131.091802341305</v>
      </c>
      <c r="N839" s="8">
        <f t="shared" si="185"/>
        <v>25.000000000000018</v>
      </c>
      <c r="O839" s="8">
        <f t="shared" si="186"/>
        <v>26.527489518264087</v>
      </c>
    </row>
    <row r="840" spans="1:15" x14ac:dyDescent="0.3">
      <c r="A840" s="5">
        <f t="shared" si="187"/>
        <v>8.3199999999998671</v>
      </c>
      <c r="B840" s="5">
        <f t="shared" si="182"/>
        <v>139.05201419194125</v>
      </c>
      <c r="C840" s="6">
        <f t="shared" ref="C840:C903" si="195">$B$1*B840</f>
        <v>5363.4348331177334</v>
      </c>
      <c r="D840" s="6">
        <f t="shared" si="188"/>
        <v>28766433.209100649</v>
      </c>
      <c r="E840" s="7">
        <f t="shared" si="189"/>
        <v>6248571.4285714282</v>
      </c>
      <c r="F840" s="7">
        <f t="shared" si="190"/>
        <v>124.97142857142855</v>
      </c>
      <c r="G840" s="7">
        <f t="shared" si="191"/>
        <v>22517861.78052922</v>
      </c>
      <c r="H840" s="6">
        <f t="shared" si="192"/>
        <v>4745.2989137175773</v>
      </c>
      <c r="I840" s="7">
        <f t="shared" si="193"/>
        <v>-4.946217919297089</v>
      </c>
      <c r="J840" s="7">
        <f t="shared" si="194"/>
        <v>-80.888358742395056</v>
      </c>
      <c r="K840" s="8">
        <f t="shared" si="183"/>
        <v>190.7826911728877</v>
      </c>
      <c r="L840" s="8">
        <f t="shared" si="184"/>
        <v>-8.0128730292612822</v>
      </c>
      <c r="M840" s="8">
        <f t="shared" ref="M840:M903" si="196">B840+L840</f>
        <v>131.03914116267998</v>
      </c>
      <c r="N840" s="8">
        <f t="shared" si="185"/>
        <v>25.000000000000011</v>
      </c>
      <c r="O840" s="8">
        <f t="shared" si="186"/>
        <v>26.528717480549126</v>
      </c>
    </row>
    <row r="841" spans="1:15" x14ac:dyDescent="0.3">
      <c r="A841" s="5">
        <f t="shared" si="187"/>
        <v>8.3299999999998668</v>
      </c>
      <c r="B841" s="5">
        <f t="shared" ref="B841:B904" si="197">I840*$B$5+B840</f>
        <v>139.00255201274828</v>
      </c>
      <c r="C841" s="6">
        <f t="shared" si="195"/>
        <v>5361.5270062060044</v>
      </c>
      <c r="D841" s="6">
        <f t="shared" si="188"/>
        <v>28745971.838276319</v>
      </c>
      <c r="E841" s="7">
        <f t="shared" si="189"/>
        <v>6248571.4285714282</v>
      </c>
      <c r="F841" s="7">
        <f t="shared" si="190"/>
        <v>124.97142857142855</v>
      </c>
      <c r="G841" s="7">
        <f t="shared" si="191"/>
        <v>22497400.40970489</v>
      </c>
      <c r="H841" s="6">
        <f t="shared" si="192"/>
        <v>4743.1424614600064</v>
      </c>
      <c r="I841" s="7">
        <f t="shared" si="193"/>
        <v>-4.948207376796967</v>
      </c>
      <c r="J841" s="7">
        <f t="shared" si="194"/>
        <v>-80.855837075516803</v>
      </c>
      <c r="K841" s="8">
        <f t="shared" ref="K841:K904" si="198">-$B$1*I841</f>
        <v>190.85942739074014</v>
      </c>
      <c r="L841" s="8">
        <f t="shared" ref="L841:L904" si="199">-$B$2*K841</f>
        <v>-8.0160959504110849</v>
      </c>
      <c r="M841" s="8">
        <f t="shared" si="196"/>
        <v>130.9864560623372</v>
      </c>
      <c r="N841" s="8">
        <f t="shared" ref="N841:N904" si="200">K841*M841/1000</f>
        <v>25.000000000000018</v>
      </c>
      <c r="O841" s="8">
        <f t="shared" ref="O841:O904" si="201">B841*K841/1000</f>
        <v>26.529947483004712</v>
      </c>
    </row>
    <row r="842" spans="1:15" x14ac:dyDescent="0.3">
      <c r="A842" s="5">
        <f t="shared" ref="A842:A905" si="202">A841+$B$5</f>
        <v>8.3399999999998666</v>
      </c>
      <c r="B842" s="5">
        <f t="shared" si="197"/>
        <v>138.95306993898032</v>
      </c>
      <c r="C842" s="6">
        <f t="shared" si="195"/>
        <v>5359.6184119320978</v>
      </c>
      <c r="D842" s="6">
        <f t="shared" ref="D842:D905" si="203">POWER(C842,2)</f>
        <v>28725509.521521542</v>
      </c>
      <c r="E842" s="7">
        <f t="shared" ref="E842:E905" si="204">4*$B$2*$B$3*POWER($B$1,2)</f>
        <v>6248571.4285714282</v>
      </c>
      <c r="F842" s="7">
        <f t="shared" ref="F842:F905" si="205">POWER($B$1,2)*2*$B$2</f>
        <v>124.97142857142855</v>
      </c>
      <c r="G842" s="7">
        <f t="shared" ref="G842:G905" si="206">D842-E842</f>
        <v>22476938.092950113</v>
      </c>
      <c r="H842" s="6">
        <f t="shared" ref="H842:H905" si="207">SQRT(G842)</f>
        <v>4740.984928572344</v>
      </c>
      <c r="I842" s="7">
        <f t="shared" ref="I842:I905" si="208">(-C842+H842)/F842</f>
        <v>-4.9501993410131204</v>
      </c>
      <c r="J842" s="7">
        <f t="shared" ref="J842:J905" si="209">(-C842-H842)/F842</f>
        <v>-80.823300621320428</v>
      </c>
      <c r="K842" s="8">
        <f t="shared" si="198"/>
        <v>190.93626029622035</v>
      </c>
      <c r="L842" s="8">
        <f t="shared" si="199"/>
        <v>-8.0193229324412538</v>
      </c>
      <c r="M842" s="8">
        <f t="shared" si="196"/>
        <v>130.93374700653908</v>
      </c>
      <c r="N842" s="8">
        <f t="shared" si="200"/>
        <v>25.000000000000007</v>
      </c>
      <c r="O842" s="8">
        <f t="shared" si="201"/>
        <v>26.531179530828059</v>
      </c>
    </row>
    <row r="843" spans="1:15" x14ac:dyDescent="0.3">
      <c r="A843" s="5">
        <f t="shared" si="202"/>
        <v>8.3499999999998664</v>
      </c>
      <c r="B843" s="5">
        <f t="shared" si="197"/>
        <v>138.90356794557019</v>
      </c>
      <c r="C843" s="6">
        <f t="shared" si="195"/>
        <v>5357.7090493291353</v>
      </c>
      <c r="D843" s="6">
        <f t="shared" si="203"/>
        <v>28705046.257263307</v>
      </c>
      <c r="E843" s="7">
        <f t="shared" si="204"/>
        <v>6248571.4285714282</v>
      </c>
      <c r="F843" s="7">
        <f t="shared" si="205"/>
        <v>124.97142857142855</v>
      </c>
      <c r="G843" s="7">
        <f t="shared" si="206"/>
        <v>22456474.828691877</v>
      </c>
      <c r="H843" s="6">
        <f t="shared" si="207"/>
        <v>4738.8263134126237</v>
      </c>
      <c r="I843" s="7">
        <f t="shared" si="208"/>
        <v>-4.9521938173474878</v>
      </c>
      <c r="J843" s="7">
        <f t="shared" si="209"/>
        <v>-80.790749358930412</v>
      </c>
      <c r="K843" s="8">
        <f t="shared" si="198"/>
        <v>191.01319009768881</v>
      </c>
      <c r="L843" s="8">
        <f t="shared" si="199"/>
        <v>-8.0225539841029292</v>
      </c>
      <c r="M843" s="8">
        <f t="shared" si="196"/>
        <v>130.88101396146726</v>
      </c>
      <c r="N843" s="8">
        <f t="shared" si="200"/>
        <v>25.000000000000007</v>
      </c>
      <c r="O843" s="8">
        <f t="shared" si="201"/>
        <v>26.53241362923443</v>
      </c>
    </row>
    <row r="844" spans="1:15" x14ac:dyDescent="0.3">
      <c r="A844" s="5">
        <f t="shared" si="202"/>
        <v>8.3599999999998662</v>
      </c>
      <c r="B844" s="5">
        <f t="shared" si="197"/>
        <v>138.8540460073967</v>
      </c>
      <c r="C844" s="6">
        <f t="shared" si="195"/>
        <v>5355.7989174281583</v>
      </c>
      <c r="D844" s="6">
        <f t="shared" si="203"/>
        <v>28684582.043924633</v>
      </c>
      <c r="E844" s="7">
        <f t="shared" si="204"/>
        <v>6248571.4285714282</v>
      </c>
      <c r="F844" s="7">
        <f t="shared" si="205"/>
        <v>124.97142857142855</v>
      </c>
      <c r="G844" s="7">
        <f t="shared" si="206"/>
        <v>22436010.615353204</v>
      </c>
      <c r="H844" s="6">
        <f t="shared" si="207"/>
        <v>4736.6666143347265</v>
      </c>
      <c r="I844" s="7">
        <f t="shared" si="208"/>
        <v>-4.9541908112185915</v>
      </c>
      <c r="J844" s="7">
        <f t="shared" si="209"/>
        <v>-80.758183267421373</v>
      </c>
      <c r="K844" s="8">
        <f t="shared" si="198"/>
        <v>191.09021700414567</v>
      </c>
      <c r="L844" s="8">
        <f t="shared" si="199"/>
        <v>-8.0257891141741169</v>
      </c>
      <c r="M844" s="8">
        <f t="shared" si="196"/>
        <v>130.8282568932226</v>
      </c>
      <c r="N844" s="8">
        <f t="shared" si="200"/>
        <v>25.000000000000025</v>
      </c>
      <c r="O844" s="8">
        <f t="shared" si="201"/>
        <v>26.533649783457061</v>
      </c>
    </row>
    <row r="845" spans="1:15" x14ac:dyDescent="0.3">
      <c r="A845" s="5">
        <f t="shared" si="202"/>
        <v>8.369999999999866</v>
      </c>
      <c r="B845" s="5">
        <f t="shared" si="197"/>
        <v>138.80450409928451</v>
      </c>
      <c r="C845" s="6">
        <f t="shared" si="195"/>
        <v>5353.8880152581169</v>
      </c>
      <c r="D845" s="6">
        <f t="shared" si="203"/>
        <v>28664116.879924498</v>
      </c>
      <c r="E845" s="7">
        <f t="shared" si="204"/>
        <v>6248571.4285714282</v>
      </c>
      <c r="F845" s="7">
        <f t="shared" si="205"/>
        <v>124.97142857142855</v>
      </c>
      <c r="G845" s="7">
        <f t="shared" si="206"/>
        <v>22415545.451353069</v>
      </c>
      <c r="H845" s="6">
        <f t="shared" si="207"/>
        <v>4734.5058296883608</v>
      </c>
      <c r="I845" s="7">
        <f t="shared" si="208"/>
        <v>-4.9561903280616066</v>
      </c>
      <c r="J845" s="7">
        <f t="shared" si="209"/>
        <v>-80.725602325817732</v>
      </c>
      <c r="K845" s="8">
        <f t="shared" si="198"/>
        <v>191.1673412252334</v>
      </c>
      <c r="L845" s="8">
        <f t="shared" si="199"/>
        <v>-8.0290283314598021</v>
      </c>
      <c r="M845" s="8">
        <f t="shared" si="196"/>
        <v>130.7754757678247</v>
      </c>
      <c r="N845" s="8">
        <f t="shared" si="200"/>
        <v>24.999999999999986</v>
      </c>
      <c r="O845" s="8">
        <f t="shared" si="201"/>
        <v>26.53488799874723</v>
      </c>
    </row>
    <row r="846" spans="1:15" x14ac:dyDescent="0.3">
      <c r="A846" s="5">
        <f t="shared" si="202"/>
        <v>8.3799999999998658</v>
      </c>
      <c r="B846" s="5">
        <f t="shared" si="197"/>
        <v>138.7549421960039</v>
      </c>
      <c r="C846" s="6">
        <f t="shared" si="195"/>
        <v>5351.9763418458642</v>
      </c>
      <c r="D846" s="6">
        <f t="shared" si="203"/>
        <v>28643650.763677839</v>
      </c>
      <c r="E846" s="7">
        <f t="shared" si="204"/>
        <v>6248571.4285714282</v>
      </c>
      <c r="F846" s="7">
        <f t="shared" si="205"/>
        <v>124.97142857142855</v>
      </c>
      <c r="G846" s="7">
        <f t="shared" si="206"/>
        <v>22395079.33510641</v>
      </c>
      <c r="H846" s="6">
        <f t="shared" si="207"/>
        <v>4732.3439578190437</v>
      </c>
      <c r="I846" s="7">
        <f t="shared" si="208"/>
        <v>-4.958192373328469</v>
      </c>
      <c r="J846" s="7">
        <f t="shared" si="209"/>
        <v>-80.693006513093707</v>
      </c>
      <c r="K846" s="8">
        <f t="shared" si="198"/>
        <v>191.24456297124092</v>
      </c>
      <c r="L846" s="8">
        <f t="shared" si="199"/>
        <v>-8.0322716447921181</v>
      </c>
      <c r="M846" s="8">
        <f t="shared" si="196"/>
        <v>130.72267055121176</v>
      </c>
      <c r="N846" s="8">
        <f t="shared" si="200"/>
        <v>25</v>
      </c>
      <c r="O846" s="8">
        <f t="shared" si="201"/>
        <v>26.536128280374559</v>
      </c>
    </row>
    <row r="847" spans="1:15" x14ac:dyDescent="0.3">
      <c r="A847" s="5">
        <f t="shared" si="202"/>
        <v>8.3899999999998656</v>
      </c>
      <c r="B847" s="5">
        <f t="shared" si="197"/>
        <v>138.70536027227061</v>
      </c>
      <c r="C847" s="6">
        <f t="shared" si="195"/>
        <v>5350.063896216152</v>
      </c>
      <c r="D847" s="6">
        <f t="shared" si="203"/>
        <v>28623183.693595551</v>
      </c>
      <c r="E847" s="7">
        <f t="shared" si="204"/>
        <v>6248571.4285714282</v>
      </c>
      <c r="F847" s="7">
        <f t="shared" si="205"/>
        <v>124.97142857142855</v>
      </c>
      <c r="G847" s="7">
        <f t="shared" si="206"/>
        <v>22374612.265024122</v>
      </c>
      <c r="H847" s="6">
        <f t="shared" si="207"/>
        <v>4730.1809970680952</v>
      </c>
      <c r="I847" s="7">
        <f t="shared" si="208"/>
        <v>-4.9601969524878813</v>
      </c>
      <c r="J847" s="7">
        <f t="shared" si="209"/>
        <v>-80.660395808173007</v>
      </c>
      <c r="K847" s="8">
        <f t="shared" si="198"/>
        <v>191.321882453104</v>
      </c>
      <c r="L847" s="8">
        <f t="shared" si="199"/>
        <v>-8.0355190630303674</v>
      </c>
      <c r="M847" s="8">
        <f t="shared" si="196"/>
        <v>130.66984120924025</v>
      </c>
      <c r="N847" s="8">
        <f t="shared" si="200"/>
        <v>25.000000000000025</v>
      </c>
      <c r="O847" s="8">
        <f t="shared" si="201"/>
        <v>26.537370633626796</v>
      </c>
    </row>
    <row r="848" spans="1:15" x14ac:dyDescent="0.3">
      <c r="A848" s="5">
        <f t="shared" si="202"/>
        <v>8.3999999999998654</v>
      </c>
      <c r="B848" s="5">
        <f t="shared" si="197"/>
        <v>138.65575830274574</v>
      </c>
      <c r="C848" s="6">
        <f t="shared" si="195"/>
        <v>5348.1506773916208</v>
      </c>
      <c r="D848" s="6">
        <f t="shared" si="203"/>
        <v>28602715.668084454</v>
      </c>
      <c r="E848" s="7">
        <f t="shared" si="204"/>
        <v>6248571.4285714282</v>
      </c>
      <c r="F848" s="7">
        <f t="shared" si="205"/>
        <v>124.97142857142855</v>
      </c>
      <c r="G848" s="7">
        <f t="shared" si="206"/>
        <v>22354144.239513025</v>
      </c>
      <c r="H848" s="6">
        <f t="shared" si="207"/>
        <v>4728.016945772617</v>
      </c>
      <c r="I848" s="7">
        <f t="shared" si="208"/>
        <v>-4.9622040710254085</v>
      </c>
      <c r="J848" s="7">
        <f t="shared" si="209"/>
        <v>-80.627770189928754</v>
      </c>
      <c r="K848" s="8">
        <f t="shared" si="198"/>
        <v>191.3992998824086</v>
      </c>
      <c r="L848" s="8">
        <f t="shared" si="199"/>
        <v>-8.0387705950611608</v>
      </c>
      <c r="M848" s="8">
        <f t="shared" si="196"/>
        <v>130.61698770768459</v>
      </c>
      <c r="N848" s="8">
        <f t="shared" si="200"/>
        <v>25</v>
      </c>
      <c r="O848" s="8">
        <f t="shared" si="201"/>
        <v>26.538615063809996</v>
      </c>
    </row>
    <row r="849" spans="1:15" x14ac:dyDescent="0.3">
      <c r="A849" s="5">
        <f t="shared" si="202"/>
        <v>8.4099999999998651</v>
      </c>
      <c r="B849" s="5">
        <f t="shared" si="197"/>
        <v>138.60613626203548</v>
      </c>
      <c r="C849" s="6">
        <f t="shared" si="195"/>
        <v>5346.2366843927966</v>
      </c>
      <c r="D849" s="6">
        <f t="shared" si="203"/>
        <v>28582246.685547285</v>
      </c>
      <c r="E849" s="7">
        <f t="shared" si="204"/>
        <v>6248571.4285714282</v>
      </c>
      <c r="F849" s="7">
        <f t="shared" si="205"/>
        <v>124.97142857142855</v>
      </c>
      <c r="G849" s="7">
        <f t="shared" si="206"/>
        <v>22333675.256975856</v>
      </c>
      <c r="H849" s="6">
        <f t="shared" si="207"/>
        <v>4725.8518022654771</v>
      </c>
      <c r="I849" s="7">
        <f t="shared" si="208"/>
        <v>-4.9642137344435726</v>
      </c>
      <c r="J849" s="7">
        <f t="shared" si="209"/>
        <v>-80.595129637183277</v>
      </c>
      <c r="K849" s="8">
        <f t="shared" si="198"/>
        <v>191.47681547139493</v>
      </c>
      <c r="L849" s="8">
        <f t="shared" si="199"/>
        <v>-8.042026249798587</v>
      </c>
      <c r="M849" s="8">
        <f t="shared" si="196"/>
        <v>130.56411001223688</v>
      </c>
      <c r="N849" s="8">
        <f t="shared" si="200"/>
        <v>24.999999999999989</v>
      </c>
      <c r="O849" s="8">
        <f t="shared" si="201"/>
        <v>26.539861576248789</v>
      </c>
    </row>
    <row r="850" spans="1:15" x14ac:dyDescent="0.3">
      <c r="A850" s="5">
        <f t="shared" si="202"/>
        <v>8.4199999999998649</v>
      </c>
      <c r="B850" s="5">
        <f t="shared" si="197"/>
        <v>138.55649412469103</v>
      </c>
      <c r="C850" s="6">
        <f t="shared" si="195"/>
        <v>5344.3219162380819</v>
      </c>
      <c r="D850" s="6">
        <f t="shared" si="203"/>
        <v>28561776.744382683</v>
      </c>
      <c r="E850" s="7">
        <f t="shared" si="204"/>
        <v>6248571.4285714282</v>
      </c>
      <c r="F850" s="7">
        <f t="shared" si="205"/>
        <v>124.97142857142855</v>
      </c>
      <c r="G850" s="7">
        <f t="shared" si="206"/>
        <v>22313205.315811254</v>
      </c>
      <c r="H850" s="6">
        <f t="shared" si="207"/>
        <v>4723.6855648752971</v>
      </c>
      <c r="I850" s="7">
        <f t="shared" si="208"/>
        <v>-4.966225948261882</v>
      </c>
      <c r="J850" s="7">
        <f t="shared" si="209"/>
        <v>-80.56247412870789</v>
      </c>
      <c r="K850" s="8">
        <f t="shared" si="198"/>
        <v>191.5544294329583</v>
      </c>
      <c r="L850" s="8">
        <f t="shared" si="199"/>
        <v>-8.0452860361842475</v>
      </c>
      <c r="M850" s="8">
        <f t="shared" si="196"/>
        <v>130.51120808850678</v>
      </c>
      <c r="N850" s="8">
        <f t="shared" si="200"/>
        <v>25.000000000000007</v>
      </c>
      <c r="O850" s="8">
        <f t="shared" si="201"/>
        <v>26.541110176286228</v>
      </c>
    </row>
    <row r="851" spans="1:15" x14ac:dyDescent="0.3">
      <c r="A851" s="5">
        <f t="shared" si="202"/>
        <v>8.4299999999998647</v>
      </c>
      <c r="B851" s="5">
        <f t="shared" si="197"/>
        <v>138.5068318652084</v>
      </c>
      <c r="C851" s="6">
        <f t="shared" si="195"/>
        <v>5342.4063719437518</v>
      </c>
      <c r="D851" s="6">
        <f t="shared" si="203"/>
        <v>28541305.842985202</v>
      </c>
      <c r="E851" s="7">
        <f t="shared" si="204"/>
        <v>6248571.4285714282</v>
      </c>
      <c r="F851" s="7">
        <f t="shared" si="205"/>
        <v>124.97142857142855</v>
      </c>
      <c r="G851" s="7">
        <f t="shared" si="206"/>
        <v>22292734.414413773</v>
      </c>
      <c r="H851" s="6">
        <f t="shared" si="207"/>
        <v>4721.5182319264395</v>
      </c>
      <c r="I851" s="7">
        <f t="shared" si="208"/>
        <v>-4.9682407180169026</v>
      </c>
      <c r="J851" s="7">
        <f t="shared" si="209"/>
        <v>-80.529803643222849</v>
      </c>
      <c r="K851" s="8">
        <f t="shared" si="198"/>
        <v>191.63214198065194</v>
      </c>
      <c r="L851" s="8">
        <f t="shared" si="199"/>
        <v>-8.04854996318738</v>
      </c>
      <c r="M851" s="8">
        <f t="shared" si="196"/>
        <v>130.45828190202101</v>
      </c>
      <c r="N851" s="8">
        <f t="shared" si="200"/>
        <v>25.000000000000007</v>
      </c>
      <c r="O851" s="8">
        <f t="shared" si="201"/>
        <v>26.5423608692839</v>
      </c>
    </row>
    <row r="852" spans="1:15" x14ac:dyDescent="0.3">
      <c r="A852" s="5">
        <f t="shared" si="202"/>
        <v>8.4399999999998645</v>
      </c>
      <c r="B852" s="5">
        <f t="shared" si="197"/>
        <v>138.45714945802823</v>
      </c>
      <c r="C852" s="6">
        <f t="shared" si="195"/>
        <v>5340.4900505239457</v>
      </c>
      <c r="D852" s="6">
        <f t="shared" si="203"/>
        <v>28520833.979745258</v>
      </c>
      <c r="E852" s="7">
        <f t="shared" si="204"/>
        <v>6248571.4285714282</v>
      </c>
      <c r="F852" s="7">
        <f t="shared" si="205"/>
        <v>124.97142857142855</v>
      </c>
      <c r="G852" s="7">
        <f t="shared" si="206"/>
        <v>22272262.551173829</v>
      </c>
      <c r="H852" s="6">
        <f t="shared" si="207"/>
        <v>4719.3498017389884</v>
      </c>
      <c r="I852" s="7">
        <f t="shared" si="208"/>
        <v>-4.9702580492623483</v>
      </c>
      <c r="J852" s="7">
        <f t="shared" si="209"/>
        <v>-80.497118159397061</v>
      </c>
      <c r="K852" s="8">
        <f t="shared" si="198"/>
        <v>191.70995332869057</v>
      </c>
      <c r="L852" s="8">
        <f t="shared" si="199"/>
        <v>-8.0518180398050028</v>
      </c>
      <c r="M852" s="8">
        <f t="shared" si="196"/>
        <v>130.40533141822323</v>
      </c>
      <c r="N852" s="8">
        <f t="shared" si="200"/>
        <v>25</v>
      </c>
      <c r="O852" s="8">
        <f t="shared" si="201"/>
        <v>26.543613660622125</v>
      </c>
    </row>
    <row r="853" spans="1:15" x14ac:dyDescent="0.3">
      <c r="A853" s="5">
        <f t="shared" si="202"/>
        <v>8.4499999999998643</v>
      </c>
      <c r="B853" s="5">
        <f t="shared" si="197"/>
        <v>138.40744687753559</v>
      </c>
      <c r="C853" s="6">
        <f t="shared" si="195"/>
        <v>5338.5729509906587</v>
      </c>
      <c r="D853" s="6">
        <f t="shared" si="203"/>
        <v>28500361.153049111</v>
      </c>
      <c r="E853" s="7">
        <f t="shared" si="204"/>
        <v>6248571.4285714282</v>
      </c>
      <c r="F853" s="7">
        <f t="shared" si="205"/>
        <v>124.97142857142855</v>
      </c>
      <c r="G853" s="7">
        <f t="shared" si="206"/>
        <v>22251789.724477682</v>
      </c>
      <c r="H853" s="6">
        <f t="shared" si="207"/>
        <v>4717.1802726287324</v>
      </c>
      <c r="I853" s="7">
        <f t="shared" si="208"/>
        <v>-4.9722779475691414</v>
      </c>
      <c r="J853" s="7">
        <f t="shared" si="209"/>
        <v>-80.46441765584791</v>
      </c>
      <c r="K853" s="8">
        <f t="shared" si="198"/>
        <v>191.78786369195259</v>
      </c>
      <c r="L853" s="8">
        <f t="shared" si="199"/>
        <v>-8.0550902750620086</v>
      </c>
      <c r="M853" s="8">
        <f t="shared" si="196"/>
        <v>130.35235660247358</v>
      </c>
      <c r="N853" s="8">
        <f t="shared" si="200"/>
        <v>25</v>
      </c>
      <c r="O853" s="8">
        <f t="shared" si="201"/>
        <v>26.544868555699967</v>
      </c>
    </row>
    <row r="854" spans="1:15" x14ac:dyDescent="0.3">
      <c r="A854" s="5">
        <f t="shared" si="202"/>
        <v>8.4599999999998641</v>
      </c>
      <c r="B854" s="5">
        <f t="shared" si="197"/>
        <v>138.35772409805989</v>
      </c>
      <c r="C854" s="6">
        <f t="shared" si="195"/>
        <v>5336.6550723537384</v>
      </c>
      <c r="D854" s="6">
        <f t="shared" si="203"/>
        <v>28479887.361278884</v>
      </c>
      <c r="E854" s="7">
        <f t="shared" si="204"/>
        <v>6248571.4285714282</v>
      </c>
      <c r="F854" s="7">
        <f t="shared" si="205"/>
        <v>124.97142857142855</v>
      </c>
      <c r="G854" s="7">
        <f t="shared" si="206"/>
        <v>22231315.932707455</v>
      </c>
      <c r="H854" s="6">
        <f t="shared" si="207"/>
        <v>4715.0096429071546</v>
      </c>
      <c r="I854" s="7">
        <f t="shared" si="208"/>
        <v>-4.9743004185254778</v>
      </c>
      <c r="J854" s="7">
        <f t="shared" si="209"/>
        <v>-80.431702111141135</v>
      </c>
      <c r="K854" s="8">
        <f t="shared" si="198"/>
        <v>191.8658732859827</v>
      </c>
      <c r="L854" s="8">
        <f t="shared" si="199"/>
        <v>-8.0583666780112733</v>
      </c>
      <c r="M854" s="8">
        <f t="shared" si="196"/>
        <v>130.29935742004861</v>
      </c>
      <c r="N854" s="8">
        <f t="shared" si="200"/>
        <v>25.000000000000014</v>
      </c>
      <c r="O854" s="8">
        <f t="shared" si="201"/>
        <v>26.546125559935312</v>
      </c>
    </row>
    <row r="855" spans="1:15" x14ac:dyDescent="0.3">
      <c r="A855" s="5">
        <f t="shared" si="202"/>
        <v>8.4699999999998639</v>
      </c>
      <c r="B855" s="5">
        <f t="shared" si="197"/>
        <v>138.30798109387464</v>
      </c>
      <c r="C855" s="6">
        <f t="shared" si="195"/>
        <v>5334.7364136208789</v>
      </c>
      <c r="D855" s="6">
        <f t="shared" si="203"/>
        <v>28459412.602812558</v>
      </c>
      <c r="E855" s="7">
        <f t="shared" si="204"/>
        <v>6248571.4285714282</v>
      </c>
      <c r="F855" s="7">
        <f t="shared" si="205"/>
        <v>124.97142857142855</v>
      </c>
      <c r="G855" s="7">
        <f t="shared" si="206"/>
        <v>22210841.174241129</v>
      </c>
      <c r="H855" s="6">
        <f t="shared" si="207"/>
        <v>4712.8379108814179</v>
      </c>
      <c r="I855" s="7">
        <f t="shared" si="208"/>
        <v>-4.9763254677368867</v>
      </c>
      <c r="J855" s="7">
        <f t="shared" si="209"/>
        <v>-80.39897150379069</v>
      </c>
      <c r="K855" s="8">
        <f t="shared" si="198"/>
        <v>191.94398232699419</v>
      </c>
      <c r="L855" s="8">
        <f t="shared" si="199"/>
        <v>-8.061647257733755</v>
      </c>
      <c r="M855" s="8">
        <f t="shared" si="196"/>
        <v>130.24633383614088</v>
      </c>
      <c r="N855" s="8">
        <f t="shared" si="200"/>
        <v>25.000000000000011</v>
      </c>
      <c r="O855" s="8">
        <f t="shared" si="201"/>
        <v>26.547384678764921</v>
      </c>
    </row>
    <row r="856" spans="1:15" x14ac:dyDescent="0.3">
      <c r="A856" s="5">
        <f t="shared" si="202"/>
        <v>8.4799999999998636</v>
      </c>
      <c r="B856" s="5">
        <f t="shared" si="197"/>
        <v>138.25821783919727</v>
      </c>
      <c r="C856" s="6">
        <f t="shared" si="195"/>
        <v>5332.8169737976086</v>
      </c>
      <c r="D856" s="6">
        <f t="shared" si="203"/>
        <v>28438936.876023885</v>
      </c>
      <c r="E856" s="7">
        <f t="shared" si="204"/>
        <v>6248571.4285714282</v>
      </c>
      <c r="F856" s="7">
        <f t="shared" si="205"/>
        <v>124.97142857142855</v>
      </c>
      <c r="G856" s="7">
        <f t="shared" si="206"/>
        <v>22190365.447452456</v>
      </c>
      <c r="H856" s="6">
        <f t="shared" si="207"/>
        <v>4710.6650748543416</v>
      </c>
      <c r="I856" s="7">
        <f t="shared" si="208"/>
        <v>-4.9783531008263262</v>
      </c>
      <c r="J856" s="7">
        <f t="shared" si="209"/>
        <v>-80.366225812258406</v>
      </c>
      <c r="K856" s="8">
        <f t="shared" si="198"/>
        <v>192.02219103187258</v>
      </c>
      <c r="L856" s="8">
        <f t="shared" si="199"/>
        <v>-8.0649320233386472</v>
      </c>
      <c r="M856" s="8">
        <f t="shared" si="196"/>
        <v>130.19328581585862</v>
      </c>
      <c r="N856" s="8">
        <f t="shared" si="200"/>
        <v>24.999999999999989</v>
      </c>
      <c r="O856" s="8">
        <f t="shared" si="201"/>
        <v>26.548645917644592</v>
      </c>
    </row>
    <row r="857" spans="1:15" x14ac:dyDescent="0.3">
      <c r="A857" s="5">
        <f t="shared" si="202"/>
        <v>8.4899999999998634</v>
      </c>
      <c r="B857" s="5">
        <f t="shared" si="197"/>
        <v>138.208434308189</v>
      </c>
      <c r="C857" s="6">
        <f t="shared" si="195"/>
        <v>5330.8967518872896</v>
      </c>
      <c r="D857" s="6">
        <f t="shared" si="203"/>
        <v>28418460.179282453</v>
      </c>
      <c r="E857" s="7">
        <f t="shared" si="204"/>
        <v>6248571.4285714282</v>
      </c>
      <c r="F857" s="7">
        <f t="shared" si="205"/>
        <v>124.97142857142855</v>
      </c>
      <c r="G857" s="7">
        <f t="shared" si="206"/>
        <v>22169888.750711024</v>
      </c>
      <c r="H857" s="6">
        <f t="shared" si="207"/>
        <v>4708.491133124392</v>
      </c>
      <c r="I857" s="7">
        <f t="shared" si="208"/>
        <v>-4.9803833234342525</v>
      </c>
      <c r="J857" s="7">
        <f t="shared" si="209"/>
        <v>-80.333465014954029</v>
      </c>
      <c r="K857" s="8">
        <f t="shared" si="198"/>
        <v>192.1004996181783</v>
      </c>
      <c r="L857" s="8">
        <f t="shared" si="199"/>
        <v>-8.0682209839634886</v>
      </c>
      <c r="M857" s="8">
        <f t="shared" si="196"/>
        <v>130.1402133242255</v>
      </c>
      <c r="N857" s="8">
        <f t="shared" si="200"/>
        <v>25.000000000000021</v>
      </c>
      <c r="O857" s="8">
        <f t="shared" si="201"/>
        <v>26.549909282049281</v>
      </c>
    </row>
    <row r="858" spans="1:15" x14ac:dyDescent="0.3">
      <c r="A858" s="5">
        <f t="shared" si="202"/>
        <v>8.4999999999998632</v>
      </c>
      <c r="B858" s="5">
        <f t="shared" si="197"/>
        <v>138.15863047495466</v>
      </c>
      <c r="C858" s="6">
        <f t="shared" si="195"/>
        <v>5328.9757468911084</v>
      </c>
      <c r="D858" s="6">
        <f t="shared" si="203"/>
        <v>28397982.510953646</v>
      </c>
      <c r="E858" s="7">
        <f t="shared" si="204"/>
        <v>6248571.4285714282</v>
      </c>
      <c r="F858" s="7">
        <f t="shared" si="205"/>
        <v>124.97142857142855</v>
      </c>
      <c r="G858" s="7">
        <f t="shared" si="206"/>
        <v>22149411.082382217</v>
      </c>
      <c r="H858" s="6">
        <f t="shared" si="207"/>
        <v>4706.316083985671</v>
      </c>
      <c r="I858" s="7">
        <f t="shared" si="208"/>
        <v>-4.9824161412186365</v>
      </c>
      <c r="J858" s="7">
        <f t="shared" si="209"/>
        <v>-80.300689090234883</v>
      </c>
      <c r="K858" s="8">
        <f t="shared" si="198"/>
        <v>192.1789083041474</v>
      </c>
      <c r="L858" s="8">
        <f t="shared" si="199"/>
        <v>-8.0715141487741899</v>
      </c>
      <c r="M858" s="8">
        <f t="shared" si="196"/>
        <v>130.08711632618048</v>
      </c>
      <c r="N858" s="8">
        <f t="shared" si="200"/>
        <v>24.999999999999993</v>
      </c>
      <c r="O858" s="8">
        <f t="shared" si="201"/>
        <v>26.551174777472898</v>
      </c>
    </row>
    <row r="859" spans="1:15" x14ac:dyDescent="0.3">
      <c r="A859" s="5">
        <f t="shared" si="202"/>
        <v>8.509999999999863</v>
      </c>
      <c r="B859" s="5">
        <f t="shared" si="197"/>
        <v>138.10880631354249</v>
      </c>
      <c r="C859" s="6">
        <f t="shared" si="195"/>
        <v>5327.053957808067</v>
      </c>
      <c r="D859" s="6">
        <f t="shared" si="203"/>
        <v>28377503.86939859</v>
      </c>
      <c r="E859" s="7">
        <f t="shared" si="204"/>
        <v>6248571.4285714282</v>
      </c>
      <c r="F859" s="7">
        <f t="shared" si="205"/>
        <v>124.97142857142855</v>
      </c>
      <c r="G859" s="7">
        <f t="shared" si="206"/>
        <v>22128932.440827161</v>
      </c>
      <c r="H859" s="6">
        <f t="shared" si="207"/>
        <v>4704.1399257278863</v>
      </c>
      <c r="I859" s="7">
        <f t="shared" si="208"/>
        <v>-4.9844515598551284</v>
      </c>
      <c r="J859" s="7">
        <f t="shared" si="209"/>
        <v>-80.267898016405681</v>
      </c>
      <c r="K859" s="8">
        <f t="shared" si="198"/>
        <v>192.2574173086978</v>
      </c>
      <c r="L859" s="8">
        <f t="shared" si="199"/>
        <v>-8.0748115269653074</v>
      </c>
      <c r="M859" s="8">
        <f t="shared" si="196"/>
        <v>130.03399478657718</v>
      </c>
      <c r="N859" s="8">
        <f t="shared" si="200"/>
        <v>25.000000000000004</v>
      </c>
      <c r="O859" s="8">
        <f t="shared" si="201"/>
        <v>26.552442409428856</v>
      </c>
    </row>
    <row r="860" spans="1:15" x14ac:dyDescent="0.3">
      <c r="A860" s="5">
        <f t="shared" si="202"/>
        <v>8.5199999999998628</v>
      </c>
      <c r="B860" s="5">
        <f t="shared" si="197"/>
        <v>138.05896179794394</v>
      </c>
      <c r="C860" s="6">
        <f t="shared" si="195"/>
        <v>5325.13138363498</v>
      </c>
      <c r="D860" s="6">
        <f t="shared" si="203"/>
        <v>28357024.252974197</v>
      </c>
      <c r="E860" s="7">
        <f t="shared" si="204"/>
        <v>6248571.4285714282</v>
      </c>
      <c r="F860" s="7">
        <f t="shared" si="205"/>
        <v>124.97142857142855</v>
      </c>
      <c r="G860" s="7">
        <f t="shared" si="206"/>
        <v>22108452.824402768</v>
      </c>
      <c r="H860" s="6">
        <f t="shared" si="207"/>
        <v>4701.9626566363504</v>
      </c>
      <c r="I860" s="7">
        <f t="shared" si="208"/>
        <v>-4.9864895850370461</v>
      </c>
      <c r="J860" s="7">
        <f t="shared" si="209"/>
        <v>-80.235091771718487</v>
      </c>
      <c r="K860" s="8">
        <f t="shared" si="198"/>
        <v>192.3360268514289</v>
      </c>
      <c r="L860" s="8">
        <f t="shared" si="199"/>
        <v>-8.0781131277600124</v>
      </c>
      <c r="M860" s="8">
        <f t="shared" si="196"/>
        <v>129.98084867018392</v>
      </c>
      <c r="N860" s="8">
        <f t="shared" si="200"/>
        <v>25.000000000000011</v>
      </c>
      <c r="O860" s="8">
        <f t="shared" si="201"/>
        <v>26.55371218344974</v>
      </c>
    </row>
    <row r="861" spans="1:15" x14ac:dyDescent="0.3">
      <c r="A861" s="5">
        <f t="shared" si="202"/>
        <v>8.5299999999998626</v>
      </c>
      <c r="B861" s="5">
        <f t="shared" si="197"/>
        <v>138.00909690209357</v>
      </c>
      <c r="C861" s="6">
        <f t="shared" si="195"/>
        <v>5323.2080233664665</v>
      </c>
      <c r="D861" s="6">
        <f t="shared" si="203"/>
        <v>28336543.660033122</v>
      </c>
      <c r="E861" s="7">
        <f t="shared" si="204"/>
        <v>6248571.4285714282</v>
      </c>
      <c r="F861" s="7">
        <f t="shared" si="205"/>
        <v>124.97142857142855</v>
      </c>
      <c r="G861" s="7">
        <f t="shared" si="206"/>
        <v>22087972.231461693</v>
      </c>
      <c r="H861" s="6">
        <f t="shared" si="207"/>
        <v>4699.7842749919591</v>
      </c>
      <c r="I861" s="7">
        <f t="shared" si="208"/>
        <v>-4.9885302224754824</v>
      </c>
      <c r="J861" s="7">
        <f t="shared" si="209"/>
        <v>-80.202270334372415</v>
      </c>
      <c r="K861" s="8">
        <f t="shared" si="198"/>
        <v>192.41473715262575</v>
      </c>
      <c r="L861" s="8">
        <f t="shared" si="199"/>
        <v>-8.0814189604102804</v>
      </c>
      <c r="M861" s="8">
        <f t="shared" si="196"/>
        <v>129.9276779416833</v>
      </c>
      <c r="N861" s="8">
        <f t="shared" si="200"/>
        <v>25.000000000000004</v>
      </c>
      <c r="O861" s="8">
        <f t="shared" si="201"/>
        <v>26.554984105087591</v>
      </c>
    </row>
    <row r="862" spans="1:15" x14ac:dyDescent="0.3">
      <c r="A862" s="5">
        <f t="shared" si="202"/>
        <v>8.5399999999998624</v>
      </c>
      <c r="B862" s="5">
        <f t="shared" si="197"/>
        <v>137.95921159986881</v>
      </c>
      <c r="C862" s="6">
        <f t="shared" si="195"/>
        <v>5321.2838759949391</v>
      </c>
      <c r="D862" s="6">
        <f t="shared" si="203"/>
        <v>28316062.088923723</v>
      </c>
      <c r="E862" s="7">
        <f t="shared" si="204"/>
        <v>6248571.4285714282</v>
      </c>
      <c r="F862" s="7">
        <f t="shared" si="205"/>
        <v>124.97142857142855</v>
      </c>
      <c r="G862" s="7">
        <f t="shared" si="206"/>
        <v>22067490.660352293</v>
      </c>
      <c r="H862" s="6">
        <f t="shared" si="207"/>
        <v>4697.60477907117</v>
      </c>
      <c r="I862" s="7">
        <f t="shared" si="208"/>
        <v>-4.990573477899388</v>
      </c>
      <c r="J862" s="7">
        <f t="shared" si="209"/>
        <v>-80.169433682513457</v>
      </c>
      <c r="K862" s="8">
        <f t="shared" si="198"/>
        <v>192.49354843326211</v>
      </c>
      <c r="L862" s="8">
        <f t="shared" si="199"/>
        <v>-8.0847290341970073</v>
      </c>
      <c r="M862" s="8">
        <f t="shared" si="196"/>
        <v>129.8744825656718</v>
      </c>
      <c r="N862" s="8">
        <f t="shared" si="200"/>
        <v>25</v>
      </c>
      <c r="O862" s="8">
        <f t="shared" si="201"/>
        <v>26.556258179914003</v>
      </c>
    </row>
    <row r="863" spans="1:15" x14ac:dyDescent="0.3">
      <c r="A863" s="5">
        <f t="shared" si="202"/>
        <v>8.5499999999998622</v>
      </c>
      <c r="B863" s="5">
        <f t="shared" si="197"/>
        <v>137.90930586508981</v>
      </c>
      <c r="C863" s="6">
        <f t="shared" si="195"/>
        <v>5319.3589405106068</v>
      </c>
      <c r="D863" s="6">
        <f t="shared" si="203"/>
        <v>28295579.537990127</v>
      </c>
      <c r="E863" s="7">
        <f t="shared" si="204"/>
        <v>6248571.4285714282</v>
      </c>
      <c r="F863" s="7">
        <f t="shared" si="205"/>
        <v>124.97142857142855</v>
      </c>
      <c r="G863" s="7">
        <f t="shared" si="206"/>
        <v>22047008.109418698</v>
      </c>
      <c r="H863" s="6">
        <f t="shared" si="207"/>
        <v>4695.4241671459986</v>
      </c>
      <c r="I863" s="7">
        <f t="shared" si="208"/>
        <v>-4.9926193570556219</v>
      </c>
      <c r="J863" s="7">
        <f t="shared" si="209"/>
        <v>-80.136581794234402</v>
      </c>
      <c r="K863" s="8">
        <f t="shared" si="198"/>
        <v>192.57246091500255</v>
      </c>
      <c r="L863" s="8">
        <f t="shared" si="199"/>
        <v>-8.0880433584301059</v>
      </c>
      <c r="M863" s="8">
        <f t="shared" si="196"/>
        <v>129.82126250665971</v>
      </c>
      <c r="N863" s="8">
        <f t="shared" si="200"/>
        <v>25.000000000000011</v>
      </c>
      <c r="O863" s="8">
        <f t="shared" si="201"/>
        <v>26.557534413520138</v>
      </c>
    </row>
    <row r="864" spans="1:15" x14ac:dyDescent="0.3">
      <c r="A864" s="5">
        <f t="shared" si="202"/>
        <v>8.5599999999998619</v>
      </c>
      <c r="B864" s="5">
        <f t="shared" si="197"/>
        <v>137.85937967151924</v>
      </c>
      <c r="C864" s="6">
        <f t="shared" si="195"/>
        <v>5317.4332159014557</v>
      </c>
      <c r="D864" s="6">
        <f t="shared" si="203"/>
        <v>28275096.005572096</v>
      </c>
      <c r="E864" s="7">
        <f t="shared" si="204"/>
        <v>6248571.4285714282</v>
      </c>
      <c r="F864" s="7">
        <f t="shared" si="205"/>
        <v>124.97142857142855</v>
      </c>
      <c r="G864" s="7">
        <f t="shared" si="206"/>
        <v>22026524.577000666</v>
      </c>
      <c r="H864" s="6">
        <f t="shared" si="207"/>
        <v>4693.2424374839902</v>
      </c>
      <c r="I864" s="7">
        <f t="shared" si="208"/>
        <v>-4.9946678657090295</v>
      </c>
      <c r="J864" s="7">
        <f t="shared" si="209"/>
        <v>-80.103714647574463</v>
      </c>
      <c r="K864" s="8">
        <f t="shared" si="198"/>
        <v>192.65147482020541</v>
      </c>
      <c r="L864" s="8">
        <f t="shared" si="199"/>
        <v>-8.0913619424486267</v>
      </c>
      <c r="M864" s="8">
        <f t="shared" si="196"/>
        <v>129.76801772907061</v>
      </c>
      <c r="N864" s="8">
        <f t="shared" si="200"/>
        <v>25.000000000000014</v>
      </c>
      <c r="O864" s="8">
        <f t="shared" si="201"/>
        <v>26.558812811516827</v>
      </c>
    </row>
    <row r="865" spans="1:15" x14ac:dyDescent="0.3">
      <c r="A865" s="5">
        <f t="shared" si="202"/>
        <v>8.5699999999998617</v>
      </c>
      <c r="B865" s="5">
        <f t="shared" si="197"/>
        <v>137.80943299286216</v>
      </c>
      <c r="C865" s="6">
        <f t="shared" si="195"/>
        <v>5315.5067011532547</v>
      </c>
      <c r="D865" s="6">
        <f t="shared" si="203"/>
        <v>28254611.490005154</v>
      </c>
      <c r="E865" s="7">
        <f t="shared" si="204"/>
        <v>6248571.4285714282</v>
      </c>
      <c r="F865" s="7">
        <f t="shared" si="205"/>
        <v>124.97142857142855</v>
      </c>
      <c r="G865" s="7">
        <f t="shared" si="206"/>
        <v>22006040.061433725</v>
      </c>
      <c r="H865" s="6">
        <f t="shared" si="207"/>
        <v>4691.0595883482147</v>
      </c>
      <c r="I865" s="7">
        <f t="shared" si="208"/>
        <v>-4.9967190096425247</v>
      </c>
      <c r="J865" s="7">
        <f t="shared" si="209"/>
        <v>-80.070832220519307</v>
      </c>
      <c r="K865" s="8">
        <f t="shared" si="198"/>
        <v>192.73059037192596</v>
      </c>
      <c r="L865" s="8">
        <f t="shared" si="199"/>
        <v>-8.0946847956208892</v>
      </c>
      <c r="M865" s="8">
        <f t="shared" si="196"/>
        <v>129.71474819724128</v>
      </c>
      <c r="N865" s="8">
        <f t="shared" si="200"/>
        <v>25.000000000000028</v>
      </c>
      <c r="O865" s="8">
        <f t="shared" si="201"/>
        <v>26.560093379534695</v>
      </c>
    </row>
    <row r="866" spans="1:15" x14ac:dyDescent="0.3">
      <c r="A866" s="5">
        <f t="shared" si="202"/>
        <v>8.5799999999998615</v>
      </c>
      <c r="B866" s="5">
        <f t="shared" si="197"/>
        <v>137.75946580276573</v>
      </c>
      <c r="C866" s="6">
        <f t="shared" si="195"/>
        <v>5313.5793952495351</v>
      </c>
      <c r="D866" s="6">
        <f t="shared" si="203"/>
        <v>28234125.989620414</v>
      </c>
      <c r="E866" s="7">
        <f t="shared" si="204"/>
        <v>6248571.4285714282</v>
      </c>
      <c r="F866" s="7">
        <f t="shared" si="205"/>
        <v>124.97142857142855</v>
      </c>
      <c r="G866" s="7">
        <f t="shared" si="206"/>
        <v>21985554.561048985</v>
      </c>
      <c r="H866" s="6">
        <f t="shared" si="207"/>
        <v>4688.8756179972388</v>
      </c>
      <c r="I866" s="7">
        <f t="shared" si="208"/>
        <v>-4.9987727946571496</v>
      </c>
      <c r="J866" s="7">
        <f t="shared" si="209"/>
        <v>-80.037934491000726</v>
      </c>
      <c r="K866" s="8">
        <f t="shared" si="198"/>
        <v>192.80980779391862</v>
      </c>
      <c r="L866" s="8">
        <f t="shared" si="199"/>
        <v>-8.0980119273445812</v>
      </c>
      <c r="M866" s="8">
        <f t="shared" si="196"/>
        <v>129.66145387542116</v>
      </c>
      <c r="N866" s="8">
        <f t="shared" si="200"/>
        <v>25</v>
      </c>
      <c r="O866" s="8">
        <f t="shared" si="201"/>
        <v>26.561376123224168</v>
      </c>
    </row>
    <row r="867" spans="1:15" x14ac:dyDescent="0.3">
      <c r="A867" s="5">
        <f t="shared" si="202"/>
        <v>8.5899999999998613</v>
      </c>
      <c r="B867" s="5">
        <f t="shared" si="197"/>
        <v>137.70947807481917</v>
      </c>
      <c r="C867" s="6">
        <f t="shared" si="195"/>
        <v>5311.6512971715965</v>
      </c>
      <c r="D867" s="6">
        <f t="shared" si="203"/>
        <v>28213639.502744704</v>
      </c>
      <c r="E867" s="7">
        <f t="shared" si="204"/>
        <v>6248571.4285714282</v>
      </c>
      <c r="F867" s="7">
        <f t="shared" si="205"/>
        <v>124.97142857142855</v>
      </c>
      <c r="G867" s="7">
        <f t="shared" si="206"/>
        <v>21965068.074173275</v>
      </c>
      <c r="H867" s="6">
        <f t="shared" si="207"/>
        <v>4686.6905246851193</v>
      </c>
      <c r="I867" s="7">
        <f t="shared" si="208"/>
        <v>-5.0008292265721783</v>
      </c>
      <c r="J867" s="7">
        <f t="shared" si="209"/>
        <v>-80.00502143689647</v>
      </c>
      <c r="K867" s="8">
        <f t="shared" si="198"/>
        <v>192.88912731064116</v>
      </c>
      <c r="L867" s="8">
        <f t="shared" si="199"/>
        <v>-8.101343347046928</v>
      </c>
      <c r="M867" s="8">
        <f t="shared" si="196"/>
        <v>129.60813472777224</v>
      </c>
      <c r="N867" s="8">
        <f t="shared" si="200"/>
        <v>24.999999999999989</v>
      </c>
      <c r="O867" s="8">
        <f t="shared" si="201"/>
        <v>26.562661048255745</v>
      </c>
    </row>
    <row r="868" spans="1:15" x14ac:dyDescent="0.3">
      <c r="A868" s="5">
        <f t="shared" si="202"/>
        <v>8.5999999999998611</v>
      </c>
      <c r="B868" s="5">
        <f t="shared" si="197"/>
        <v>137.65946978255346</v>
      </c>
      <c r="C868" s="6">
        <f t="shared" si="195"/>
        <v>5309.7224058984903</v>
      </c>
      <c r="D868" s="6">
        <f t="shared" si="203"/>
        <v>28193152.02770045</v>
      </c>
      <c r="E868" s="7">
        <f t="shared" si="204"/>
        <v>6248571.4285714282</v>
      </c>
      <c r="F868" s="7">
        <f t="shared" si="205"/>
        <v>124.97142857142855</v>
      </c>
      <c r="G868" s="7">
        <f t="shared" si="206"/>
        <v>21944580.599129021</v>
      </c>
      <c r="H868" s="6">
        <f t="shared" si="207"/>
        <v>4684.5043066613807</v>
      </c>
      <c r="I868" s="7">
        <f t="shared" si="208"/>
        <v>-5.0028883112251572</v>
      </c>
      <c r="J868" s="7">
        <f t="shared" si="209"/>
        <v>-79.972093036030074</v>
      </c>
      <c r="K868" s="8">
        <f t="shared" si="198"/>
        <v>192.96854914725606</v>
      </c>
      <c r="L868" s="8">
        <f t="shared" si="199"/>
        <v>-8.1046790641847544</v>
      </c>
      <c r="M868" s="8">
        <f t="shared" si="196"/>
        <v>129.55479071836871</v>
      </c>
      <c r="N868" s="8">
        <f t="shared" si="200"/>
        <v>25.000000000000004</v>
      </c>
      <c r="O868" s="8">
        <f t="shared" si="201"/>
        <v>26.563948160319878</v>
      </c>
    </row>
    <row r="869" spans="1:15" x14ac:dyDescent="0.3">
      <c r="A869" s="5">
        <f t="shared" si="202"/>
        <v>8.6099999999998609</v>
      </c>
      <c r="B869" s="5">
        <f t="shared" si="197"/>
        <v>137.60944089944121</v>
      </c>
      <c r="C869" s="6">
        <f t="shared" si="195"/>
        <v>5307.7927204070174</v>
      </c>
      <c r="D869" s="6">
        <f t="shared" si="203"/>
        <v>28172663.562805727</v>
      </c>
      <c r="E869" s="7">
        <f t="shared" si="204"/>
        <v>6248571.4285714282</v>
      </c>
      <c r="F869" s="7">
        <f t="shared" si="205"/>
        <v>124.97142857142855</v>
      </c>
      <c r="G869" s="7">
        <f t="shared" si="206"/>
        <v>21924092.134234298</v>
      </c>
      <c r="H869" s="6">
        <f t="shared" si="207"/>
        <v>4682.316962171004</v>
      </c>
      <c r="I869" s="7">
        <f t="shared" si="208"/>
        <v>-5.0049500544719878</v>
      </c>
      <c r="J869" s="7">
        <f t="shared" si="209"/>
        <v>-79.939149266170745</v>
      </c>
      <c r="K869" s="8">
        <f t="shared" si="198"/>
        <v>193.0480735296338</v>
      </c>
      <c r="L869" s="8">
        <f t="shared" si="199"/>
        <v>-8.1080190882446193</v>
      </c>
      <c r="M869" s="8">
        <f t="shared" si="196"/>
        <v>129.50142181119659</v>
      </c>
      <c r="N869" s="8">
        <f t="shared" si="200"/>
        <v>25.000000000000004</v>
      </c>
      <c r="O869" s="8">
        <f t="shared" si="201"/>
        <v>26.565237465127122</v>
      </c>
    </row>
    <row r="870" spans="1:15" x14ac:dyDescent="0.3">
      <c r="A870" s="5">
        <f t="shared" si="202"/>
        <v>8.6199999999998607</v>
      </c>
      <c r="B870" s="5">
        <f t="shared" si="197"/>
        <v>137.55939139889648</v>
      </c>
      <c r="C870" s="6">
        <f t="shared" si="195"/>
        <v>5305.862239671721</v>
      </c>
      <c r="D870" s="6">
        <f t="shared" si="203"/>
        <v>28152174.106374212</v>
      </c>
      <c r="E870" s="7">
        <f t="shared" si="204"/>
        <v>6248571.4285714282</v>
      </c>
      <c r="F870" s="7">
        <f t="shared" si="205"/>
        <v>124.97142857142855</v>
      </c>
      <c r="G870" s="7">
        <f t="shared" si="206"/>
        <v>21903602.677802783</v>
      </c>
      <c r="H870" s="6">
        <f t="shared" si="207"/>
        <v>4680.128489454406</v>
      </c>
      <c r="I870" s="7">
        <f t="shared" si="208"/>
        <v>-5.007014462187021</v>
      </c>
      <c r="J870" s="7">
        <f t="shared" si="209"/>
        <v>-79.906190105033033</v>
      </c>
      <c r="K870" s="8">
        <f t="shared" si="198"/>
        <v>193.12770068435651</v>
      </c>
      <c r="L870" s="8">
        <f t="shared" si="199"/>
        <v>-8.1113634287429726</v>
      </c>
      <c r="M870" s="8">
        <f t="shared" si="196"/>
        <v>129.4480279701535</v>
      </c>
      <c r="N870" s="8">
        <f t="shared" si="200"/>
        <v>25.000000000000014</v>
      </c>
      <c r="O870" s="8">
        <f t="shared" si="201"/>
        <v>26.566528968408324</v>
      </c>
    </row>
    <row r="871" spans="1:15" x14ac:dyDescent="0.3">
      <c r="A871" s="5">
        <f t="shared" si="202"/>
        <v>8.6299999999998604</v>
      </c>
      <c r="B871" s="5">
        <f t="shared" si="197"/>
        <v>137.5093212542746</v>
      </c>
      <c r="C871" s="6">
        <f t="shared" si="195"/>
        <v>5303.9309626648774</v>
      </c>
      <c r="D871" s="6">
        <f t="shared" si="203"/>
        <v>28131683.656715173</v>
      </c>
      <c r="E871" s="7">
        <f t="shared" si="204"/>
        <v>6248571.4285714282</v>
      </c>
      <c r="F871" s="7">
        <f t="shared" si="205"/>
        <v>124.97142857142855</v>
      </c>
      <c r="G871" s="7">
        <f t="shared" si="206"/>
        <v>21883112.228143744</v>
      </c>
      <c r="H871" s="6">
        <f t="shared" si="207"/>
        <v>4677.9388867474254</v>
      </c>
      <c r="I871" s="7">
        <f t="shared" si="208"/>
        <v>-5.0090815402631055</v>
      </c>
      <c r="J871" s="7">
        <f t="shared" si="209"/>
        <v>-79.873215530276781</v>
      </c>
      <c r="K871" s="8">
        <f t="shared" si="198"/>
        <v>193.20743083871977</v>
      </c>
      <c r="L871" s="8">
        <f t="shared" si="199"/>
        <v>-8.1147120952262295</v>
      </c>
      <c r="M871" s="8">
        <f t="shared" si="196"/>
        <v>129.39460915904837</v>
      </c>
      <c r="N871" s="8">
        <f t="shared" si="200"/>
        <v>25.000000000000014</v>
      </c>
      <c r="O871" s="8">
        <f t="shared" si="201"/>
        <v>26.567822675914559</v>
      </c>
    </row>
    <row r="872" spans="1:15" x14ac:dyDescent="0.3">
      <c r="A872" s="5">
        <f t="shared" si="202"/>
        <v>8.6399999999998602</v>
      </c>
      <c r="B872" s="5">
        <f t="shared" si="197"/>
        <v>137.45923043887197</v>
      </c>
      <c r="C872" s="6">
        <f t="shared" si="195"/>
        <v>5301.9988883564902</v>
      </c>
      <c r="D872" s="6">
        <f t="shared" si="203"/>
        <v>28111192.212133456</v>
      </c>
      <c r="E872" s="7">
        <f t="shared" si="204"/>
        <v>6248571.4285714282</v>
      </c>
      <c r="F872" s="7">
        <f t="shared" si="205"/>
        <v>124.97142857142855</v>
      </c>
      <c r="G872" s="7">
        <f t="shared" si="206"/>
        <v>21862620.783562027</v>
      </c>
      <c r="H872" s="6">
        <f t="shared" si="207"/>
        <v>4675.7481522813041</v>
      </c>
      <c r="I872" s="7">
        <f t="shared" si="208"/>
        <v>-5.0111512946116861</v>
      </c>
      <c r="J872" s="7">
        <f t="shared" si="209"/>
        <v>-79.840225519506831</v>
      </c>
      <c r="K872" s="8">
        <f t="shared" si="198"/>
        <v>193.28726422073646</v>
      </c>
      <c r="L872" s="8">
        <f t="shared" si="199"/>
        <v>-8.1180650972709305</v>
      </c>
      <c r="M872" s="8">
        <f t="shared" si="196"/>
        <v>129.34116534160103</v>
      </c>
      <c r="N872" s="8">
        <f t="shared" si="200"/>
        <v>25</v>
      </c>
      <c r="O872" s="8">
        <f t="shared" si="201"/>
        <v>26.569118593417343</v>
      </c>
    </row>
    <row r="873" spans="1:15" x14ac:dyDescent="0.3">
      <c r="A873" s="5">
        <f t="shared" si="202"/>
        <v>8.64999999999986</v>
      </c>
      <c r="B873" s="5">
        <f t="shared" si="197"/>
        <v>137.40911892592587</v>
      </c>
      <c r="C873" s="6">
        <f t="shared" si="195"/>
        <v>5300.0660157142829</v>
      </c>
      <c r="D873" s="6">
        <f t="shared" si="203"/>
        <v>28090699.770929474</v>
      </c>
      <c r="E873" s="7">
        <f t="shared" si="204"/>
        <v>6248571.4285714282</v>
      </c>
      <c r="F873" s="7">
        <f t="shared" si="205"/>
        <v>124.97142857142855</v>
      </c>
      <c r="G873" s="7">
        <f t="shared" si="206"/>
        <v>21842128.342358045</v>
      </c>
      <c r="H873" s="6">
        <f t="shared" si="207"/>
        <v>4673.5562842826712</v>
      </c>
      <c r="I873" s="7">
        <f t="shared" si="208"/>
        <v>-5.0132237311628751</v>
      </c>
      <c r="J873" s="7">
        <f t="shared" si="209"/>
        <v>-79.807220050272861</v>
      </c>
      <c r="K873" s="8">
        <f t="shared" si="198"/>
        <v>193.36720105913946</v>
      </c>
      <c r="L873" s="8">
        <f t="shared" si="199"/>
        <v>-8.1214224444838568</v>
      </c>
      <c r="M873" s="8">
        <f t="shared" si="196"/>
        <v>129.287696481442</v>
      </c>
      <c r="N873" s="8">
        <f t="shared" si="200"/>
        <v>24.999999999999993</v>
      </c>
      <c r="O873" s="8">
        <f t="shared" si="201"/>
        <v>26.570416726708714</v>
      </c>
    </row>
    <row r="874" spans="1:15" x14ac:dyDescent="0.3">
      <c r="A874" s="5">
        <f t="shared" si="202"/>
        <v>8.6599999999998598</v>
      </c>
      <c r="B874" s="5">
        <f t="shared" si="197"/>
        <v>137.35898668861424</v>
      </c>
      <c r="C874" s="6">
        <f t="shared" si="195"/>
        <v>5298.1323437036917</v>
      </c>
      <c r="D874" s="6">
        <f t="shared" si="203"/>
        <v>28070206.331399173</v>
      </c>
      <c r="E874" s="7">
        <f t="shared" si="204"/>
        <v>6248571.4285714282</v>
      </c>
      <c r="F874" s="7">
        <f t="shared" si="205"/>
        <v>124.97142857142855</v>
      </c>
      <c r="G874" s="7">
        <f t="shared" si="206"/>
        <v>21821634.902827743</v>
      </c>
      <c r="H874" s="6">
        <f t="shared" si="207"/>
        <v>4671.3632809735254</v>
      </c>
      <c r="I874" s="7">
        <f t="shared" si="208"/>
        <v>-5.0152988558655291</v>
      </c>
      <c r="J874" s="7">
        <f t="shared" si="209"/>
        <v>-79.774199100069197</v>
      </c>
      <c r="K874" s="8">
        <f t="shared" si="198"/>
        <v>193.44724158338468</v>
      </c>
      <c r="L874" s="8">
        <f t="shared" si="199"/>
        <v>-8.1247841465021562</v>
      </c>
      <c r="M874" s="8">
        <f t="shared" si="196"/>
        <v>129.23420254211209</v>
      </c>
      <c r="N874" s="8">
        <f t="shared" si="200"/>
        <v>25.000000000000021</v>
      </c>
      <c r="O874" s="8">
        <f t="shared" si="201"/>
        <v>26.571717081601282</v>
      </c>
    </row>
    <row r="875" spans="1:15" x14ac:dyDescent="0.3">
      <c r="A875" s="5">
        <f t="shared" si="202"/>
        <v>8.6699999999998596</v>
      </c>
      <c r="B875" s="5">
        <f t="shared" si="197"/>
        <v>137.30883370005557</v>
      </c>
      <c r="C875" s="6">
        <f t="shared" si="195"/>
        <v>5296.1978712878572</v>
      </c>
      <c r="D875" s="6">
        <f t="shared" si="203"/>
        <v>28049711.891834032</v>
      </c>
      <c r="E875" s="7">
        <f t="shared" si="204"/>
        <v>6248571.4285714282</v>
      </c>
      <c r="F875" s="7">
        <f t="shared" si="205"/>
        <v>124.97142857142855</v>
      </c>
      <c r="G875" s="7">
        <f t="shared" si="206"/>
        <v>21801140.463262603</v>
      </c>
      <c r="H875" s="6">
        <f t="shared" si="207"/>
        <v>4669.1691405712218</v>
      </c>
      <c r="I875" s="7">
        <f t="shared" si="208"/>
        <v>-5.0173766746872985</v>
      </c>
      <c r="J875" s="7">
        <f t="shared" si="209"/>
        <v>-79.741162646334658</v>
      </c>
      <c r="K875" s="8">
        <f t="shared" si="198"/>
        <v>193.52738602365292</v>
      </c>
      <c r="L875" s="8">
        <f t="shared" si="199"/>
        <v>-8.1281502129934218</v>
      </c>
      <c r="M875" s="8">
        <f t="shared" si="196"/>
        <v>129.18068348706214</v>
      </c>
      <c r="N875" s="8">
        <f t="shared" si="200"/>
        <v>25</v>
      </c>
      <c r="O875" s="8">
        <f t="shared" si="201"/>
        <v>26.573019663928218</v>
      </c>
    </row>
    <row r="876" spans="1:15" x14ac:dyDescent="0.3">
      <c r="A876" s="5">
        <f t="shared" si="202"/>
        <v>8.6799999999998594</v>
      </c>
      <c r="B876" s="5">
        <f t="shared" si="197"/>
        <v>137.25865993330871</v>
      </c>
      <c r="C876" s="6">
        <f t="shared" si="195"/>
        <v>5294.2625974276216</v>
      </c>
      <c r="D876" s="6">
        <f t="shared" si="203"/>
        <v>28029216.450521067</v>
      </c>
      <c r="E876" s="7">
        <f t="shared" si="204"/>
        <v>6248571.4285714282</v>
      </c>
      <c r="F876" s="7">
        <f t="shared" si="205"/>
        <v>124.97142857142855</v>
      </c>
      <c r="G876" s="7">
        <f t="shared" si="206"/>
        <v>21780645.021949638</v>
      </c>
      <c r="H876" s="6">
        <f t="shared" si="207"/>
        <v>4666.9738612884512</v>
      </c>
      <c r="I876" s="7">
        <f t="shared" si="208"/>
        <v>-5.0194571936147616</v>
      </c>
      <c r="J876" s="7">
        <f t="shared" si="209"/>
        <v>-79.70811066645237</v>
      </c>
      <c r="K876" s="8">
        <f t="shared" si="198"/>
        <v>193.60763461085509</v>
      </c>
      <c r="L876" s="8">
        <f t="shared" si="199"/>
        <v>-8.1315206536559135</v>
      </c>
      <c r="M876" s="8">
        <f t="shared" si="196"/>
        <v>129.12713927965279</v>
      </c>
      <c r="N876" s="8">
        <f t="shared" si="200"/>
        <v>25.000000000000011</v>
      </c>
      <c r="O876" s="8">
        <f t="shared" si="201"/>
        <v>26.574324479543648</v>
      </c>
    </row>
    <row r="877" spans="1:15" x14ac:dyDescent="0.3">
      <c r="A877" s="5">
        <f t="shared" si="202"/>
        <v>8.6899999999998592</v>
      </c>
      <c r="B877" s="5">
        <f t="shared" si="197"/>
        <v>137.20846536137256</v>
      </c>
      <c r="C877" s="6">
        <f t="shared" si="195"/>
        <v>5292.3265210815125</v>
      </c>
      <c r="D877" s="6">
        <f t="shared" si="203"/>
        <v>28008720.005742744</v>
      </c>
      <c r="E877" s="7">
        <f t="shared" si="204"/>
        <v>6248571.4285714282</v>
      </c>
      <c r="F877" s="7">
        <f t="shared" si="205"/>
        <v>124.97142857142855</v>
      </c>
      <c r="G877" s="7">
        <f t="shared" si="206"/>
        <v>21760148.577171315</v>
      </c>
      <c r="H877" s="6">
        <f t="shared" si="207"/>
        <v>4664.7774413332208</v>
      </c>
      <c r="I877" s="7">
        <f t="shared" si="208"/>
        <v>-5.0215404186534549</v>
      </c>
      <c r="J877" s="7">
        <f t="shared" si="209"/>
        <v>-79.67504313774937</v>
      </c>
      <c r="K877" s="8">
        <f t="shared" si="198"/>
        <v>193.68798757663325</v>
      </c>
      <c r="L877" s="8">
        <f t="shared" si="199"/>
        <v>-8.1348954782185956</v>
      </c>
      <c r="M877" s="8">
        <f t="shared" si="196"/>
        <v>129.07356988315397</v>
      </c>
      <c r="N877" s="8">
        <f t="shared" si="200"/>
        <v>25.000000000000028</v>
      </c>
      <c r="O877" s="8">
        <f t="shared" si="201"/>
        <v>26.57563153432244</v>
      </c>
    </row>
    <row r="878" spans="1:15" x14ac:dyDescent="0.3">
      <c r="A878" s="5">
        <f t="shared" si="202"/>
        <v>8.699999999999859</v>
      </c>
      <c r="B878" s="5">
        <f t="shared" si="197"/>
        <v>137.15824995718603</v>
      </c>
      <c r="C878" s="6">
        <f t="shared" si="195"/>
        <v>5290.3896412057466</v>
      </c>
      <c r="D878" s="6">
        <f t="shared" si="203"/>
        <v>27988222.555777069</v>
      </c>
      <c r="E878" s="7">
        <f t="shared" si="204"/>
        <v>6248571.4285714282</v>
      </c>
      <c r="F878" s="7">
        <f t="shared" si="205"/>
        <v>124.97142857142855</v>
      </c>
      <c r="G878" s="7">
        <f t="shared" si="206"/>
        <v>21739651.12720564</v>
      </c>
      <c r="H878" s="6">
        <f t="shared" si="207"/>
        <v>4662.5798789088476</v>
      </c>
      <c r="I878" s="7">
        <f t="shared" si="208"/>
        <v>-5.023626355827953</v>
      </c>
      <c r="J878" s="7">
        <f t="shared" si="209"/>
        <v>-79.641960037496773</v>
      </c>
      <c r="K878" s="8">
        <f t="shared" si="198"/>
        <v>193.7684451533639</v>
      </c>
      <c r="L878" s="8">
        <f t="shared" si="199"/>
        <v>-8.1382746964412824</v>
      </c>
      <c r="M878" s="8">
        <f t="shared" si="196"/>
        <v>129.01997526074476</v>
      </c>
      <c r="N878" s="8">
        <f t="shared" si="200"/>
        <v>24.999999999999989</v>
      </c>
      <c r="O878" s="8">
        <f t="shared" si="201"/>
        <v>26.576940834160379</v>
      </c>
    </row>
    <row r="879" spans="1:15" x14ac:dyDescent="0.3">
      <c r="A879" s="5">
        <f t="shared" si="202"/>
        <v>8.7099999999998587</v>
      </c>
      <c r="B879" s="5">
        <f t="shared" si="197"/>
        <v>137.10801369362775</v>
      </c>
      <c r="C879" s="6">
        <f t="shared" si="195"/>
        <v>5288.4519567542129</v>
      </c>
      <c r="D879" s="6">
        <f t="shared" si="203"/>
        <v>27967724.098897465</v>
      </c>
      <c r="E879" s="7">
        <f t="shared" si="204"/>
        <v>6248571.4285714282</v>
      </c>
      <c r="F879" s="7">
        <f t="shared" si="205"/>
        <v>124.97142857142855</v>
      </c>
      <c r="G879" s="7">
        <f t="shared" si="206"/>
        <v>21719152.670326035</v>
      </c>
      <c r="H879" s="6">
        <f t="shared" si="207"/>
        <v>4660.3811722139244</v>
      </c>
      <c r="I879" s="7">
        <f t="shared" si="208"/>
        <v>-5.0257150111820081</v>
      </c>
      <c r="J879" s="7">
        <f t="shared" si="209"/>
        <v>-79.608861342909208</v>
      </c>
      <c r="K879" s="8">
        <f t="shared" si="198"/>
        <v>193.84900757416315</v>
      </c>
      <c r="L879" s="8">
        <f t="shared" si="199"/>
        <v>-8.1416583181148514</v>
      </c>
      <c r="M879" s="8">
        <f t="shared" si="196"/>
        <v>128.9663553755129</v>
      </c>
      <c r="N879" s="8">
        <f t="shared" si="200"/>
        <v>25.000000000000018</v>
      </c>
      <c r="O879" s="8">
        <f t="shared" si="201"/>
        <v>26.578252384974512</v>
      </c>
    </row>
    <row r="880" spans="1:15" x14ac:dyDescent="0.3">
      <c r="A880" s="5">
        <f t="shared" si="202"/>
        <v>8.7199999999998585</v>
      </c>
      <c r="B880" s="5">
        <f t="shared" si="197"/>
        <v>137.05775654351592</v>
      </c>
      <c r="C880" s="6">
        <f t="shared" si="195"/>
        <v>5286.5134666784706</v>
      </c>
      <c r="D880" s="6">
        <f t="shared" si="203"/>
        <v>27947224.633372821</v>
      </c>
      <c r="E880" s="7">
        <f t="shared" si="204"/>
        <v>6248571.4285714282</v>
      </c>
      <c r="F880" s="7">
        <f t="shared" si="205"/>
        <v>124.97142857142855</v>
      </c>
      <c r="G880" s="7">
        <f t="shared" si="206"/>
        <v>21698653.204801392</v>
      </c>
      <c r="H880" s="6">
        <f t="shared" si="207"/>
        <v>4658.1813194423203</v>
      </c>
      <c r="I880" s="7">
        <f t="shared" si="208"/>
        <v>-5.0278063907785251</v>
      </c>
      <c r="J880" s="7">
        <f t="shared" si="209"/>
        <v>-79.5757470311449</v>
      </c>
      <c r="K880" s="8">
        <f t="shared" si="198"/>
        <v>193.92967507288597</v>
      </c>
      <c r="L880" s="8">
        <f t="shared" si="199"/>
        <v>-8.1450463530612094</v>
      </c>
      <c r="M880" s="8">
        <f t="shared" si="196"/>
        <v>128.9127101904547</v>
      </c>
      <c r="N880" s="8">
        <f t="shared" si="200"/>
        <v>24.999999999999996</v>
      </c>
      <c r="O880" s="8">
        <f t="shared" si="201"/>
        <v>26.579566192702753</v>
      </c>
    </row>
    <row r="881" spans="1:15" x14ac:dyDescent="0.3">
      <c r="A881" s="5">
        <f t="shared" si="202"/>
        <v>8.7299999999998583</v>
      </c>
      <c r="B881" s="5">
        <f t="shared" si="197"/>
        <v>137.00747847960812</v>
      </c>
      <c r="C881" s="6">
        <f t="shared" si="195"/>
        <v>5284.5741699277414</v>
      </c>
      <c r="D881" s="6">
        <f t="shared" si="203"/>
        <v>27926724.157467477</v>
      </c>
      <c r="E881" s="7">
        <f t="shared" si="204"/>
        <v>6248571.4285714282</v>
      </c>
      <c r="F881" s="7">
        <f t="shared" si="205"/>
        <v>124.97142857142855</v>
      </c>
      <c r="G881" s="7">
        <f t="shared" si="206"/>
        <v>21678152.728896048</v>
      </c>
      <c r="H881" s="6">
        <f t="shared" si="207"/>
        <v>4655.9803187831503</v>
      </c>
      <c r="I881" s="7">
        <f t="shared" si="208"/>
        <v>-5.029900500699747</v>
      </c>
      <c r="J881" s="7">
        <f t="shared" si="209"/>
        <v>-79.542617079305273</v>
      </c>
      <c r="K881" s="8">
        <f t="shared" si="198"/>
        <v>194.0104478841331</v>
      </c>
      <c r="L881" s="8">
        <f t="shared" si="199"/>
        <v>-8.1484388111335893</v>
      </c>
      <c r="M881" s="8">
        <f t="shared" si="196"/>
        <v>128.85903966847454</v>
      </c>
      <c r="N881" s="8">
        <f t="shared" si="200"/>
        <v>25.000000000000018</v>
      </c>
      <c r="O881" s="8">
        <f t="shared" si="201"/>
        <v>26.580882263304499</v>
      </c>
    </row>
    <row r="882" spans="1:15" x14ac:dyDescent="0.3">
      <c r="A882" s="5">
        <f t="shared" si="202"/>
        <v>8.7399999999998581</v>
      </c>
      <c r="B882" s="5">
        <f t="shared" si="197"/>
        <v>136.95717947460113</v>
      </c>
      <c r="C882" s="6">
        <f t="shared" si="195"/>
        <v>5282.6340654489004</v>
      </c>
      <c r="D882" s="6">
        <f t="shared" si="203"/>
        <v>27906222.669441178</v>
      </c>
      <c r="E882" s="7">
        <f t="shared" si="204"/>
        <v>6248571.4285714282</v>
      </c>
      <c r="F882" s="7">
        <f t="shared" si="205"/>
        <v>124.97142857142855</v>
      </c>
      <c r="G882" s="7">
        <f t="shared" si="206"/>
        <v>21657651.240869749</v>
      </c>
      <c r="H882" s="6">
        <f t="shared" si="207"/>
        <v>4653.7781684207666</v>
      </c>
      <c r="I882" s="7">
        <f t="shared" si="208"/>
        <v>-5.0319973470472537</v>
      </c>
      <c r="J882" s="7">
        <f t="shared" si="209"/>
        <v>-79.509471464434938</v>
      </c>
      <c r="K882" s="8">
        <f t="shared" si="198"/>
        <v>194.09132624325119</v>
      </c>
      <c r="L882" s="8">
        <f t="shared" si="199"/>
        <v>-8.15183570221655</v>
      </c>
      <c r="M882" s="8">
        <f t="shared" si="196"/>
        <v>128.80534377238459</v>
      </c>
      <c r="N882" s="8">
        <f t="shared" si="200"/>
        <v>25.000000000000018</v>
      </c>
      <c r="O882" s="8">
        <f t="shared" si="201"/>
        <v>26.582200602760313</v>
      </c>
    </row>
    <row r="883" spans="1:15" x14ac:dyDescent="0.3">
      <c r="A883" s="5">
        <f t="shared" si="202"/>
        <v>8.7499999999998579</v>
      </c>
      <c r="B883" s="5">
        <f t="shared" si="197"/>
        <v>136.90685950113067</v>
      </c>
      <c r="C883" s="6">
        <f t="shared" si="195"/>
        <v>5280.6931521864681</v>
      </c>
      <c r="D883" s="6">
        <f t="shared" si="203"/>
        <v>27885720.167549055</v>
      </c>
      <c r="E883" s="7">
        <f t="shared" si="204"/>
        <v>6248571.4285714282</v>
      </c>
      <c r="F883" s="7">
        <f t="shared" si="205"/>
        <v>124.97142857142855</v>
      </c>
      <c r="G883" s="7">
        <f t="shared" si="206"/>
        <v>21637148.738977626</v>
      </c>
      <c r="H883" s="6">
        <f t="shared" si="207"/>
        <v>4651.5748665347337</v>
      </c>
      <c r="I883" s="7">
        <f t="shared" si="208"/>
        <v>-5.0340969359420908</v>
      </c>
      <c r="J883" s="7">
        <f t="shared" si="209"/>
        <v>-79.476310163521305</v>
      </c>
      <c r="K883" s="8">
        <f t="shared" si="198"/>
        <v>194.17231038633778</v>
      </c>
      <c r="L883" s="8">
        <f t="shared" si="199"/>
        <v>-8.1552370362261861</v>
      </c>
      <c r="M883" s="8">
        <f t="shared" si="196"/>
        <v>128.75162246490447</v>
      </c>
      <c r="N883" s="8">
        <f t="shared" si="200"/>
        <v>25.000000000000011</v>
      </c>
      <c r="O883" s="8">
        <f t="shared" si="201"/>
        <v>26.583521217072281</v>
      </c>
    </row>
    <row r="884" spans="1:15" x14ac:dyDescent="0.3">
      <c r="A884" s="5">
        <f t="shared" si="202"/>
        <v>8.7599999999998577</v>
      </c>
      <c r="B884" s="5">
        <f t="shared" si="197"/>
        <v>136.85651853177126</v>
      </c>
      <c r="C884" s="6">
        <f t="shared" si="195"/>
        <v>5278.7514290826057</v>
      </c>
      <c r="D884" s="6">
        <f t="shared" si="203"/>
        <v>27865216.650041651</v>
      </c>
      <c r="E884" s="7">
        <f t="shared" si="204"/>
        <v>6248571.4285714282</v>
      </c>
      <c r="F884" s="7">
        <f t="shared" si="205"/>
        <v>124.97142857142855</v>
      </c>
      <c r="G884" s="7">
        <f t="shared" si="206"/>
        <v>21616645.221470222</v>
      </c>
      <c r="H884" s="6">
        <f t="shared" si="207"/>
        <v>4649.3704112998166</v>
      </c>
      <c r="I884" s="7">
        <f t="shared" si="208"/>
        <v>-5.0361992735248338</v>
      </c>
      <c r="J884" s="7">
        <f t="shared" si="209"/>
        <v>-79.443133153494472</v>
      </c>
      <c r="K884" s="8">
        <f t="shared" si="198"/>
        <v>194.25340055024358</v>
      </c>
      <c r="L884" s="8">
        <f t="shared" si="199"/>
        <v>-8.1586428231102293</v>
      </c>
      <c r="M884" s="8">
        <f t="shared" si="196"/>
        <v>128.69787570866103</v>
      </c>
      <c r="N884" s="8">
        <f t="shared" si="200"/>
        <v>24.999999999999996</v>
      </c>
      <c r="O884" s="8">
        <f t="shared" si="201"/>
        <v>26.584844112263998</v>
      </c>
    </row>
    <row r="885" spans="1:15" x14ac:dyDescent="0.3">
      <c r="A885" s="5">
        <f t="shared" si="202"/>
        <v>8.7699999999998575</v>
      </c>
      <c r="B885" s="5">
        <f t="shared" si="197"/>
        <v>136.80615653903601</v>
      </c>
      <c r="C885" s="6">
        <f t="shared" si="195"/>
        <v>5276.8088950771025</v>
      </c>
      <c r="D885" s="6">
        <f t="shared" si="203"/>
        <v>27844712.115164831</v>
      </c>
      <c r="E885" s="7">
        <f t="shared" si="204"/>
        <v>6248571.4285714282</v>
      </c>
      <c r="F885" s="7">
        <f t="shared" si="205"/>
        <v>124.97142857142855</v>
      </c>
      <c r="G885" s="7">
        <f t="shared" si="206"/>
        <v>21596140.686593402</v>
      </c>
      <c r="H885" s="6">
        <f t="shared" si="207"/>
        <v>4647.1648008859556</v>
      </c>
      <c r="I885" s="7">
        <f t="shared" si="208"/>
        <v>-5.0383043659556801</v>
      </c>
      <c r="J885" s="7">
        <f t="shared" si="209"/>
        <v>-79.409940411227041</v>
      </c>
      <c r="K885" s="8">
        <f t="shared" si="198"/>
        <v>194.33459697257624</v>
      </c>
      <c r="L885" s="8">
        <f t="shared" si="199"/>
        <v>-8.1620530728482006</v>
      </c>
      <c r="M885" s="8">
        <f t="shared" si="196"/>
        <v>128.6441034661878</v>
      </c>
      <c r="N885" s="8">
        <f t="shared" si="200"/>
        <v>25.000000000000004</v>
      </c>
      <c r="O885" s="8">
        <f t="shared" si="201"/>
        <v>26.586169294380738</v>
      </c>
    </row>
    <row r="886" spans="1:15" x14ac:dyDescent="0.3">
      <c r="A886" s="5">
        <f t="shared" si="202"/>
        <v>8.7799999999998573</v>
      </c>
      <c r="B886" s="5">
        <f t="shared" si="197"/>
        <v>136.75577349537645</v>
      </c>
      <c r="C886" s="6">
        <f t="shared" si="195"/>
        <v>5274.8655491073769</v>
      </c>
      <c r="D886" s="6">
        <f t="shared" si="203"/>
        <v>27824206.561159868</v>
      </c>
      <c r="E886" s="7">
        <f t="shared" si="204"/>
        <v>6248571.4285714282</v>
      </c>
      <c r="F886" s="7">
        <f t="shared" si="205"/>
        <v>124.97142857142855</v>
      </c>
      <c r="G886" s="7">
        <f t="shared" si="206"/>
        <v>21575635.132588439</v>
      </c>
      <c r="H886" s="6">
        <f t="shared" si="207"/>
        <v>4644.9580334582615</v>
      </c>
      <c r="I886" s="7">
        <f t="shared" si="208"/>
        <v>-5.0404122194145042</v>
      </c>
      <c r="J886" s="7">
        <f t="shared" si="209"/>
        <v>-79.376731913533916</v>
      </c>
      <c r="K886" s="8">
        <f t="shared" si="198"/>
        <v>194.41589989170231</v>
      </c>
      <c r="L886" s="8">
        <f t="shared" si="199"/>
        <v>-8.1654677954514963</v>
      </c>
      <c r="M886" s="8">
        <f t="shared" si="196"/>
        <v>128.59030569992495</v>
      </c>
      <c r="N886" s="8">
        <f t="shared" si="200"/>
        <v>25.000000000000007</v>
      </c>
      <c r="O886" s="8">
        <f t="shared" si="201"/>
        <v>26.587496769489423</v>
      </c>
    </row>
    <row r="887" spans="1:15" x14ac:dyDescent="0.3">
      <c r="A887" s="5">
        <f t="shared" si="202"/>
        <v>8.789999999999857</v>
      </c>
      <c r="B887" s="5">
        <f t="shared" si="197"/>
        <v>136.70536937318229</v>
      </c>
      <c r="C887" s="6">
        <f t="shared" si="195"/>
        <v>5272.9213901084595</v>
      </c>
      <c r="D887" s="6">
        <f t="shared" si="203"/>
        <v>27803699.986263327</v>
      </c>
      <c r="E887" s="7">
        <f t="shared" si="204"/>
        <v>6248571.4285714282</v>
      </c>
      <c r="F887" s="7">
        <f t="shared" si="205"/>
        <v>124.97142857142855</v>
      </c>
      <c r="G887" s="7">
        <f t="shared" si="206"/>
        <v>21555128.557691898</v>
      </c>
      <c r="H887" s="6">
        <f t="shared" si="207"/>
        <v>4642.7501071769839</v>
      </c>
      <c r="I887" s="7">
        <f t="shared" si="208"/>
        <v>-5.0425228401009718</v>
      </c>
      <c r="J887" s="7">
        <f t="shared" si="209"/>
        <v>-79.343507637172053</v>
      </c>
      <c r="K887" s="8">
        <f t="shared" si="198"/>
        <v>194.49730954675175</v>
      </c>
      <c r="L887" s="8">
        <f t="shared" si="199"/>
        <v>-8.1688870009635721</v>
      </c>
      <c r="M887" s="8">
        <f t="shared" si="196"/>
        <v>128.53648237221873</v>
      </c>
      <c r="N887" s="8">
        <f t="shared" si="200"/>
        <v>25.000000000000025</v>
      </c>
      <c r="O887" s="8">
        <f t="shared" si="201"/>
        <v>26.58882654367887</v>
      </c>
    </row>
    <row r="888" spans="1:15" x14ac:dyDescent="0.3">
      <c r="A888" s="5">
        <f t="shared" si="202"/>
        <v>8.7999999999998568</v>
      </c>
      <c r="B888" s="5">
        <f t="shared" si="197"/>
        <v>136.6549441447813</v>
      </c>
      <c r="C888" s="6">
        <f t="shared" si="195"/>
        <v>5270.9764170129929</v>
      </c>
      <c r="D888" s="6">
        <f t="shared" si="203"/>
        <v>27783192.388707127</v>
      </c>
      <c r="E888" s="7">
        <f t="shared" si="204"/>
        <v>6248571.4285714282</v>
      </c>
      <c r="F888" s="7">
        <f t="shared" si="205"/>
        <v>124.97142857142855</v>
      </c>
      <c r="G888" s="7">
        <f t="shared" si="206"/>
        <v>21534620.960135698</v>
      </c>
      <c r="H888" s="6">
        <f t="shared" si="207"/>
        <v>4640.5410201975046</v>
      </c>
      <c r="I888" s="7">
        <f t="shared" si="208"/>
        <v>-5.0446362342345896</v>
      </c>
      <c r="J888" s="7">
        <f t="shared" si="209"/>
        <v>-79.310267558840309</v>
      </c>
      <c r="K888" s="8">
        <f t="shared" si="198"/>
        <v>194.57882617761987</v>
      </c>
      <c r="L888" s="8">
        <f t="shared" si="199"/>
        <v>-8.1723106994600343</v>
      </c>
      <c r="M888" s="8">
        <f t="shared" si="196"/>
        <v>128.48263344532126</v>
      </c>
      <c r="N888" s="8">
        <f t="shared" si="200"/>
        <v>25.000000000000014</v>
      </c>
      <c r="O888" s="8">
        <f t="shared" si="201"/>
        <v>26.590158623059754</v>
      </c>
    </row>
    <row r="889" spans="1:15" x14ac:dyDescent="0.3">
      <c r="A889" s="5">
        <f t="shared" si="202"/>
        <v>8.8099999999998566</v>
      </c>
      <c r="B889" s="5">
        <f t="shared" si="197"/>
        <v>136.60449778243895</v>
      </c>
      <c r="C889" s="6">
        <f t="shared" si="195"/>
        <v>5269.0306287512167</v>
      </c>
      <c r="D889" s="6">
        <f t="shared" si="203"/>
        <v>27762683.766718443</v>
      </c>
      <c r="E889" s="7">
        <f t="shared" si="204"/>
        <v>6248571.4285714282</v>
      </c>
      <c r="F889" s="7">
        <f t="shared" si="205"/>
        <v>124.97142857142855</v>
      </c>
      <c r="G889" s="7">
        <f t="shared" si="206"/>
        <v>21514112.338147014</v>
      </c>
      <c r="H889" s="6">
        <f t="shared" si="207"/>
        <v>4638.3307706703081</v>
      </c>
      <c r="I889" s="7">
        <f t="shared" si="208"/>
        <v>-5.0467524080548252</v>
      </c>
      <c r="J889" s="7">
        <f t="shared" si="209"/>
        <v>-79.277011655179109</v>
      </c>
      <c r="K889" s="8">
        <f t="shared" si="198"/>
        <v>194.66045002497182</v>
      </c>
      <c r="L889" s="8">
        <f t="shared" si="199"/>
        <v>-8.1757389010488151</v>
      </c>
      <c r="M889" s="8">
        <f t="shared" si="196"/>
        <v>128.42875888139014</v>
      </c>
      <c r="N889" s="8">
        <f t="shared" si="200"/>
        <v>25</v>
      </c>
      <c r="O889" s="8">
        <f t="shared" si="201"/>
        <v>26.591493013764833</v>
      </c>
    </row>
    <row r="890" spans="1:15" x14ac:dyDescent="0.3">
      <c r="A890" s="5">
        <f t="shared" si="202"/>
        <v>8.8199999999998564</v>
      </c>
      <c r="B890" s="5">
        <f t="shared" si="197"/>
        <v>136.55403025835841</v>
      </c>
      <c r="C890" s="6">
        <f t="shared" si="195"/>
        <v>5267.0840242509666</v>
      </c>
      <c r="D890" s="6">
        <f t="shared" si="203"/>
        <v>27742174.118519757</v>
      </c>
      <c r="E890" s="7">
        <f t="shared" si="204"/>
        <v>6248571.4285714282</v>
      </c>
      <c r="F890" s="7">
        <f t="shared" si="205"/>
        <v>124.97142857142855</v>
      </c>
      <c r="G890" s="7">
        <f t="shared" si="206"/>
        <v>21493602.689948328</v>
      </c>
      <c r="H890" s="6">
        <f t="shared" si="207"/>
        <v>4636.1193567409728</v>
      </c>
      <c r="I890" s="7">
        <f t="shared" si="208"/>
        <v>-5.0488713678211683</v>
      </c>
      <c r="J890" s="7">
        <f t="shared" si="209"/>
        <v>-79.243739902770443</v>
      </c>
      <c r="K890" s="8">
        <f t="shared" si="198"/>
        <v>194.74218133024505</v>
      </c>
      <c r="L890" s="8">
        <f t="shared" si="199"/>
        <v>-8.1791716158702918</v>
      </c>
      <c r="M890" s="8">
        <f t="shared" si="196"/>
        <v>128.37485864248811</v>
      </c>
      <c r="N890" s="8">
        <f t="shared" si="200"/>
        <v>24.999999999999993</v>
      </c>
      <c r="O890" s="8">
        <f t="shared" si="201"/>
        <v>26.592829721949002</v>
      </c>
    </row>
    <row r="891" spans="1:15" x14ac:dyDescent="0.3">
      <c r="A891" s="5">
        <f t="shared" si="202"/>
        <v>8.8299999999998562</v>
      </c>
      <c r="B891" s="5">
        <f t="shared" si="197"/>
        <v>136.50354154468019</v>
      </c>
      <c r="C891" s="6">
        <f t="shared" si="195"/>
        <v>5265.1366024376639</v>
      </c>
      <c r="D891" s="6">
        <f t="shared" si="203"/>
        <v>27721663.442328826</v>
      </c>
      <c r="E891" s="7">
        <f t="shared" si="204"/>
        <v>6248571.4285714282</v>
      </c>
      <c r="F891" s="7">
        <f t="shared" si="205"/>
        <v>124.97142857142855</v>
      </c>
      <c r="G891" s="7">
        <f t="shared" si="206"/>
        <v>21473092.013757396</v>
      </c>
      <c r="H891" s="6">
        <f t="shared" si="207"/>
        <v>4633.9067765501495</v>
      </c>
      <c r="I891" s="7">
        <f t="shared" si="208"/>
        <v>-5.0509931198132163</v>
      </c>
      <c r="J891" s="7">
        <f t="shared" si="209"/>
        <v>-79.210452278137524</v>
      </c>
      <c r="K891" s="8">
        <f t="shared" si="198"/>
        <v>194.82402033565262</v>
      </c>
      <c r="L891" s="8">
        <f t="shared" si="199"/>
        <v>-8.1826088540974098</v>
      </c>
      <c r="M891" s="8">
        <f t="shared" si="196"/>
        <v>128.32093269058277</v>
      </c>
      <c r="N891" s="8">
        <f t="shared" si="200"/>
        <v>25.000000000000007</v>
      </c>
      <c r="O891" s="8">
        <f t="shared" si="201"/>
        <v>26.594168753789376</v>
      </c>
    </row>
    <row r="892" spans="1:15" x14ac:dyDescent="0.3">
      <c r="A892" s="5">
        <f t="shared" si="202"/>
        <v>8.839999999999856</v>
      </c>
      <c r="B892" s="5">
        <f t="shared" si="197"/>
        <v>136.45303161348207</v>
      </c>
      <c r="C892" s="6">
        <f t="shared" si="195"/>
        <v>5263.1883622343084</v>
      </c>
      <c r="D892" s="6">
        <f t="shared" si="203"/>
        <v>27701151.736358661</v>
      </c>
      <c r="E892" s="7">
        <f t="shared" si="204"/>
        <v>6248571.4285714282</v>
      </c>
      <c r="F892" s="7">
        <f t="shared" si="205"/>
        <v>124.97142857142855</v>
      </c>
      <c r="G892" s="7">
        <f t="shared" si="206"/>
        <v>21452580.307787232</v>
      </c>
      <c r="H892" s="6">
        <f t="shared" si="207"/>
        <v>4631.6930282335452</v>
      </c>
      <c r="I892" s="7">
        <f t="shared" si="208"/>
        <v>-5.0531176703307539</v>
      </c>
      <c r="J892" s="7">
        <f t="shared" si="209"/>
        <v>-79.177148757744618</v>
      </c>
      <c r="K892" s="8">
        <f t="shared" si="198"/>
        <v>194.9059672841862</v>
      </c>
      <c r="L892" s="8">
        <f t="shared" si="199"/>
        <v>-8.1860506259358203</v>
      </c>
      <c r="M892" s="8">
        <f t="shared" si="196"/>
        <v>128.26698098754625</v>
      </c>
      <c r="N892" s="8">
        <f t="shared" si="200"/>
        <v>25.000000000000021</v>
      </c>
      <c r="O892" s="8">
        <f t="shared" si="201"/>
        <v>26.595510115485361</v>
      </c>
    </row>
    <row r="893" spans="1:15" x14ac:dyDescent="0.3">
      <c r="A893" s="5">
        <f t="shared" si="202"/>
        <v>8.8499999999998558</v>
      </c>
      <c r="B893" s="5">
        <f t="shared" si="197"/>
        <v>136.40250043677875</v>
      </c>
      <c r="C893" s="6">
        <f t="shared" si="195"/>
        <v>5261.2393025614656</v>
      </c>
      <c r="D893" s="6">
        <f t="shared" si="203"/>
        <v>27680638.998817459</v>
      </c>
      <c r="E893" s="7">
        <f t="shared" si="204"/>
        <v>6248571.4285714282</v>
      </c>
      <c r="F893" s="7">
        <f t="shared" si="205"/>
        <v>124.97142857142855</v>
      </c>
      <c r="G893" s="7">
        <f t="shared" si="206"/>
        <v>21432067.57024603</v>
      </c>
      <c r="H893" s="6">
        <f t="shared" si="207"/>
        <v>4629.4781099218981</v>
      </c>
      <c r="I893" s="7">
        <f t="shared" si="208"/>
        <v>-5.0552450256938428</v>
      </c>
      <c r="J893" s="7">
        <f t="shared" si="209"/>
        <v>-79.143829317996747</v>
      </c>
      <c r="K893" s="8">
        <f t="shared" si="198"/>
        <v>194.98802241961965</v>
      </c>
      <c r="L893" s="8">
        <f t="shared" si="199"/>
        <v>-8.1894969416240251</v>
      </c>
      <c r="M893" s="8">
        <f t="shared" si="196"/>
        <v>128.21300349515474</v>
      </c>
      <c r="N893" s="8">
        <f t="shared" si="200"/>
        <v>25.000000000000004</v>
      </c>
      <c r="O893" s="8">
        <f t="shared" si="201"/>
        <v>26.596853813258797</v>
      </c>
    </row>
    <row r="894" spans="1:15" x14ac:dyDescent="0.3">
      <c r="A894" s="5">
        <f t="shared" si="202"/>
        <v>8.8599999999998555</v>
      </c>
      <c r="B894" s="5">
        <f t="shared" si="197"/>
        <v>136.35194798652182</v>
      </c>
      <c r="C894" s="6">
        <f t="shared" si="195"/>
        <v>5259.2894223372696</v>
      </c>
      <c r="D894" s="6">
        <f t="shared" si="203"/>
        <v>27660125.22790869</v>
      </c>
      <c r="E894" s="7">
        <f t="shared" si="204"/>
        <v>6248571.4285714282</v>
      </c>
      <c r="F894" s="7">
        <f t="shared" si="205"/>
        <v>124.97142857142855</v>
      </c>
      <c r="G894" s="7">
        <f t="shared" si="206"/>
        <v>21411553.79933726</v>
      </c>
      <c r="H894" s="6">
        <f t="shared" si="207"/>
        <v>4627.2620197409678</v>
      </c>
      <c r="I894" s="7">
        <f t="shared" si="208"/>
        <v>-5.0573751922429278</v>
      </c>
      <c r="J894" s="7">
        <f t="shared" si="209"/>
        <v>-79.110493935239688</v>
      </c>
      <c r="K894" s="8">
        <f t="shared" si="198"/>
        <v>195.07018598651291</v>
      </c>
      <c r="L894" s="8">
        <f t="shared" si="199"/>
        <v>-8.192947811433541</v>
      </c>
      <c r="M894" s="8">
        <f t="shared" si="196"/>
        <v>128.15900017508829</v>
      </c>
      <c r="N894" s="8">
        <f t="shared" si="200"/>
        <v>25.000000000000014</v>
      </c>
      <c r="O894" s="8">
        <f t="shared" si="201"/>
        <v>26.598199853354146</v>
      </c>
    </row>
    <row r="895" spans="1:15" x14ac:dyDescent="0.3">
      <c r="A895" s="5">
        <f t="shared" si="202"/>
        <v>8.8699999999998553</v>
      </c>
      <c r="B895" s="5">
        <f t="shared" si="197"/>
        <v>136.30137423459939</v>
      </c>
      <c r="C895" s="6">
        <f t="shared" si="195"/>
        <v>5257.3387204774053</v>
      </c>
      <c r="D895" s="6">
        <f t="shared" si="203"/>
        <v>27639610.421831001</v>
      </c>
      <c r="E895" s="7">
        <f t="shared" si="204"/>
        <v>6248571.4285714282</v>
      </c>
      <c r="F895" s="7">
        <f t="shared" si="205"/>
        <v>124.97142857142855</v>
      </c>
      <c r="G895" s="7">
        <f t="shared" si="206"/>
        <v>21391038.993259571</v>
      </c>
      <c r="H895" s="6">
        <f t="shared" si="207"/>
        <v>4625.044755811512</v>
      </c>
      <c r="I895" s="7">
        <f t="shared" si="208"/>
        <v>-5.0595081763388823</v>
      </c>
      <c r="J895" s="7">
        <f t="shared" si="209"/>
        <v>-79.077142585759518</v>
      </c>
      <c r="K895" s="8">
        <f t="shared" si="198"/>
        <v>195.15245823021402</v>
      </c>
      <c r="L895" s="8">
        <f t="shared" si="199"/>
        <v>-8.1964032456689875</v>
      </c>
      <c r="M895" s="8">
        <f t="shared" si="196"/>
        <v>128.1049709889304</v>
      </c>
      <c r="N895" s="8">
        <f t="shared" si="200"/>
        <v>25.000000000000018</v>
      </c>
      <c r="O895" s="8">
        <f t="shared" si="201"/>
        <v>26.599548242038427</v>
      </c>
    </row>
    <row r="896" spans="1:15" x14ac:dyDescent="0.3">
      <c r="A896" s="5">
        <f t="shared" si="202"/>
        <v>8.8799999999998551</v>
      </c>
      <c r="B896" s="5">
        <f t="shared" si="197"/>
        <v>136.250779152836</v>
      </c>
      <c r="C896" s="6">
        <f t="shared" si="195"/>
        <v>5255.3871958951031</v>
      </c>
      <c r="D896" s="6">
        <f t="shared" si="203"/>
        <v>27619094.578778196</v>
      </c>
      <c r="E896" s="7">
        <f t="shared" si="204"/>
        <v>6248571.4285714282</v>
      </c>
      <c r="F896" s="7">
        <f t="shared" si="205"/>
        <v>124.97142857142855</v>
      </c>
      <c r="G896" s="7">
        <f t="shared" si="206"/>
        <v>21370523.150206767</v>
      </c>
      <c r="H896" s="6">
        <f t="shared" si="207"/>
        <v>4622.8263162492667</v>
      </c>
      <c r="I896" s="7">
        <f t="shared" si="208"/>
        <v>-5.0616439843631182</v>
      </c>
      <c r="J896" s="7">
        <f t="shared" si="209"/>
        <v>-79.043775245782584</v>
      </c>
      <c r="K896" s="8">
        <f t="shared" si="198"/>
        <v>195.23483939686312</v>
      </c>
      <c r="L896" s="8">
        <f t="shared" si="199"/>
        <v>-8.1998632546682497</v>
      </c>
      <c r="M896" s="8">
        <f t="shared" si="196"/>
        <v>128.05091589816774</v>
      </c>
      <c r="N896" s="8">
        <f t="shared" si="200"/>
        <v>25.000000000000007</v>
      </c>
      <c r="O896" s="8">
        <f t="shared" si="201"/>
        <v>26.6008989856014</v>
      </c>
    </row>
    <row r="897" spans="1:15" x14ac:dyDescent="0.3">
      <c r="A897" s="5">
        <f t="shared" si="202"/>
        <v>8.8899999999998549</v>
      </c>
      <c r="B897" s="5">
        <f t="shared" si="197"/>
        <v>136.20016271299238</v>
      </c>
      <c r="C897" s="6">
        <f t="shared" si="195"/>
        <v>5253.4348475011348</v>
      </c>
      <c r="D897" s="6">
        <f t="shared" si="203"/>
        <v>27598577.696939271</v>
      </c>
      <c r="E897" s="7">
        <f t="shared" si="204"/>
        <v>6248571.4285714282</v>
      </c>
      <c r="F897" s="7">
        <f t="shared" si="205"/>
        <v>124.97142857142855</v>
      </c>
      <c r="G897" s="7">
        <f t="shared" si="206"/>
        <v>21350006.268367842</v>
      </c>
      <c r="H897" s="6">
        <f t="shared" si="207"/>
        <v>4620.6066991649313</v>
      </c>
      <c r="I897" s="7">
        <f t="shared" si="208"/>
        <v>-5.0637826227176781</v>
      </c>
      <c r="J897" s="7">
        <f t="shared" si="209"/>
        <v>-79.01039189147518</v>
      </c>
      <c r="K897" s="8">
        <f t="shared" si="198"/>
        <v>195.31732973339615</v>
      </c>
      <c r="L897" s="8">
        <f t="shared" si="199"/>
        <v>-8.2033278488026369</v>
      </c>
      <c r="M897" s="8">
        <f t="shared" si="196"/>
        <v>127.99683486418974</v>
      </c>
      <c r="N897" s="8">
        <f t="shared" si="200"/>
        <v>25.000000000000004</v>
      </c>
      <c r="O897" s="8">
        <f t="shared" si="201"/>
        <v>26.602252090355741</v>
      </c>
    </row>
    <row r="898" spans="1:15" x14ac:dyDescent="0.3">
      <c r="A898" s="5">
        <f t="shared" si="202"/>
        <v>8.8999999999998547</v>
      </c>
      <c r="B898" s="5">
        <f t="shared" si="197"/>
        <v>136.14952488676519</v>
      </c>
      <c r="C898" s="6">
        <f t="shared" si="195"/>
        <v>5251.4816742038001</v>
      </c>
      <c r="D898" s="6">
        <f t="shared" si="203"/>
        <v>27578059.774498347</v>
      </c>
      <c r="E898" s="7">
        <f t="shared" si="204"/>
        <v>6248571.4285714282</v>
      </c>
      <c r="F898" s="7">
        <f t="shared" si="205"/>
        <v>124.97142857142855</v>
      </c>
      <c r="G898" s="7">
        <f t="shared" si="206"/>
        <v>21329488.345926918</v>
      </c>
      <c r="H898" s="6">
        <f t="shared" si="207"/>
        <v>4618.3859026641458</v>
      </c>
      <c r="I898" s="7">
        <f t="shared" si="208"/>
        <v>-5.0659240978253104</v>
      </c>
      <c r="J898" s="7">
        <f t="shared" si="209"/>
        <v>-78.976992498943346</v>
      </c>
      <c r="K898" s="8">
        <f t="shared" si="198"/>
        <v>195.39992948754767</v>
      </c>
      <c r="L898" s="8">
        <f t="shared" si="199"/>
        <v>-8.206797038477001</v>
      </c>
      <c r="M898" s="8">
        <f t="shared" si="196"/>
        <v>127.94272784828819</v>
      </c>
      <c r="N898" s="8">
        <f t="shared" si="200"/>
        <v>25.000000000000011</v>
      </c>
      <c r="O898" s="8">
        <f t="shared" si="201"/>
        <v>26.603607562637034</v>
      </c>
    </row>
    <row r="899" spans="1:15" x14ac:dyDescent="0.3">
      <c r="A899" s="5">
        <f t="shared" si="202"/>
        <v>8.9099999999998545</v>
      </c>
      <c r="B899" s="5">
        <f t="shared" si="197"/>
        <v>136.09886564578693</v>
      </c>
      <c r="C899" s="6">
        <f t="shared" si="195"/>
        <v>5249.5276749089244</v>
      </c>
      <c r="D899" s="6">
        <f t="shared" si="203"/>
        <v>27557540.809634697</v>
      </c>
      <c r="E899" s="7">
        <f t="shared" si="204"/>
        <v>6248571.4285714282</v>
      </c>
      <c r="F899" s="7">
        <f t="shared" si="205"/>
        <v>124.97142857142855</v>
      </c>
      <c r="G899" s="7">
        <f t="shared" si="206"/>
        <v>21308969.381063268</v>
      </c>
      <c r="H899" s="6">
        <f t="shared" si="207"/>
        <v>4616.1639248474776</v>
      </c>
      <c r="I899" s="7">
        <f t="shared" si="208"/>
        <v>-5.0680684161295479</v>
      </c>
      <c r="J899" s="7">
        <f t="shared" si="209"/>
        <v>-78.943577044232782</v>
      </c>
      <c r="K899" s="8">
        <f t="shared" si="198"/>
        <v>195.48263890785398</v>
      </c>
      <c r="L899" s="8">
        <f t="shared" si="199"/>
        <v>-8.2102708341298669</v>
      </c>
      <c r="M899" s="8">
        <f t="shared" si="196"/>
        <v>127.88859481165706</v>
      </c>
      <c r="N899" s="8">
        <f t="shared" si="200"/>
        <v>25.000000000000004</v>
      </c>
      <c r="O899" s="8">
        <f t="shared" si="201"/>
        <v>26.604965408803899</v>
      </c>
    </row>
    <row r="900" spans="1:15" x14ac:dyDescent="0.3">
      <c r="A900" s="5">
        <f t="shared" si="202"/>
        <v>8.9199999999998543</v>
      </c>
      <c r="B900" s="5">
        <f t="shared" si="197"/>
        <v>136.04818496162562</v>
      </c>
      <c r="C900" s="6">
        <f t="shared" si="195"/>
        <v>5247.5728485198451</v>
      </c>
      <c r="D900" s="6">
        <f t="shared" si="203"/>
        <v>27537020.800522681</v>
      </c>
      <c r="E900" s="7">
        <f t="shared" si="204"/>
        <v>6248571.4285714282</v>
      </c>
      <c r="F900" s="7">
        <f t="shared" si="205"/>
        <v>124.97142857142855</v>
      </c>
      <c r="G900" s="7">
        <f t="shared" si="206"/>
        <v>21288449.371951252</v>
      </c>
      <c r="H900" s="6">
        <f t="shared" si="207"/>
        <v>4613.9407638103949</v>
      </c>
      <c r="I900" s="7">
        <f t="shared" si="208"/>
        <v>-5.0702155840948251</v>
      </c>
      <c r="J900" s="7">
        <f t="shared" si="209"/>
        <v>-78.910145503328408</v>
      </c>
      <c r="K900" s="8">
        <f t="shared" si="198"/>
        <v>195.56545824365753</v>
      </c>
      <c r="L900" s="8">
        <f t="shared" si="199"/>
        <v>-8.2137492462336148</v>
      </c>
      <c r="M900" s="8">
        <f t="shared" si="196"/>
        <v>127.834435715392</v>
      </c>
      <c r="N900" s="8">
        <f t="shared" si="200"/>
        <v>25.000000000000018</v>
      </c>
      <c r="O900" s="8">
        <f t="shared" si="201"/>
        <v>26.606325635238189</v>
      </c>
    </row>
    <row r="901" spans="1:15" x14ac:dyDescent="0.3">
      <c r="A901" s="5">
        <f t="shared" si="202"/>
        <v>8.9299999999998541</v>
      </c>
      <c r="B901" s="5">
        <f t="shared" si="197"/>
        <v>135.99748280578467</v>
      </c>
      <c r="C901" s="6">
        <f t="shared" si="195"/>
        <v>5245.617193937408</v>
      </c>
      <c r="D901" s="6">
        <f t="shared" si="203"/>
        <v>27516499.745331768</v>
      </c>
      <c r="E901" s="7">
        <f t="shared" si="204"/>
        <v>6248571.4285714282</v>
      </c>
      <c r="F901" s="7">
        <f t="shared" si="205"/>
        <v>124.97142857142855</v>
      </c>
      <c r="G901" s="7">
        <f t="shared" si="206"/>
        <v>21267928.316760339</v>
      </c>
      <c r="H901" s="6">
        <f t="shared" si="207"/>
        <v>4611.7164176432552</v>
      </c>
      <c r="I901" s="7">
        <f t="shared" si="208"/>
        <v>-5.0723656082065283</v>
      </c>
      <c r="J901" s="7">
        <f t="shared" si="209"/>
        <v>-78.876697852154379</v>
      </c>
      <c r="K901" s="8">
        <f t="shared" si="198"/>
        <v>195.64838774510895</v>
      </c>
      <c r="L901" s="8">
        <f t="shared" si="199"/>
        <v>-8.2172322852945747</v>
      </c>
      <c r="M901" s="8">
        <f t="shared" si="196"/>
        <v>127.7802505204901</v>
      </c>
      <c r="N901" s="8">
        <f t="shared" si="200"/>
        <v>25.000000000000007</v>
      </c>
      <c r="O901" s="8">
        <f t="shared" si="201"/>
        <v>26.607688248344949</v>
      </c>
    </row>
    <row r="902" spans="1:15" x14ac:dyDescent="0.3">
      <c r="A902" s="5">
        <f t="shared" si="202"/>
        <v>8.9399999999998538</v>
      </c>
      <c r="B902" s="5">
        <f t="shared" si="197"/>
        <v>135.94675914970261</v>
      </c>
      <c r="C902" s="6">
        <f t="shared" si="195"/>
        <v>5243.6607100599576</v>
      </c>
      <c r="D902" s="6">
        <f t="shared" si="203"/>
        <v>27495977.642226499</v>
      </c>
      <c r="E902" s="7">
        <f t="shared" si="204"/>
        <v>6248571.4285714282</v>
      </c>
      <c r="F902" s="7">
        <f t="shared" si="205"/>
        <v>124.97142857142855</v>
      </c>
      <c r="G902" s="7">
        <f t="shared" si="206"/>
        <v>21247406.213655069</v>
      </c>
      <c r="H902" s="6">
        <f t="shared" si="207"/>
        <v>4609.4908844312804</v>
      </c>
      <c r="I902" s="7">
        <f t="shared" si="208"/>
        <v>-5.0745184949711266</v>
      </c>
      <c r="J902" s="7">
        <f t="shared" si="209"/>
        <v>-78.843234066573714</v>
      </c>
      <c r="K902" s="8">
        <f t="shared" si="198"/>
        <v>195.73142766317201</v>
      </c>
      <c r="L902" s="8">
        <f t="shared" si="199"/>
        <v>-8.2207199618532236</v>
      </c>
      <c r="M902" s="8">
        <f t="shared" si="196"/>
        <v>127.72603918784939</v>
      </c>
      <c r="N902" s="8">
        <f t="shared" si="200"/>
        <v>25.000000000000018</v>
      </c>
      <c r="O902" s="8">
        <f t="shared" si="201"/>
        <v>26.609053254552684</v>
      </c>
    </row>
    <row r="903" spans="1:15" x14ac:dyDescent="0.3">
      <c r="A903" s="5">
        <f t="shared" si="202"/>
        <v>8.9499999999998536</v>
      </c>
      <c r="B903" s="5">
        <f t="shared" si="197"/>
        <v>135.89601396475291</v>
      </c>
      <c r="C903" s="6">
        <f t="shared" si="195"/>
        <v>5241.7033957833264</v>
      </c>
      <c r="D903" s="6">
        <f t="shared" si="203"/>
        <v>27475454.489366457</v>
      </c>
      <c r="E903" s="7">
        <f t="shared" si="204"/>
        <v>6248571.4285714282</v>
      </c>
      <c r="F903" s="7">
        <f t="shared" si="205"/>
        <v>124.97142857142855</v>
      </c>
      <c r="G903" s="7">
        <f t="shared" si="206"/>
        <v>21226883.060795028</v>
      </c>
      <c r="H903" s="6">
        <f t="shared" si="207"/>
        <v>4607.2641622545398</v>
      </c>
      <c r="I903" s="7">
        <f t="shared" si="208"/>
        <v>-5.0766742509162182</v>
      </c>
      <c r="J903" s="7">
        <f t="shared" si="209"/>
        <v>-78.809754122388057</v>
      </c>
      <c r="K903" s="8">
        <f t="shared" si="198"/>
        <v>195.81457824962555</v>
      </c>
      <c r="L903" s="8">
        <f t="shared" si="199"/>
        <v>-8.2242122864842724</v>
      </c>
      <c r="M903" s="8">
        <f t="shared" si="196"/>
        <v>127.67180167826864</v>
      </c>
      <c r="N903" s="8">
        <f t="shared" si="200"/>
        <v>25.000000000000011</v>
      </c>
      <c r="O903" s="8">
        <f t="shared" si="201"/>
        <v>26.610420660313316</v>
      </c>
    </row>
    <row r="904" spans="1:15" x14ac:dyDescent="0.3">
      <c r="A904" s="5">
        <f t="shared" si="202"/>
        <v>8.9599999999998534</v>
      </c>
      <c r="B904" s="5">
        <f t="shared" si="197"/>
        <v>135.84524722224376</v>
      </c>
      <c r="C904" s="6">
        <f t="shared" ref="C904:C967" si="210">$B$1*B904</f>
        <v>5239.7452500008303</v>
      </c>
      <c r="D904" s="6">
        <f t="shared" si="203"/>
        <v>27454930.284906264</v>
      </c>
      <c r="E904" s="7">
        <f t="shared" si="204"/>
        <v>6248571.4285714282</v>
      </c>
      <c r="F904" s="7">
        <f t="shared" si="205"/>
        <v>124.97142857142855</v>
      </c>
      <c r="G904" s="7">
        <f t="shared" si="206"/>
        <v>21206358.856334835</v>
      </c>
      <c r="H904" s="6">
        <f t="shared" si="207"/>
        <v>4605.0362491879296</v>
      </c>
      <c r="I904" s="7">
        <f t="shared" si="208"/>
        <v>-5.0788328825906559</v>
      </c>
      <c r="J904" s="7">
        <f t="shared" si="209"/>
        <v>-78.776257995337602</v>
      </c>
      <c r="K904" s="8">
        <f t="shared" si="198"/>
        <v>195.89783975706814</v>
      </c>
      <c r="L904" s="8">
        <f t="shared" si="199"/>
        <v>-8.2277092697968612</v>
      </c>
      <c r="M904" s="8">
        <f t="shared" ref="M904:M967" si="211">B904+L904</f>
        <v>127.6175379524469</v>
      </c>
      <c r="N904" s="8">
        <f t="shared" si="200"/>
        <v>25.000000000000004</v>
      </c>
      <c r="O904" s="8">
        <f t="shared" si="201"/>
        <v>26.611790472102413</v>
      </c>
    </row>
    <row r="905" spans="1:15" x14ac:dyDescent="0.3">
      <c r="A905" s="5">
        <f t="shared" si="202"/>
        <v>8.9699999999998532</v>
      </c>
      <c r="B905" s="5">
        <f t="shared" ref="B905:B968" si="212">I904*$B$5+B904</f>
        <v>135.79445889341784</v>
      </c>
      <c r="C905" s="6">
        <f t="shared" si="210"/>
        <v>5237.7862716032596</v>
      </c>
      <c r="D905" s="6">
        <f t="shared" si="203"/>
        <v>27434405.026995577</v>
      </c>
      <c r="E905" s="7">
        <f t="shared" si="204"/>
        <v>6248571.4285714282</v>
      </c>
      <c r="F905" s="7">
        <f t="shared" si="205"/>
        <v>124.97142857142855</v>
      </c>
      <c r="G905" s="7">
        <f t="shared" si="206"/>
        <v>21185833.598424148</v>
      </c>
      <c r="H905" s="6">
        <f t="shared" si="207"/>
        <v>4602.8071433011555</v>
      </c>
      <c r="I905" s="7">
        <f t="shared" si="208"/>
        <v>-5.0809943965646198</v>
      </c>
      <c r="J905" s="7">
        <f t="shared" si="209"/>
        <v>-78.742745661100727</v>
      </c>
      <c r="K905" s="8">
        <f t="shared" ref="K905:K968" si="213">-$B$1*I905</f>
        <v>195.98121243892103</v>
      </c>
      <c r="L905" s="8">
        <f t="shared" ref="L905:L968" si="214">-$B$2*K905</f>
        <v>-8.2312109224346823</v>
      </c>
      <c r="M905" s="8">
        <f t="shared" si="211"/>
        <v>127.56324797098316</v>
      </c>
      <c r="N905" s="8">
        <f t="shared" ref="N905:N968" si="215">K905*M905/1000</f>
        <v>25.000000000000011</v>
      </c>
      <c r="O905" s="8">
        <f t="shared" ref="O905:O968" si="216">B905*K905/1000</f>
        <v>26.613162696419252</v>
      </c>
    </row>
    <row r="906" spans="1:15" x14ac:dyDescent="0.3">
      <c r="A906" s="5">
        <f t="shared" ref="A906:A947" si="217">A905+$B$5</f>
        <v>8.979999999999853</v>
      </c>
      <c r="B906" s="5">
        <f t="shared" si="212"/>
        <v>135.74364894945219</v>
      </c>
      <c r="C906" s="6">
        <f t="shared" si="210"/>
        <v>5235.8264594788698</v>
      </c>
      <c r="D906" s="6">
        <f t="shared" ref="D906:D947" si="218">POWER(C906,2)</f>
        <v>27413878.713779036</v>
      </c>
      <c r="E906" s="7">
        <f t="shared" ref="E906:E947" si="219">4*$B$2*$B$3*POWER($B$1,2)</f>
        <v>6248571.4285714282</v>
      </c>
      <c r="F906" s="7">
        <f t="shared" ref="F906:F947" si="220">POWER($B$1,2)*2*$B$2</f>
        <v>124.97142857142855</v>
      </c>
      <c r="G906" s="7">
        <f t="shared" ref="G906:G947" si="221">D906-E906</f>
        <v>21165307.285207607</v>
      </c>
      <c r="H906" s="6">
        <f t="shared" ref="H906:H947" si="222">SQRT(G906)</f>
        <v>4600.5768426587119</v>
      </c>
      <c r="I906" s="7">
        <f t="shared" ref="I906:I947" si="223">(-C906+H906)/F906</f>
        <v>-5.0831587994297047</v>
      </c>
      <c r="J906" s="7">
        <f t="shared" ref="J906:J947" si="224">(-C906-H906)/F906</f>
        <v>-78.70921709529388</v>
      </c>
      <c r="K906" s="8">
        <f t="shared" si="213"/>
        <v>196.06469654943146</v>
      </c>
      <c r="L906" s="8">
        <f t="shared" si="214"/>
        <v>-8.2347172550761201</v>
      </c>
      <c r="M906" s="8">
        <f t="shared" si="211"/>
        <v>127.50893169437607</v>
      </c>
      <c r="N906" s="8">
        <f t="shared" si="215"/>
        <v>25.000000000000028</v>
      </c>
      <c r="O906" s="8">
        <f t="shared" si="216"/>
        <v>26.614537339786892</v>
      </c>
    </row>
    <row r="907" spans="1:15" x14ac:dyDescent="0.3">
      <c r="A907" s="5">
        <f t="shared" si="217"/>
        <v>8.9899999999998528</v>
      </c>
      <c r="B907" s="5">
        <f t="shared" si="212"/>
        <v>135.69281736145788</v>
      </c>
      <c r="C907" s="6">
        <f t="shared" si="210"/>
        <v>5233.8658125133752</v>
      </c>
      <c r="D907" s="6">
        <f t="shared" si="218"/>
        <v>27393351.343396295</v>
      </c>
      <c r="E907" s="7">
        <f t="shared" si="219"/>
        <v>6248571.4285714282</v>
      </c>
      <c r="F907" s="7">
        <f t="shared" si="220"/>
        <v>124.97142857142855</v>
      </c>
      <c r="G907" s="7">
        <f t="shared" si="221"/>
        <v>21144779.914824866</v>
      </c>
      <c r="H907" s="6">
        <f t="shared" si="222"/>
        <v>4598.3453453198645</v>
      </c>
      <c r="I907" s="7">
        <f t="shared" si="223"/>
        <v>-5.0853260977990127</v>
      </c>
      <c r="J907" s="7">
        <f t="shared" si="224"/>
        <v>-78.675672273471307</v>
      </c>
      <c r="K907" s="8">
        <f t="shared" si="213"/>
        <v>196.14829234367619</v>
      </c>
      <c r="L907" s="8">
        <f t="shared" si="214"/>
        <v>-8.2382282784343985</v>
      </c>
      <c r="M907" s="8">
        <f t="shared" si="211"/>
        <v>127.45458908302348</v>
      </c>
      <c r="N907" s="8">
        <f t="shared" si="215"/>
        <v>25.000000000000007</v>
      </c>
      <c r="O907" s="8">
        <f t="shared" si="216"/>
        <v>26.615914408752303</v>
      </c>
    </row>
    <row r="908" spans="1:15" x14ac:dyDescent="0.3">
      <c r="A908" s="5">
        <f t="shared" si="217"/>
        <v>8.9999999999998526</v>
      </c>
      <c r="B908" s="5">
        <f t="shared" si="212"/>
        <v>135.6419641004799</v>
      </c>
      <c r="C908" s="6">
        <f t="shared" si="210"/>
        <v>5231.9043295899382</v>
      </c>
      <c r="D908" s="6">
        <f t="shared" si="218"/>
        <v>27372822.913981941</v>
      </c>
      <c r="E908" s="7">
        <f t="shared" si="219"/>
        <v>6248571.4285714282</v>
      </c>
      <c r="F908" s="7">
        <f t="shared" si="220"/>
        <v>124.97142857142855</v>
      </c>
      <c r="G908" s="7">
        <f t="shared" si="221"/>
        <v>21124251.485410511</v>
      </c>
      <c r="H908" s="6">
        <f t="shared" si="222"/>
        <v>4596.1126493386246</v>
      </c>
      <c r="I908" s="7">
        <f t="shared" si="223"/>
        <v>-5.0874962983072667</v>
      </c>
      <c r="J908" s="7">
        <f t="shared" si="224"/>
        <v>-78.642111171124782</v>
      </c>
      <c r="K908" s="8">
        <f t="shared" si="213"/>
        <v>196.232000077566</v>
      </c>
      <c r="L908" s="8">
        <f t="shared" si="214"/>
        <v>-8.2417440032577716</v>
      </c>
      <c r="M908" s="8">
        <f t="shared" si="211"/>
        <v>127.40022009722213</v>
      </c>
      <c r="N908" s="8">
        <f t="shared" si="215"/>
        <v>25.000000000000018</v>
      </c>
      <c r="O908" s="8">
        <f t="shared" si="216"/>
        <v>26.617293909886577</v>
      </c>
    </row>
    <row r="909" spans="1:15" x14ac:dyDescent="0.3">
      <c r="A909" s="5">
        <f t="shared" si="217"/>
        <v>9.0099999999998523</v>
      </c>
      <c r="B909" s="5">
        <f t="shared" si="212"/>
        <v>135.59108913749682</v>
      </c>
      <c r="C909" s="6">
        <f t="shared" si="210"/>
        <v>5229.9420095891628</v>
      </c>
      <c r="D909" s="6">
        <f t="shared" si="218"/>
        <v>27352293.423665531</v>
      </c>
      <c r="E909" s="7">
        <f t="shared" si="219"/>
        <v>6248571.4285714282</v>
      </c>
      <c r="F909" s="7">
        <f t="shared" si="220"/>
        <v>124.97142857142855</v>
      </c>
      <c r="G909" s="7">
        <f t="shared" si="221"/>
        <v>21103721.995094102</v>
      </c>
      <c r="H909" s="6">
        <f t="shared" si="222"/>
        <v>4593.878752763736</v>
      </c>
      <c r="I909" s="7">
        <f t="shared" si="223"/>
        <v>-5.0896694076108693</v>
      </c>
      <c r="J909" s="7">
        <f t="shared" si="224"/>
        <v>-78.608533763683468</v>
      </c>
      <c r="K909" s="8">
        <f t="shared" si="213"/>
        <v>196.3158200078478</v>
      </c>
      <c r="L909" s="8">
        <f t="shared" si="214"/>
        <v>-8.2452644403296063</v>
      </c>
      <c r="M909" s="8">
        <f t="shared" si="211"/>
        <v>127.34582469716722</v>
      </c>
      <c r="N909" s="8">
        <f t="shared" si="215"/>
        <v>25.000000000000018</v>
      </c>
      <c r="O909" s="8">
        <f t="shared" si="216"/>
        <v>26.618675849784875</v>
      </c>
    </row>
    <row r="910" spans="1:15" x14ac:dyDescent="0.3">
      <c r="A910" s="5">
        <f t="shared" si="217"/>
        <v>9.0199999999998521</v>
      </c>
      <c r="B910" s="5">
        <f t="shared" si="212"/>
        <v>135.54019244342072</v>
      </c>
      <c r="C910" s="6">
        <f t="shared" si="210"/>
        <v>5227.9788513890844</v>
      </c>
      <c r="D910" s="6">
        <f t="shared" si="218"/>
        <v>27331762.870571531</v>
      </c>
      <c r="E910" s="7">
        <f t="shared" si="219"/>
        <v>6248571.4285714282</v>
      </c>
      <c r="F910" s="7">
        <f t="shared" si="220"/>
        <v>124.97142857142855</v>
      </c>
      <c r="G910" s="7">
        <f t="shared" si="221"/>
        <v>21083191.442000102</v>
      </c>
      <c r="H910" s="6">
        <f t="shared" si="222"/>
        <v>4591.6436536386509</v>
      </c>
      <c r="I910" s="7">
        <f t="shared" si="223"/>
        <v>-5.0918454323880153</v>
      </c>
      <c r="J910" s="7">
        <f t="shared" si="224"/>
        <v>-78.574940026513673</v>
      </c>
      <c r="K910" s="8">
        <f t="shared" si="213"/>
        <v>196.39975239210915</v>
      </c>
      <c r="L910" s="8">
        <f t="shared" si="214"/>
        <v>-8.2487896004685837</v>
      </c>
      <c r="M910" s="8">
        <f t="shared" si="211"/>
        <v>127.29140284295214</v>
      </c>
      <c r="N910" s="8">
        <f t="shared" si="215"/>
        <v>25.000000000000018</v>
      </c>
      <c r="O910" s="8">
        <f t="shared" si="216"/>
        <v>26.620060235066653</v>
      </c>
    </row>
    <row r="911" spans="1:15" x14ac:dyDescent="0.3">
      <c r="A911" s="5">
        <f t="shared" si="217"/>
        <v>9.0299999999998519</v>
      </c>
      <c r="B911" s="5">
        <f t="shared" si="212"/>
        <v>135.48927398909683</v>
      </c>
      <c r="C911" s="6">
        <f t="shared" si="210"/>
        <v>5226.0148538651629</v>
      </c>
      <c r="D911" s="6">
        <f t="shared" si="218"/>
        <v>27311231.252819318</v>
      </c>
      <c r="E911" s="7">
        <f t="shared" si="219"/>
        <v>6248571.4285714282</v>
      </c>
      <c r="F911" s="7">
        <f t="shared" si="220"/>
        <v>124.97142857142855</v>
      </c>
      <c r="G911" s="7">
        <f t="shared" si="221"/>
        <v>21062659.824247889</v>
      </c>
      <c r="H911" s="6">
        <f t="shared" si="222"/>
        <v>4589.4073500015111</v>
      </c>
      <c r="I911" s="7">
        <f t="shared" si="223"/>
        <v>-5.0940243793387783</v>
      </c>
      <c r="J911" s="7">
        <f t="shared" si="224"/>
        <v>-78.541329934918537</v>
      </c>
      <c r="K911" s="8">
        <f t="shared" si="213"/>
        <v>196.48379748878145</v>
      </c>
      <c r="L911" s="8">
        <f t="shared" si="214"/>
        <v>-8.2523194945288196</v>
      </c>
      <c r="M911" s="8">
        <f t="shared" si="211"/>
        <v>127.23695449456801</v>
      </c>
      <c r="N911" s="8">
        <f t="shared" si="215"/>
        <v>25</v>
      </c>
      <c r="O911" s="8">
        <f t="shared" si="216"/>
        <v>26.621447072375727</v>
      </c>
    </row>
    <row r="912" spans="1:15" x14ac:dyDescent="0.3">
      <c r="A912" s="5">
        <f t="shared" si="217"/>
        <v>9.0399999999998517</v>
      </c>
      <c r="B912" s="5">
        <f t="shared" si="212"/>
        <v>135.43833374530345</v>
      </c>
      <c r="C912" s="6">
        <f t="shared" si="210"/>
        <v>5224.050015890276</v>
      </c>
      <c r="D912" s="6">
        <f t="shared" si="218"/>
        <v>27290698.568523191</v>
      </c>
      <c r="E912" s="7">
        <f t="shared" si="219"/>
        <v>6248571.4285714282</v>
      </c>
      <c r="F912" s="7">
        <f t="shared" si="220"/>
        <v>124.97142857142855</v>
      </c>
      <c r="G912" s="7">
        <f t="shared" si="221"/>
        <v>21042127.139951762</v>
      </c>
      <c r="H912" s="6">
        <f t="shared" si="222"/>
        <v>4587.1698398851295</v>
      </c>
      <c r="I912" s="7">
        <f t="shared" si="223"/>
        <v>-5.0962062551852156</v>
      </c>
      <c r="J912" s="7">
        <f t="shared" si="224"/>
        <v>-78.507703464137919</v>
      </c>
      <c r="K912" s="8">
        <f t="shared" si="213"/>
        <v>196.56795555714402</v>
      </c>
      <c r="L912" s="8">
        <f t="shared" si="214"/>
        <v>-8.2558541334000477</v>
      </c>
      <c r="M912" s="8">
        <f t="shared" si="211"/>
        <v>127.1824796119034</v>
      </c>
      <c r="N912" s="8">
        <f t="shared" si="215"/>
        <v>25.000000000000004</v>
      </c>
      <c r="O912" s="8">
        <f t="shared" si="216"/>
        <v>26.622836368380447</v>
      </c>
    </row>
    <row r="913" spans="1:15" x14ac:dyDescent="0.3">
      <c r="A913" s="5">
        <f t="shared" si="217"/>
        <v>9.0499999999998515</v>
      </c>
      <c r="B913" s="5">
        <f t="shared" si="212"/>
        <v>135.38737168275159</v>
      </c>
      <c r="C913" s="6">
        <f t="shared" si="210"/>
        <v>5222.0843363347039</v>
      </c>
      <c r="D913" s="6">
        <f t="shared" si="218"/>
        <v>27270164.815792266</v>
      </c>
      <c r="E913" s="7">
        <f t="shared" si="219"/>
        <v>6248571.4285714282</v>
      </c>
      <c r="F913" s="7">
        <f t="shared" si="220"/>
        <v>124.97142857142855</v>
      </c>
      <c r="G913" s="7">
        <f t="shared" si="221"/>
        <v>21021593.387220837</v>
      </c>
      <c r="H913" s="6">
        <f t="shared" si="222"/>
        <v>4584.9311213169649</v>
      </c>
      <c r="I913" s="7">
        <f t="shared" si="223"/>
        <v>-5.0983910666714385</v>
      </c>
      <c r="J913" s="7">
        <f t="shared" si="224"/>
        <v>-78.47406058934807</v>
      </c>
      <c r="K913" s="8">
        <f t="shared" si="213"/>
        <v>196.65222685732689</v>
      </c>
      <c r="L913" s="8">
        <f t="shared" si="214"/>
        <v>-8.2593935280077293</v>
      </c>
      <c r="M913" s="8">
        <f t="shared" si="211"/>
        <v>127.12797815474386</v>
      </c>
      <c r="N913" s="8">
        <f t="shared" si="215"/>
        <v>24.999999999999986</v>
      </c>
      <c r="O913" s="8">
        <f t="shared" si="216"/>
        <v>26.624228129773702</v>
      </c>
    </row>
    <row r="914" spans="1:15" x14ac:dyDescent="0.3">
      <c r="A914" s="5">
        <f t="shared" si="217"/>
        <v>9.0599999999998513</v>
      </c>
      <c r="B914" s="5">
        <f t="shared" si="212"/>
        <v>135.33638777208489</v>
      </c>
      <c r="C914" s="6">
        <f t="shared" si="210"/>
        <v>5220.1178140661314</v>
      </c>
      <c r="D914" s="6">
        <f t="shared" si="218"/>
        <v>27249629.992730565</v>
      </c>
      <c r="E914" s="7">
        <f t="shared" si="219"/>
        <v>6248571.4285714282</v>
      </c>
      <c r="F914" s="7">
        <f t="shared" si="220"/>
        <v>124.97142857142855</v>
      </c>
      <c r="G914" s="7">
        <f t="shared" si="221"/>
        <v>21001058.564159136</v>
      </c>
      <c r="H914" s="6">
        <f t="shared" si="222"/>
        <v>4582.6911923191092</v>
      </c>
      <c r="I914" s="7">
        <f t="shared" si="223"/>
        <v>-5.1005788205637357</v>
      </c>
      <c r="J914" s="7">
        <f t="shared" si="224"/>
        <v>-78.440401285661508</v>
      </c>
      <c r="K914" s="8">
        <f t="shared" si="213"/>
        <v>196.7366116503155</v>
      </c>
      <c r="L914" s="8">
        <f t="shared" si="214"/>
        <v>-8.2629376893132491</v>
      </c>
      <c r="M914" s="8">
        <f t="shared" si="211"/>
        <v>127.07345008277164</v>
      </c>
      <c r="N914" s="8">
        <f t="shared" si="215"/>
        <v>24.999999999999996</v>
      </c>
      <c r="O914" s="8">
        <f t="shared" si="216"/>
        <v>26.62562236327317</v>
      </c>
    </row>
    <row r="915" spans="1:15" x14ac:dyDescent="0.3">
      <c r="A915" s="5">
        <f t="shared" si="217"/>
        <v>9.0699999999998511</v>
      </c>
      <c r="B915" s="5">
        <f t="shared" si="212"/>
        <v>135.28538198387926</v>
      </c>
      <c r="C915" s="6">
        <f t="shared" si="210"/>
        <v>5218.150447949628</v>
      </c>
      <c r="D915" s="6">
        <f t="shared" si="218"/>
        <v>27229094.097436901</v>
      </c>
      <c r="E915" s="7">
        <f t="shared" si="219"/>
        <v>6248571.4285714282</v>
      </c>
      <c r="F915" s="7">
        <f t="shared" si="220"/>
        <v>124.97142857142855</v>
      </c>
      <c r="G915" s="7">
        <f t="shared" si="221"/>
        <v>20980522.668865472</v>
      </c>
      <c r="H915" s="6">
        <f t="shared" si="222"/>
        <v>4580.4500509082591</v>
      </c>
      <c r="I915" s="7">
        <f t="shared" si="223"/>
        <v>-5.1027695236506441</v>
      </c>
      <c r="J915" s="7">
        <f t="shared" si="224"/>
        <v>-78.406725528126671</v>
      </c>
      <c r="K915" s="8">
        <f t="shared" si="213"/>
        <v>196.8211101979534</v>
      </c>
      <c r="L915" s="8">
        <f t="shared" si="214"/>
        <v>-8.2664866283140412</v>
      </c>
      <c r="M915" s="8">
        <f t="shared" si="211"/>
        <v>127.01889535556522</v>
      </c>
      <c r="N915" s="8">
        <f t="shared" si="215"/>
        <v>25.000000000000014</v>
      </c>
      <c r="O915" s="8">
        <f t="shared" si="216"/>
        <v>26.62701907562132</v>
      </c>
    </row>
    <row r="916" spans="1:15" x14ac:dyDescent="0.3">
      <c r="A916" s="5">
        <f t="shared" si="217"/>
        <v>9.0799999999998509</v>
      </c>
      <c r="B916" s="5">
        <f t="shared" si="212"/>
        <v>135.23435428864275</v>
      </c>
      <c r="C916" s="6">
        <f t="shared" si="210"/>
        <v>5216.1822368476487</v>
      </c>
      <c r="D916" s="6">
        <f t="shared" si="218"/>
        <v>27208557.128004938</v>
      </c>
      <c r="E916" s="7">
        <f t="shared" si="219"/>
        <v>6248571.4285714282</v>
      </c>
      <c r="F916" s="7">
        <f t="shared" si="220"/>
        <v>124.97142857142855</v>
      </c>
      <c r="G916" s="7">
        <f t="shared" si="221"/>
        <v>20959985.699433509</v>
      </c>
      <c r="H916" s="6">
        <f t="shared" si="222"/>
        <v>4578.2076950957025</v>
      </c>
      <c r="I916" s="7">
        <f t="shared" si="223"/>
        <v>-5.1049631827430542</v>
      </c>
      <c r="J916" s="7">
        <f t="shared" si="224"/>
        <v>-78.373033291727793</v>
      </c>
      <c r="K916" s="8">
        <f t="shared" si="213"/>
        <v>196.90572276294637</v>
      </c>
      <c r="L916" s="8">
        <f t="shared" si="214"/>
        <v>-8.2700403560437472</v>
      </c>
      <c r="M916" s="8">
        <f t="shared" si="211"/>
        <v>126.964313932599</v>
      </c>
      <c r="N916" s="8">
        <f t="shared" si="215"/>
        <v>25.000000000000025</v>
      </c>
      <c r="O916" s="8">
        <f t="shared" si="216"/>
        <v>26.628418273585556</v>
      </c>
    </row>
    <row r="917" spans="1:15" x14ac:dyDescent="0.3">
      <c r="A917" s="5">
        <f t="shared" si="217"/>
        <v>9.0899999999998506</v>
      </c>
      <c r="B917" s="5">
        <f t="shared" si="212"/>
        <v>135.18330465681532</v>
      </c>
      <c r="C917" s="6">
        <f t="shared" si="210"/>
        <v>5214.2131796200192</v>
      </c>
      <c r="D917" s="6">
        <f t="shared" si="218"/>
        <v>27188019.082523111</v>
      </c>
      <c r="E917" s="7">
        <f t="shared" si="219"/>
        <v>6248571.4285714282</v>
      </c>
      <c r="F917" s="7">
        <f t="shared" si="220"/>
        <v>124.97142857142855</v>
      </c>
      <c r="G917" s="7">
        <f t="shared" si="221"/>
        <v>20939447.653951682</v>
      </c>
      <c r="H917" s="6">
        <f t="shared" si="222"/>
        <v>4575.9641228872943</v>
      </c>
      <c r="I917" s="7">
        <f t="shared" si="223"/>
        <v>-5.1071598046742981</v>
      </c>
      <c r="J917" s="7">
        <f t="shared" si="224"/>
        <v>-78.33932455138455</v>
      </c>
      <c r="K917" s="8">
        <f t="shared" si="213"/>
        <v>196.99044960886576</v>
      </c>
      <c r="L917" s="8">
        <f t="shared" si="214"/>
        <v>-8.2735988835723617</v>
      </c>
      <c r="M917" s="8">
        <f t="shared" si="211"/>
        <v>126.90970577324296</v>
      </c>
      <c r="N917" s="8">
        <f t="shared" si="215"/>
        <v>24.999999999999996</v>
      </c>
      <c r="O917" s="8">
        <f t="shared" si="216"/>
        <v>26.629819963958326</v>
      </c>
    </row>
    <row r="918" spans="1:15" x14ac:dyDescent="0.3">
      <c r="A918" s="5">
        <f t="shared" si="217"/>
        <v>9.0999999999998504</v>
      </c>
      <c r="B918" s="5">
        <f t="shared" si="212"/>
        <v>135.13223305876858</v>
      </c>
      <c r="C918" s="6">
        <f t="shared" si="210"/>
        <v>5212.2432751239303</v>
      </c>
      <c r="D918" s="6">
        <f t="shared" si="218"/>
        <v>27167479.959074635</v>
      </c>
      <c r="E918" s="7">
        <f t="shared" si="219"/>
        <v>6248571.4285714282</v>
      </c>
      <c r="F918" s="7">
        <f t="shared" si="220"/>
        <v>124.97142857142855</v>
      </c>
      <c r="G918" s="7">
        <f t="shared" si="221"/>
        <v>20918908.530503206</v>
      </c>
      <c r="H918" s="6">
        <f t="shared" si="222"/>
        <v>4573.7193322834319</v>
      </c>
      <c r="I918" s="7">
        <f t="shared" si="223"/>
        <v>-5.1093593963002855</v>
      </c>
      <c r="J918" s="7">
        <f t="shared" si="224"/>
        <v>-78.305599281951928</v>
      </c>
      <c r="K918" s="8">
        <f t="shared" si="213"/>
        <v>197.07529100015387</v>
      </c>
      <c r="L918" s="8">
        <f t="shared" si="214"/>
        <v>-8.2771622220064618</v>
      </c>
      <c r="M918" s="8">
        <f t="shared" si="211"/>
        <v>126.85507083676211</v>
      </c>
      <c r="N918" s="8">
        <f t="shared" si="215"/>
        <v>25.000000000000025</v>
      </c>
      <c r="O918" s="8">
        <f t="shared" si="216"/>
        <v>26.631224153557429</v>
      </c>
    </row>
    <row r="919" spans="1:15" x14ac:dyDescent="0.3">
      <c r="A919" s="5">
        <f t="shared" si="217"/>
        <v>9.1099999999998502</v>
      </c>
      <c r="B919" s="5">
        <f t="shared" si="212"/>
        <v>135.08113946480557</v>
      </c>
      <c r="C919" s="6">
        <f t="shared" si="210"/>
        <v>5210.2725222139288</v>
      </c>
      <c r="D919" s="6">
        <f t="shared" si="218"/>
        <v>27146939.755737495</v>
      </c>
      <c r="E919" s="7">
        <f t="shared" si="219"/>
        <v>6248571.4285714282</v>
      </c>
      <c r="F919" s="7">
        <f t="shared" si="220"/>
        <v>124.97142857142855</v>
      </c>
      <c r="G919" s="7">
        <f t="shared" si="221"/>
        <v>20898368.327166066</v>
      </c>
      <c r="H919" s="6">
        <f t="shared" si="222"/>
        <v>4571.4733212790452</v>
      </c>
      <c r="I919" s="7">
        <f t="shared" si="223"/>
        <v>-5.1115619644995274</v>
      </c>
      <c r="J919" s="7">
        <f t="shared" si="224"/>
        <v>-78.271857458219969</v>
      </c>
      <c r="K919" s="8">
        <f t="shared" si="213"/>
        <v>197.16024720212462</v>
      </c>
      <c r="L919" s="8">
        <f t="shared" si="214"/>
        <v>-8.2807303824892333</v>
      </c>
      <c r="M919" s="8">
        <f t="shared" si="211"/>
        <v>126.80040908231634</v>
      </c>
      <c r="N919" s="8">
        <f t="shared" si="215"/>
        <v>25.000000000000018</v>
      </c>
      <c r="O919" s="8">
        <f t="shared" si="216"/>
        <v>26.632630849225738</v>
      </c>
    </row>
    <row r="920" spans="1:15" x14ac:dyDescent="0.3">
      <c r="A920" s="5">
        <f t="shared" si="217"/>
        <v>9.11999999999985</v>
      </c>
      <c r="B920" s="5">
        <f t="shared" si="212"/>
        <v>135.03002384516057</v>
      </c>
      <c r="C920" s="6">
        <f t="shared" si="210"/>
        <v>5208.3009197419078</v>
      </c>
      <c r="D920" s="6">
        <f t="shared" si="218"/>
        <v>27126398.470584404</v>
      </c>
      <c r="E920" s="7">
        <f t="shared" si="219"/>
        <v>6248571.4285714282</v>
      </c>
      <c r="F920" s="7">
        <f t="shared" si="220"/>
        <v>124.97142857142855</v>
      </c>
      <c r="G920" s="7">
        <f t="shared" si="221"/>
        <v>20877827.042012975</v>
      </c>
      <c r="H920" s="6">
        <f t="shared" si="222"/>
        <v>4569.2260878635643</v>
      </c>
      <c r="I920" s="7">
        <f t="shared" si="223"/>
        <v>-5.1137675161733025</v>
      </c>
      <c r="J920" s="7">
        <f t="shared" si="224"/>
        <v>-78.238099054913491</v>
      </c>
      <c r="K920" s="8">
        <f t="shared" si="213"/>
        <v>197.24531848097024</v>
      </c>
      <c r="L920" s="8">
        <f t="shared" si="214"/>
        <v>-8.2843033762007501</v>
      </c>
      <c r="M920" s="8">
        <f t="shared" si="211"/>
        <v>126.74572046895982</v>
      </c>
      <c r="N920" s="8">
        <f t="shared" si="215"/>
        <v>25.000000000000007</v>
      </c>
      <c r="O920" s="8">
        <f t="shared" si="216"/>
        <v>26.634040057831701</v>
      </c>
    </row>
    <row r="921" spans="1:15" x14ac:dyDescent="0.3">
      <c r="A921" s="5">
        <f t="shared" si="217"/>
        <v>9.1299999999998498</v>
      </c>
      <c r="B921" s="5">
        <f t="shared" si="212"/>
        <v>134.97888616999884</v>
      </c>
      <c r="C921" s="6">
        <f t="shared" si="210"/>
        <v>5206.3284665570982</v>
      </c>
      <c r="D921" s="6">
        <f t="shared" si="218"/>
        <v>27105856.101682786</v>
      </c>
      <c r="E921" s="7">
        <f t="shared" si="219"/>
        <v>6248571.4285714282</v>
      </c>
      <c r="F921" s="7">
        <f t="shared" si="220"/>
        <v>124.97142857142855</v>
      </c>
      <c r="G921" s="7">
        <f t="shared" si="221"/>
        <v>20857284.673111357</v>
      </c>
      <c r="H921" s="6">
        <f t="shared" si="222"/>
        <v>4566.9776300209041</v>
      </c>
      <c r="I921" s="7">
        <f t="shared" si="223"/>
        <v>-5.1159760582457237</v>
      </c>
      <c r="J921" s="7">
        <f t="shared" si="224"/>
        <v>-78.204324046691852</v>
      </c>
      <c r="K921" s="8">
        <f t="shared" si="213"/>
        <v>197.33050510376361</v>
      </c>
      <c r="L921" s="8">
        <f t="shared" si="214"/>
        <v>-8.2878812143580713</v>
      </c>
      <c r="M921" s="8">
        <f t="shared" si="211"/>
        <v>126.69100495564078</v>
      </c>
      <c r="N921" s="8">
        <f t="shared" si="215"/>
        <v>25.000000000000014</v>
      </c>
      <c r="O921" s="8">
        <f t="shared" si="216"/>
        <v>26.635451786269286</v>
      </c>
    </row>
    <row r="922" spans="1:15" x14ac:dyDescent="0.3">
      <c r="A922" s="5">
        <f t="shared" si="217"/>
        <v>9.1399999999998496</v>
      </c>
      <c r="B922" s="5">
        <f t="shared" si="212"/>
        <v>134.92772640941638</v>
      </c>
      <c r="C922" s="6">
        <f t="shared" si="210"/>
        <v>5204.3551615060605</v>
      </c>
      <c r="D922" s="6">
        <f t="shared" si="218"/>
        <v>27085312.647094775</v>
      </c>
      <c r="E922" s="7">
        <f t="shared" si="219"/>
        <v>6248571.4285714282</v>
      </c>
      <c r="F922" s="7">
        <f t="shared" si="220"/>
        <v>124.97142857142855</v>
      </c>
      <c r="G922" s="7">
        <f t="shared" si="221"/>
        <v>20836741.218523346</v>
      </c>
      <c r="H922" s="6">
        <f t="shared" si="222"/>
        <v>4564.7279457294435</v>
      </c>
      <c r="I922" s="7">
        <f t="shared" si="223"/>
        <v>-5.118187597663832</v>
      </c>
      <c r="J922" s="7">
        <f t="shared" si="224"/>
        <v>-78.170532408148759</v>
      </c>
      <c r="K922" s="8">
        <f t="shared" si="213"/>
        <v>197.41580733846209</v>
      </c>
      <c r="L922" s="8">
        <f t="shared" si="214"/>
        <v>-8.2914639082154071</v>
      </c>
      <c r="M922" s="8">
        <f t="shared" si="211"/>
        <v>126.63626250120097</v>
      </c>
      <c r="N922" s="8">
        <f t="shared" si="215"/>
        <v>25.000000000000004</v>
      </c>
      <c r="O922" s="8">
        <f t="shared" si="216"/>
        <v>26.636866041458067</v>
      </c>
    </row>
    <row r="923" spans="1:15" x14ac:dyDescent="0.3">
      <c r="A923" s="5">
        <f t="shared" si="217"/>
        <v>9.1499999999998494</v>
      </c>
      <c r="B923" s="5">
        <f t="shared" si="212"/>
        <v>134.87654453343976</v>
      </c>
      <c r="C923" s="6">
        <f t="shared" si="210"/>
        <v>5202.3810034326762</v>
      </c>
      <c r="D923" s="6">
        <f t="shared" si="218"/>
        <v>27064768.104877178</v>
      </c>
      <c r="E923" s="7">
        <f t="shared" si="219"/>
        <v>6248571.4285714282</v>
      </c>
      <c r="F923" s="7">
        <f t="shared" si="220"/>
        <v>124.97142857142855</v>
      </c>
      <c r="G923" s="7">
        <f t="shared" si="221"/>
        <v>20816196.676305749</v>
      </c>
      <c r="H923" s="6">
        <f t="shared" si="222"/>
        <v>4562.4770329620014</v>
      </c>
      <c r="I923" s="7">
        <f t="shared" si="223"/>
        <v>-5.1204021413977179</v>
      </c>
      <c r="J923" s="7">
        <f t="shared" si="224"/>
        <v>-78.136724113812022</v>
      </c>
      <c r="K923" s="8">
        <f t="shared" si="213"/>
        <v>197.50122545391196</v>
      </c>
      <c r="L923" s="8">
        <f t="shared" si="214"/>
        <v>-8.2950514690643011</v>
      </c>
      <c r="M923" s="8">
        <f t="shared" si="211"/>
        <v>126.58149306437545</v>
      </c>
      <c r="N923" s="8">
        <f t="shared" si="215"/>
        <v>25.000000000000007</v>
      </c>
      <c r="O923" s="8">
        <f t="shared" si="216"/>
        <v>26.638282830343481</v>
      </c>
    </row>
    <row r="924" spans="1:15" x14ac:dyDescent="0.3">
      <c r="A924" s="5">
        <f t="shared" si="217"/>
        <v>9.1599999999998492</v>
      </c>
      <c r="B924" s="5">
        <f t="shared" si="212"/>
        <v>134.82534051202578</v>
      </c>
      <c r="C924" s="6">
        <f t="shared" si="210"/>
        <v>5200.4059911781369</v>
      </c>
      <c r="D924" s="6">
        <f t="shared" si="218"/>
        <v>27044222.473081462</v>
      </c>
      <c r="E924" s="7">
        <f t="shared" si="219"/>
        <v>6248571.4285714282</v>
      </c>
      <c r="F924" s="7">
        <f t="shared" si="220"/>
        <v>124.97142857142855</v>
      </c>
      <c r="G924" s="7">
        <f t="shared" si="221"/>
        <v>20795651.044510033</v>
      </c>
      <c r="H924" s="6">
        <f t="shared" si="222"/>
        <v>4560.2248896858182</v>
      </c>
      <c r="I924" s="7">
        <f t="shared" si="223"/>
        <v>-5.1226196964405943</v>
      </c>
      <c r="J924" s="7">
        <f t="shared" si="224"/>
        <v>-78.102899138143229</v>
      </c>
      <c r="K924" s="8">
        <f t="shared" si="213"/>
        <v>197.58675971985147</v>
      </c>
      <c r="L924" s="8">
        <f t="shared" si="214"/>
        <v>-8.2986439082337604</v>
      </c>
      <c r="M924" s="8">
        <f t="shared" si="211"/>
        <v>126.52669660379202</v>
      </c>
      <c r="N924" s="8">
        <f t="shared" si="215"/>
        <v>25</v>
      </c>
      <c r="O924" s="8">
        <f t="shared" si="216"/>
        <v>26.639702159896796</v>
      </c>
    </row>
    <row r="925" spans="1:15" x14ac:dyDescent="0.3">
      <c r="A925" s="5">
        <f t="shared" si="217"/>
        <v>9.1699999999998489</v>
      </c>
      <c r="B925" s="5">
        <f t="shared" si="212"/>
        <v>134.77411431506138</v>
      </c>
      <c r="C925" s="6">
        <f t="shared" si="210"/>
        <v>5198.4301235809389</v>
      </c>
      <c r="D925" s="6">
        <f t="shared" si="218"/>
        <v>27023675.749753736</v>
      </c>
      <c r="E925" s="7">
        <f t="shared" si="219"/>
        <v>6248571.4285714282</v>
      </c>
      <c r="F925" s="7">
        <f t="shared" si="220"/>
        <v>124.97142857142855</v>
      </c>
      <c r="G925" s="7">
        <f t="shared" si="221"/>
        <v>20775104.321182307</v>
      </c>
      <c r="H925" s="6">
        <f t="shared" si="222"/>
        <v>4557.9715138625324</v>
      </c>
      <c r="I925" s="7">
        <f t="shared" si="223"/>
        <v>-5.1248402698089235</v>
      </c>
      <c r="J925" s="7">
        <f t="shared" si="224"/>
        <v>-78.069057455537632</v>
      </c>
      <c r="K925" s="8">
        <f t="shared" si="213"/>
        <v>197.67241040691562</v>
      </c>
      <c r="L925" s="8">
        <f t="shared" si="214"/>
        <v>-8.3022412370904544</v>
      </c>
      <c r="M925" s="8">
        <f t="shared" si="211"/>
        <v>126.47187307797093</v>
      </c>
      <c r="N925" s="8">
        <f t="shared" si="215"/>
        <v>25.000000000000011</v>
      </c>
      <c r="O925" s="8">
        <f t="shared" si="216"/>
        <v>26.641124037115375</v>
      </c>
    </row>
    <row r="926" spans="1:15" x14ac:dyDescent="0.3">
      <c r="A926" s="5">
        <f t="shared" si="217"/>
        <v>9.1799999999998487</v>
      </c>
      <c r="B926" s="5">
        <f t="shared" si="212"/>
        <v>134.72286591236329</v>
      </c>
      <c r="C926" s="6">
        <f t="shared" si="210"/>
        <v>5196.4533994768699</v>
      </c>
      <c r="D926" s="6">
        <f t="shared" si="218"/>
        <v>27003127.932934716</v>
      </c>
      <c r="E926" s="7">
        <f t="shared" si="219"/>
        <v>6248571.4285714282</v>
      </c>
      <c r="F926" s="7">
        <f t="shared" si="220"/>
        <v>124.97142857142855</v>
      </c>
      <c r="G926" s="7">
        <f t="shared" si="221"/>
        <v>20754556.504363287</v>
      </c>
      <c r="H926" s="6">
        <f t="shared" si="222"/>
        <v>4555.7169034481594</v>
      </c>
      <c r="I926" s="7">
        <f t="shared" si="223"/>
        <v>-5.1270638685424945</v>
      </c>
      <c r="J926" s="7">
        <f t="shared" si="224"/>
        <v>-78.035199040323747</v>
      </c>
      <c r="K926" s="8">
        <f t="shared" si="213"/>
        <v>197.75817778663907</v>
      </c>
      <c r="L926" s="8">
        <f t="shared" si="214"/>
        <v>-8.3058434670388408</v>
      </c>
      <c r="M926" s="8">
        <f t="shared" si="211"/>
        <v>126.41702244532445</v>
      </c>
      <c r="N926" s="8">
        <f t="shared" si="215"/>
        <v>25.000000000000014</v>
      </c>
      <c r="O926" s="8">
        <f t="shared" si="216"/>
        <v>26.642548469022678</v>
      </c>
    </row>
    <row r="927" spans="1:15" x14ac:dyDescent="0.3">
      <c r="A927" s="5">
        <f t="shared" si="217"/>
        <v>9.1899999999998485</v>
      </c>
      <c r="B927" s="5">
        <f t="shared" si="212"/>
        <v>134.67159527367787</v>
      </c>
      <c r="C927" s="6">
        <f t="shared" si="210"/>
        <v>5194.4758176990035</v>
      </c>
      <c r="D927" s="6">
        <f t="shared" si="218"/>
        <v>26982579.02065973</v>
      </c>
      <c r="E927" s="7">
        <f t="shared" si="219"/>
        <v>6248571.4285714282</v>
      </c>
      <c r="F927" s="7">
        <f t="shared" si="220"/>
        <v>124.97142857142855</v>
      </c>
      <c r="G927" s="7">
        <f t="shared" si="221"/>
        <v>20734007.592088301</v>
      </c>
      <c r="H927" s="6">
        <f t="shared" si="222"/>
        <v>4553.461056393071</v>
      </c>
      <c r="I927" s="7">
        <f t="shared" si="223"/>
        <v>-5.1292904997045365</v>
      </c>
      <c r="J927" s="7">
        <f t="shared" si="224"/>
        <v>-78.0013238667633</v>
      </c>
      <c r="K927" s="8">
        <f t="shared" si="213"/>
        <v>197.84406213146067</v>
      </c>
      <c r="L927" s="8">
        <f t="shared" si="214"/>
        <v>-8.3094506095213472</v>
      </c>
      <c r="M927" s="8">
        <f t="shared" si="211"/>
        <v>126.36214466415652</v>
      </c>
      <c r="N927" s="8">
        <f t="shared" si="215"/>
        <v>25.000000000000004</v>
      </c>
      <c r="O927" s="8">
        <f t="shared" si="216"/>
        <v>26.643975462668447</v>
      </c>
    </row>
    <row r="928" spans="1:15" x14ac:dyDescent="0.3">
      <c r="A928" s="5">
        <f t="shared" si="217"/>
        <v>9.1999999999998483</v>
      </c>
      <c r="B928" s="5">
        <f t="shared" si="212"/>
        <v>134.62030236868083</v>
      </c>
      <c r="C928" s="6">
        <f t="shared" si="210"/>
        <v>5192.4973770776887</v>
      </c>
      <c r="D928" s="6">
        <f t="shared" si="218"/>
        <v>26962029.010958675</v>
      </c>
      <c r="E928" s="7">
        <f t="shared" si="219"/>
        <v>6248571.4285714282</v>
      </c>
      <c r="F928" s="7">
        <f t="shared" si="220"/>
        <v>124.97142857142855</v>
      </c>
      <c r="G928" s="7">
        <f t="shared" si="221"/>
        <v>20713457.582387246</v>
      </c>
      <c r="H928" s="6">
        <f t="shared" si="222"/>
        <v>4551.203970641971</v>
      </c>
      <c r="I928" s="7">
        <f t="shared" si="223"/>
        <v>-5.1315201703818305</v>
      </c>
      <c r="J928" s="7">
        <f t="shared" si="224"/>
        <v>-77.967431909050788</v>
      </c>
      <c r="K928" s="8">
        <f t="shared" si="213"/>
        <v>197.93006371472774</v>
      </c>
      <c r="L928" s="8">
        <f t="shared" si="214"/>
        <v>-8.3130626760185642</v>
      </c>
      <c r="M928" s="8">
        <f t="shared" si="211"/>
        <v>126.30723969266226</v>
      </c>
      <c r="N928" s="8">
        <f t="shared" si="215"/>
        <v>25.000000000000028</v>
      </c>
      <c r="O928" s="8">
        <f t="shared" si="216"/>
        <v>26.645405025128909</v>
      </c>
    </row>
    <row r="929" spans="1:15" x14ac:dyDescent="0.3">
      <c r="A929" s="5">
        <f t="shared" si="217"/>
        <v>9.2099999999998481</v>
      </c>
      <c r="B929" s="5">
        <f t="shared" si="212"/>
        <v>134.568987166977</v>
      </c>
      <c r="C929" s="6">
        <f t="shared" si="210"/>
        <v>5190.5180764405413</v>
      </c>
      <c r="D929" s="6">
        <f t="shared" si="218"/>
        <v>26941477.901856016</v>
      </c>
      <c r="E929" s="7">
        <f t="shared" si="219"/>
        <v>6248571.4285714282</v>
      </c>
      <c r="F929" s="7">
        <f t="shared" si="220"/>
        <v>124.97142857142855</v>
      </c>
      <c r="G929" s="7">
        <f t="shared" si="221"/>
        <v>20692906.473284587</v>
      </c>
      <c r="H929" s="6">
        <f t="shared" si="222"/>
        <v>4548.9456441338789</v>
      </c>
      <c r="I929" s="7">
        <f t="shared" si="223"/>
        <v>-5.1337528876847713</v>
      </c>
      <c r="J929" s="7">
        <f t="shared" si="224"/>
        <v>-77.933523141313387</v>
      </c>
      <c r="K929" s="8">
        <f t="shared" si="213"/>
        <v>198.01618281069833</v>
      </c>
      <c r="L929" s="8">
        <f t="shared" si="214"/>
        <v>-8.3166796780493293</v>
      </c>
      <c r="M929" s="8">
        <f t="shared" si="211"/>
        <v>126.25230748892767</v>
      </c>
      <c r="N929" s="8">
        <f t="shared" si="215"/>
        <v>25</v>
      </c>
      <c r="O929" s="8">
        <f t="shared" si="216"/>
        <v>26.646837163506632</v>
      </c>
    </row>
    <row r="930" spans="1:15" x14ac:dyDescent="0.3">
      <c r="A930" s="5">
        <f t="shared" si="217"/>
        <v>9.2199999999998479</v>
      </c>
      <c r="B930" s="5">
        <f t="shared" si="212"/>
        <v>134.51764963810015</v>
      </c>
      <c r="C930" s="6">
        <f t="shared" si="210"/>
        <v>5188.5379146124342</v>
      </c>
      <c r="D930" s="6">
        <f t="shared" si="218"/>
        <v>26920925.691370748</v>
      </c>
      <c r="E930" s="7">
        <f t="shared" si="219"/>
        <v>6248571.4285714282</v>
      </c>
      <c r="F930" s="7">
        <f t="shared" si="220"/>
        <v>124.97142857142855</v>
      </c>
      <c r="G930" s="7">
        <f t="shared" si="221"/>
        <v>20672354.262799319</v>
      </c>
      <c r="H930" s="6">
        <f t="shared" si="222"/>
        <v>4546.686074802099</v>
      </c>
      <c r="I930" s="7">
        <f t="shared" si="223"/>
        <v>-5.1359886587475385</v>
      </c>
      <c r="J930" s="7">
        <f t="shared" si="224"/>
        <v>-77.899597537610589</v>
      </c>
      <c r="K930" s="8">
        <f t="shared" si="213"/>
        <v>198.1024196945479</v>
      </c>
      <c r="L930" s="8">
        <f t="shared" si="214"/>
        <v>-8.3203016271710108</v>
      </c>
      <c r="M930" s="8">
        <f t="shared" si="211"/>
        <v>126.19734801092915</v>
      </c>
      <c r="N930" s="8">
        <f t="shared" si="215"/>
        <v>25.000000000000007</v>
      </c>
      <c r="O930" s="8">
        <f t="shared" si="216"/>
        <v>26.648271884931066</v>
      </c>
    </row>
    <row r="931" spans="1:15" x14ac:dyDescent="0.3">
      <c r="A931" s="5">
        <f t="shared" si="217"/>
        <v>9.2299999999998477</v>
      </c>
      <c r="B931" s="5">
        <f t="shared" si="212"/>
        <v>134.46628975151268</v>
      </c>
      <c r="C931" s="6">
        <f t="shared" si="210"/>
        <v>5186.5568904154889</v>
      </c>
      <c r="D931" s="6">
        <f t="shared" si="218"/>
        <v>26900372.377516385</v>
      </c>
      <c r="E931" s="7">
        <f t="shared" si="219"/>
        <v>6248571.4285714282</v>
      </c>
      <c r="F931" s="7">
        <f t="shared" si="220"/>
        <v>124.97142857142855</v>
      </c>
      <c r="G931" s="7">
        <f t="shared" si="221"/>
        <v>20651800.948944956</v>
      </c>
      <c r="H931" s="6">
        <f t="shared" si="222"/>
        <v>4544.4252605742076</v>
      </c>
      <c r="I931" s="7">
        <f t="shared" si="223"/>
        <v>-5.1382274907281316</v>
      </c>
      <c r="J931" s="7">
        <f t="shared" si="224"/>
        <v>-77.865655071934043</v>
      </c>
      <c r="K931" s="8">
        <f t="shared" si="213"/>
        <v>198.18877464237079</v>
      </c>
      <c r="L931" s="8">
        <f t="shared" si="214"/>
        <v>-8.3239285349795722</v>
      </c>
      <c r="M931" s="8">
        <f t="shared" si="211"/>
        <v>126.1423612165331</v>
      </c>
      <c r="N931" s="8">
        <f t="shared" si="215"/>
        <v>25.000000000000011</v>
      </c>
      <c r="O931" s="8">
        <f t="shared" si="216"/>
        <v>26.649709196558277</v>
      </c>
    </row>
    <row r="932" spans="1:15" x14ac:dyDescent="0.3">
      <c r="A932" s="5">
        <f t="shared" si="217"/>
        <v>9.2399999999998474</v>
      </c>
      <c r="B932" s="5">
        <f t="shared" si="212"/>
        <v>134.41490747660541</v>
      </c>
      <c r="C932" s="6">
        <f t="shared" si="210"/>
        <v>5184.5750026690657</v>
      </c>
      <c r="D932" s="6">
        <f t="shared" si="218"/>
        <v>26879817.958300944</v>
      </c>
      <c r="E932" s="7">
        <f t="shared" si="219"/>
        <v>6248571.4285714282</v>
      </c>
      <c r="F932" s="7">
        <f t="shared" si="220"/>
        <v>124.97142857142855</v>
      </c>
      <c r="G932" s="7">
        <f t="shared" si="221"/>
        <v>20631246.529729515</v>
      </c>
      <c r="H932" s="6">
        <f t="shared" si="222"/>
        <v>4542.1631993720257</v>
      </c>
      <c r="I932" s="7">
        <f t="shared" si="223"/>
        <v>-5.140469390808506</v>
      </c>
      <c r="J932" s="7">
        <f t="shared" si="224"/>
        <v>-77.8316957182072</v>
      </c>
      <c r="K932" s="8">
        <f t="shared" si="213"/>
        <v>198.27524793118522</v>
      </c>
      <c r="L932" s="8">
        <f t="shared" si="214"/>
        <v>-8.3275604131097776</v>
      </c>
      <c r="M932" s="8">
        <f t="shared" si="211"/>
        <v>126.08734706349563</v>
      </c>
      <c r="N932" s="8">
        <f t="shared" si="215"/>
        <v>24.999999999999993</v>
      </c>
      <c r="O932" s="8">
        <f t="shared" si="216"/>
        <v>26.651149105571257</v>
      </c>
    </row>
    <row r="933" spans="1:15" x14ac:dyDescent="0.3">
      <c r="A933" s="5">
        <f t="shared" si="217"/>
        <v>9.2499999999998472</v>
      </c>
      <c r="B933" s="5">
        <f t="shared" si="212"/>
        <v>134.36350278269731</v>
      </c>
      <c r="C933" s="6">
        <f t="shared" si="210"/>
        <v>5182.592250189753</v>
      </c>
      <c r="D933" s="6">
        <f t="shared" si="218"/>
        <v>26859262.431726888</v>
      </c>
      <c r="E933" s="7">
        <f t="shared" si="219"/>
        <v>6248571.4285714282</v>
      </c>
      <c r="F933" s="7">
        <f t="shared" si="220"/>
        <v>124.97142857142855</v>
      </c>
      <c r="G933" s="7">
        <f t="shared" si="221"/>
        <v>20610691.003155459</v>
      </c>
      <c r="H933" s="6">
        <f t="shared" si="222"/>
        <v>4539.8998891115934</v>
      </c>
      <c r="I933" s="7">
        <f t="shared" si="223"/>
        <v>-5.1427143661946939</v>
      </c>
      <c r="J933" s="7">
        <f t="shared" si="224"/>
        <v>-77.797719450285143</v>
      </c>
      <c r="K933" s="8">
        <f t="shared" si="213"/>
        <v>198.36183983893818</v>
      </c>
      <c r="L933" s="8">
        <f t="shared" si="214"/>
        <v>-8.3311972732354036</v>
      </c>
      <c r="M933" s="8">
        <f t="shared" si="211"/>
        <v>126.03230550946191</v>
      </c>
      <c r="N933" s="8">
        <f t="shared" si="215"/>
        <v>25.000000000000007</v>
      </c>
      <c r="O933" s="8">
        <f t="shared" si="216"/>
        <v>26.652591619180129</v>
      </c>
    </row>
    <row r="934" spans="1:15" x14ac:dyDescent="0.3">
      <c r="A934" s="5">
        <f t="shared" si="217"/>
        <v>9.259999999999847</v>
      </c>
      <c r="B934" s="5">
        <f t="shared" si="212"/>
        <v>134.31207563903536</v>
      </c>
      <c r="C934" s="6">
        <f t="shared" si="210"/>
        <v>5180.6086317913632</v>
      </c>
      <c r="D934" s="6">
        <f t="shared" si="218"/>
        <v>26838705.795791179</v>
      </c>
      <c r="E934" s="7">
        <f t="shared" si="219"/>
        <v>6248571.4285714282</v>
      </c>
      <c r="F934" s="7">
        <f t="shared" si="220"/>
        <v>124.97142857142855</v>
      </c>
      <c r="G934" s="7">
        <f t="shared" si="221"/>
        <v>20590134.36721975</v>
      </c>
      <c r="H934" s="6">
        <f t="shared" si="222"/>
        <v>4537.6353277031585</v>
      </c>
      <c r="I934" s="7">
        <f t="shared" si="223"/>
        <v>-5.1449624241168657</v>
      </c>
      <c r="J934" s="7">
        <f t="shared" si="224"/>
        <v>-77.763726241954345</v>
      </c>
      <c r="K934" s="8">
        <f t="shared" si="213"/>
        <v>198.44855064450766</v>
      </c>
      <c r="L934" s="8">
        <f t="shared" si="214"/>
        <v>-8.334839127069321</v>
      </c>
      <c r="M934" s="8">
        <f t="shared" si="211"/>
        <v>125.97723651196604</v>
      </c>
      <c r="N934" s="8">
        <f t="shared" si="215"/>
        <v>25.000000000000011</v>
      </c>
      <c r="O934" s="8">
        <f t="shared" si="216"/>
        <v>26.654036744622051</v>
      </c>
    </row>
    <row r="935" spans="1:15" x14ac:dyDescent="0.3">
      <c r="A935" s="5">
        <f t="shared" si="217"/>
        <v>9.2699999999998468</v>
      </c>
      <c r="B935" s="5">
        <f t="shared" si="212"/>
        <v>134.26062601479418</v>
      </c>
      <c r="C935" s="6">
        <f t="shared" si="210"/>
        <v>5178.6241462849184</v>
      </c>
      <c r="D935" s="6">
        <f t="shared" si="218"/>
        <v>26818148.048485201</v>
      </c>
      <c r="E935" s="7">
        <f t="shared" si="219"/>
        <v>6248571.4285714282</v>
      </c>
      <c r="F935" s="7">
        <f t="shared" si="220"/>
        <v>124.97142857142855</v>
      </c>
      <c r="G935" s="7">
        <f t="shared" si="221"/>
        <v>20569576.619913772</v>
      </c>
      <c r="H935" s="6">
        <f t="shared" si="222"/>
        <v>4535.3695130511442</v>
      </c>
      <c r="I935" s="7">
        <f t="shared" si="223"/>
        <v>-5.1472135718294707</v>
      </c>
      <c r="J935" s="7">
        <f t="shared" si="224"/>
        <v>-77.729716066932383</v>
      </c>
      <c r="K935" s="8">
        <f t="shared" si="213"/>
        <v>198.53538062770815</v>
      </c>
      <c r="L935" s="8">
        <f t="shared" si="214"/>
        <v>-8.3384859863637413</v>
      </c>
      <c r="M935" s="8">
        <f t="shared" si="211"/>
        <v>125.92214002843045</v>
      </c>
      <c r="N935" s="8">
        <f t="shared" si="215"/>
        <v>25.000000000000004</v>
      </c>
      <c r="O935" s="8">
        <f t="shared" si="216"/>
        <v>26.655484489161541</v>
      </c>
    </row>
    <row r="936" spans="1:15" x14ac:dyDescent="0.3">
      <c r="A936" s="5">
        <f t="shared" si="217"/>
        <v>9.2799999999998466</v>
      </c>
      <c r="B936" s="5">
        <f t="shared" si="212"/>
        <v>134.2091538790759</v>
      </c>
      <c r="C936" s="6">
        <f t="shared" si="210"/>
        <v>5176.6387924786413</v>
      </c>
      <c r="D936" s="6">
        <f t="shared" si="218"/>
        <v>26797589.187794726</v>
      </c>
      <c r="E936" s="7">
        <f t="shared" si="219"/>
        <v>6248571.4285714282</v>
      </c>
      <c r="F936" s="7">
        <f t="shared" si="220"/>
        <v>124.97142857142855</v>
      </c>
      <c r="G936" s="7">
        <f t="shared" si="221"/>
        <v>20549017.759223297</v>
      </c>
      <c r="H936" s="6">
        <f t="shared" si="222"/>
        <v>4533.1024430541274</v>
      </c>
      <c r="I936" s="7">
        <f t="shared" si="223"/>
        <v>-5.1494678166113372</v>
      </c>
      <c r="J936" s="7">
        <f t="shared" si="224"/>
        <v>-77.695688898867616</v>
      </c>
      <c r="K936" s="8">
        <f t="shared" si="213"/>
        <v>198.62233006929443</v>
      </c>
      <c r="L936" s="8">
        <f t="shared" si="214"/>
        <v>-8.3421378629103646</v>
      </c>
      <c r="M936" s="8">
        <f t="shared" si="211"/>
        <v>125.86701601616554</v>
      </c>
      <c r="N936" s="8">
        <f t="shared" si="215"/>
        <v>25</v>
      </c>
      <c r="O936" s="8">
        <f t="shared" si="216"/>
        <v>26.656934860090541</v>
      </c>
    </row>
    <row r="937" spans="1:15" x14ac:dyDescent="0.3">
      <c r="A937" s="5">
        <f t="shared" si="217"/>
        <v>9.2899999999998464</v>
      </c>
      <c r="B937" s="5">
        <f t="shared" si="212"/>
        <v>134.15765920090979</v>
      </c>
      <c r="C937" s="6">
        <f t="shared" si="210"/>
        <v>5174.6525691779489</v>
      </c>
      <c r="D937" s="6">
        <f t="shared" si="218"/>
        <v>26777029.211699948</v>
      </c>
      <c r="E937" s="7">
        <f t="shared" si="219"/>
        <v>6248571.4285714282</v>
      </c>
      <c r="F937" s="7">
        <f t="shared" si="220"/>
        <v>124.97142857142855</v>
      </c>
      <c r="G937" s="7">
        <f t="shared" si="221"/>
        <v>20528457.783128519</v>
      </c>
      <c r="H937" s="6">
        <f t="shared" si="222"/>
        <v>4530.8341156048209</v>
      </c>
      <c r="I937" s="7">
        <f t="shared" si="223"/>
        <v>-5.1517251657657708</v>
      </c>
      <c r="J937" s="7">
        <f t="shared" si="224"/>
        <v>-77.661644711339051</v>
      </c>
      <c r="K937" s="8">
        <f t="shared" si="213"/>
        <v>198.70939925096545</v>
      </c>
      <c r="L937" s="8">
        <f t="shared" si="214"/>
        <v>-8.3457947685405482</v>
      </c>
      <c r="M937" s="8">
        <f t="shared" si="211"/>
        <v>125.81186443236925</v>
      </c>
      <c r="N937" s="8">
        <f t="shared" si="215"/>
        <v>25</v>
      </c>
      <c r="O937" s="8">
        <f t="shared" si="216"/>
        <v>26.658387864728542</v>
      </c>
    </row>
    <row r="938" spans="1:15" x14ac:dyDescent="0.3">
      <c r="A938" s="5">
        <f t="shared" si="217"/>
        <v>9.2999999999998462</v>
      </c>
      <c r="B938" s="5">
        <f t="shared" si="212"/>
        <v>134.10614194925213</v>
      </c>
      <c r="C938" s="6">
        <f t="shared" si="210"/>
        <v>5172.6654751854394</v>
      </c>
      <c r="D938" s="6">
        <f t="shared" si="218"/>
        <v>26756468.118175406</v>
      </c>
      <c r="E938" s="7">
        <f t="shared" si="219"/>
        <v>6248571.4285714282</v>
      </c>
      <c r="F938" s="7">
        <f t="shared" si="220"/>
        <v>124.97142857142855</v>
      </c>
      <c r="G938" s="7">
        <f t="shared" si="221"/>
        <v>20507896.689603977</v>
      </c>
      <c r="H938" s="6">
        <f t="shared" si="222"/>
        <v>4528.5645285900455</v>
      </c>
      <c r="I938" s="7">
        <f t="shared" si="223"/>
        <v>-5.1539856266206652</v>
      </c>
      <c r="J938" s="7">
        <f t="shared" si="224"/>
        <v>-77.627583477855978</v>
      </c>
      <c r="K938" s="8">
        <f t="shared" si="213"/>
        <v>198.79658845536849</v>
      </c>
      <c r="L938" s="8">
        <f t="shared" si="214"/>
        <v>-8.3494567151254753</v>
      </c>
      <c r="M938" s="8">
        <f t="shared" si="211"/>
        <v>125.75668523412666</v>
      </c>
      <c r="N938" s="8">
        <f t="shared" si="215"/>
        <v>24.999999999999993</v>
      </c>
      <c r="O938" s="8">
        <f t="shared" si="216"/>
        <v>26.659843510422707</v>
      </c>
    </row>
    <row r="939" spans="1:15" x14ac:dyDescent="0.3">
      <c r="A939" s="5">
        <f t="shared" si="217"/>
        <v>9.309999999999846</v>
      </c>
      <c r="B939" s="5">
        <f t="shared" si="212"/>
        <v>134.05460209298593</v>
      </c>
      <c r="C939" s="6">
        <f t="shared" si="210"/>
        <v>5170.6775093008855</v>
      </c>
      <c r="D939" s="6">
        <f t="shared" si="218"/>
        <v>26735905.90519001</v>
      </c>
      <c r="E939" s="7">
        <f t="shared" si="219"/>
        <v>6248571.4285714282</v>
      </c>
      <c r="F939" s="7">
        <f t="shared" si="220"/>
        <v>124.97142857142855</v>
      </c>
      <c r="G939" s="7">
        <f t="shared" si="221"/>
        <v>20487334.476618581</v>
      </c>
      <c r="H939" s="6">
        <f t="shared" si="222"/>
        <v>4526.2936798907094</v>
      </c>
      <c r="I939" s="7">
        <f t="shared" si="223"/>
        <v>-5.1562492065286163</v>
      </c>
      <c r="J939" s="7">
        <f t="shared" si="224"/>
        <v>-77.593505171857757</v>
      </c>
      <c r="K939" s="8">
        <f t="shared" si="213"/>
        <v>198.88389796610377</v>
      </c>
      <c r="L939" s="8">
        <f t="shared" si="214"/>
        <v>-8.3531237145763573</v>
      </c>
      <c r="M939" s="8">
        <f t="shared" si="211"/>
        <v>125.70147837840958</v>
      </c>
      <c r="N939" s="8">
        <f t="shared" si="215"/>
        <v>25.000000000000011</v>
      </c>
      <c r="O939" s="8">
        <f t="shared" si="216"/>
        <v>26.661301804548057</v>
      </c>
    </row>
    <row r="940" spans="1:15" x14ac:dyDescent="0.3">
      <c r="A940" s="5">
        <f t="shared" si="217"/>
        <v>9.3199999999998457</v>
      </c>
      <c r="B940" s="5">
        <f t="shared" si="212"/>
        <v>134.00303960092066</v>
      </c>
      <c r="C940" s="6">
        <f t="shared" si="210"/>
        <v>5168.6886703212249</v>
      </c>
      <c r="D940" s="6">
        <f t="shared" si="218"/>
        <v>26715342.570706993</v>
      </c>
      <c r="E940" s="7">
        <f t="shared" si="219"/>
        <v>6248571.4285714282</v>
      </c>
      <c r="F940" s="7">
        <f t="shared" si="220"/>
        <v>124.97142857142855</v>
      </c>
      <c r="G940" s="7">
        <f t="shared" si="221"/>
        <v>20466771.142135564</v>
      </c>
      <c r="H940" s="6">
        <f t="shared" si="222"/>
        <v>4524.0215673817875</v>
      </c>
      <c r="I940" s="7">
        <f t="shared" si="223"/>
        <v>-5.1585159128670126</v>
      </c>
      <c r="J940" s="7">
        <f t="shared" si="224"/>
        <v>-77.559409766713657</v>
      </c>
      <c r="K940" s="8">
        <f t="shared" si="213"/>
        <v>198.97132806772763</v>
      </c>
      <c r="L940" s="8">
        <f t="shared" si="214"/>
        <v>-8.3567957788445586</v>
      </c>
      <c r="M940" s="8">
        <f t="shared" si="211"/>
        <v>125.6462438220761</v>
      </c>
      <c r="N940" s="8">
        <f t="shared" si="215"/>
        <v>25</v>
      </c>
      <c r="O940" s="8">
        <f t="shared" si="216"/>
        <v>26.662762754507483</v>
      </c>
    </row>
    <row r="941" spans="1:15" x14ac:dyDescent="0.3">
      <c r="A941" s="5">
        <f t="shared" si="217"/>
        <v>9.3299999999998455</v>
      </c>
      <c r="B941" s="5">
        <f t="shared" si="212"/>
        <v>133.95145444179198</v>
      </c>
      <c r="C941" s="6">
        <f t="shared" si="210"/>
        <v>5166.6989570405476</v>
      </c>
      <c r="D941" s="6">
        <f t="shared" si="218"/>
        <v>26694778.112683881</v>
      </c>
      <c r="E941" s="7">
        <f t="shared" si="219"/>
        <v>6248571.4285714282</v>
      </c>
      <c r="F941" s="7">
        <f t="shared" si="220"/>
        <v>124.97142857142855</v>
      </c>
      <c r="G941" s="7">
        <f t="shared" si="221"/>
        <v>20446206.684112452</v>
      </c>
      <c r="H941" s="6">
        <f t="shared" si="222"/>
        <v>4521.7481889322908</v>
      </c>
      <c r="I941" s="7">
        <f t="shared" si="223"/>
        <v>-5.1607857530381791</v>
      </c>
      <c r="J941" s="7">
        <f t="shared" si="224"/>
        <v>-77.525297235722306</v>
      </c>
      <c r="K941" s="8">
        <f t="shared" si="213"/>
        <v>199.05887904575832</v>
      </c>
      <c r="L941" s="8">
        <f t="shared" si="214"/>
        <v>-8.3604729199218486</v>
      </c>
      <c r="M941" s="8">
        <f t="shared" si="211"/>
        <v>125.59098152187013</v>
      </c>
      <c r="N941" s="8">
        <f t="shared" si="215"/>
        <v>25.000000000000014</v>
      </c>
      <c r="O941" s="8">
        <f t="shared" si="216"/>
        <v>26.664226367732077</v>
      </c>
    </row>
    <row r="942" spans="1:15" x14ac:dyDescent="0.3">
      <c r="A942" s="5">
        <f t="shared" si="217"/>
        <v>9.3399999999998453</v>
      </c>
      <c r="B942" s="5">
        <f t="shared" si="212"/>
        <v>133.89984658426161</v>
      </c>
      <c r="C942" s="6">
        <f t="shared" si="210"/>
        <v>5164.7083682500906</v>
      </c>
      <c r="D942" s="6">
        <f t="shared" si="218"/>
        <v>26674212.529072516</v>
      </c>
      <c r="E942" s="7">
        <f t="shared" si="219"/>
        <v>6248571.4285714282</v>
      </c>
      <c r="F942" s="7">
        <f t="shared" si="220"/>
        <v>124.97142857142855</v>
      </c>
      <c r="G942" s="7">
        <f t="shared" si="221"/>
        <v>20425641.100501087</v>
      </c>
      <c r="H942" s="6">
        <f t="shared" si="222"/>
        <v>4519.4735424052533</v>
      </c>
      <c r="I942" s="7">
        <f t="shared" si="223"/>
        <v>-5.1630587344694359</v>
      </c>
      <c r="J942" s="7">
        <f t="shared" si="224"/>
        <v>-77.491167552111833</v>
      </c>
      <c r="K942" s="8">
        <f t="shared" si="213"/>
        <v>199.14655118667824</v>
      </c>
      <c r="L942" s="8">
        <f t="shared" si="214"/>
        <v>-8.3641551498404851</v>
      </c>
      <c r="M942" s="8">
        <f t="shared" si="211"/>
        <v>125.53569143442112</v>
      </c>
      <c r="N942" s="8">
        <f t="shared" si="215"/>
        <v>24.999999999999993</v>
      </c>
      <c r="O942" s="8">
        <f t="shared" si="216"/>
        <v>26.665692651681017</v>
      </c>
    </row>
    <row r="943" spans="1:15" x14ac:dyDescent="0.3">
      <c r="A943" s="5">
        <f t="shared" si="217"/>
        <v>9.3499999999998451</v>
      </c>
      <c r="B943" s="5">
        <f t="shared" si="212"/>
        <v>133.84821599691691</v>
      </c>
      <c r="C943" s="6">
        <f t="shared" si="210"/>
        <v>5162.7169027382233</v>
      </c>
      <c r="D943" s="6">
        <f t="shared" si="218"/>
        <v>26653645.817818955</v>
      </c>
      <c r="E943" s="7">
        <f t="shared" si="219"/>
        <v>6248571.4285714282</v>
      </c>
      <c r="F943" s="7">
        <f t="shared" si="220"/>
        <v>124.97142857142855</v>
      </c>
      <c r="G943" s="7">
        <f t="shared" si="221"/>
        <v>20405074.389247525</v>
      </c>
      <c r="H943" s="6">
        <f t="shared" si="222"/>
        <v>4517.1976256576963</v>
      </c>
      <c r="I943" s="7">
        <f t="shared" si="223"/>
        <v>-5.1653348646132713</v>
      </c>
      <c r="J943" s="7">
        <f t="shared" si="224"/>
        <v>-77.45702068903914</v>
      </c>
      <c r="K943" s="8">
        <f t="shared" si="213"/>
        <v>199.23434477794046</v>
      </c>
      <c r="L943" s="8">
        <f t="shared" si="214"/>
        <v>-8.3678424806734988</v>
      </c>
      <c r="M943" s="8">
        <f t="shared" si="211"/>
        <v>125.4803735162434</v>
      </c>
      <c r="N943" s="8">
        <f t="shared" si="215"/>
        <v>24.999999999999989</v>
      </c>
      <c r="O943" s="8">
        <f t="shared" si="216"/>
        <v>26.667161613841987</v>
      </c>
    </row>
    <row r="944" spans="1:15" x14ac:dyDescent="0.3">
      <c r="A944" s="5">
        <f t="shared" si="217"/>
        <v>9.3599999999998449</v>
      </c>
      <c r="B944" s="5">
        <f t="shared" si="212"/>
        <v>133.79656264827076</v>
      </c>
      <c r="C944" s="6">
        <f t="shared" si="210"/>
        <v>5160.7245592904437</v>
      </c>
      <c r="D944" s="6">
        <f t="shared" si="218"/>
        <v>26633077.976863544</v>
      </c>
      <c r="E944" s="7">
        <f t="shared" si="219"/>
        <v>6248571.4285714282</v>
      </c>
      <c r="F944" s="7">
        <f t="shared" si="220"/>
        <v>124.97142857142855</v>
      </c>
      <c r="G944" s="7">
        <f t="shared" si="221"/>
        <v>20384506.548292115</v>
      </c>
      <c r="H944" s="6">
        <f t="shared" si="222"/>
        <v>4514.9204365406167</v>
      </c>
      <c r="I944" s="7">
        <f t="shared" si="223"/>
        <v>-5.1676141509474052</v>
      </c>
      <c r="J944" s="7">
        <f t="shared" si="224"/>
        <v>-77.422856619590121</v>
      </c>
      <c r="K944" s="8">
        <f t="shared" si="213"/>
        <v>199.32226010797135</v>
      </c>
      <c r="L944" s="8">
        <f t="shared" si="214"/>
        <v>-8.3715349245347959</v>
      </c>
      <c r="M944" s="8">
        <f t="shared" si="211"/>
        <v>125.42502772373597</v>
      </c>
      <c r="N944" s="8">
        <f t="shared" si="215"/>
        <v>25.000000000000018</v>
      </c>
      <c r="O944" s="8">
        <f t="shared" si="216"/>
        <v>26.668633261731109</v>
      </c>
    </row>
    <row r="945" spans="1:15" x14ac:dyDescent="0.3">
      <c r="A945" s="5">
        <f t="shared" si="217"/>
        <v>9.3699999999998447</v>
      </c>
      <c r="B945" s="5">
        <f t="shared" si="212"/>
        <v>133.7448865067613</v>
      </c>
      <c r="C945" s="6">
        <f t="shared" si="210"/>
        <v>5158.7313366893641</v>
      </c>
      <c r="D945" s="6">
        <f t="shared" si="218"/>
        <v>26612509.004140832</v>
      </c>
      <c r="E945" s="7">
        <f t="shared" si="219"/>
        <v>6248571.4285714282</v>
      </c>
      <c r="F945" s="7">
        <f t="shared" si="220"/>
        <v>124.97142857142855</v>
      </c>
      <c r="G945" s="7">
        <f t="shared" si="221"/>
        <v>20363937.575569402</v>
      </c>
      <c r="H945" s="6">
        <f t="shared" si="222"/>
        <v>4512.6419728989586</v>
      </c>
      <c r="I945" s="7">
        <f t="shared" si="223"/>
        <v>-5.1698966009748961</v>
      </c>
      <c r="J945" s="7">
        <f t="shared" si="224"/>
        <v>-77.388675316779</v>
      </c>
      <c r="K945" s="8">
        <f t="shared" si="213"/>
        <v>199.41029746617454</v>
      </c>
      <c r="L945" s="8">
        <f t="shared" si="214"/>
        <v>-8.375232493579329</v>
      </c>
      <c r="M945" s="8">
        <f t="shared" si="211"/>
        <v>125.36965401318197</v>
      </c>
      <c r="N945" s="8">
        <f t="shared" si="215"/>
        <v>25</v>
      </c>
      <c r="O945" s="8">
        <f t="shared" si="216"/>
        <v>26.670107602893026</v>
      </c>
    </row>
    <row r="946" spans="1:15" x14ac:dyDescent="0.3">
      <c r="A946" s="5">
        <f t="shared" si="217"/>
        <v>9.3799999999998445</v>
      </c>
      <c r="B946" s="5">
        <f t="shared" si="212"/>
        <v>133.69318754075155</v>
      </c>
      <c r="C946" s="6">
        <f t="shared" si="210"/>
        <v>5156.7372337147026</v>
      </c>
      <c r="D946" s="6">
        <f t="shared" si="218"/>
        <v>26591938.897579562</v>
      </c>
      <c r="E946" s="7">
        <f t="shared" si="219"/>
        <v>6248571.4285714282</v>
      </c>
      <c r="F946" s="7">
        <f t="shared" si="220"/>
        <v>124.97142857142855</v>
      </c>
      <c r="G946" s="7">
        <f t="shared" si="221"/>
        <v>20343367.469008133</v>
      </c>
      <c r="H946" s="6">
        <f t="shared" si="222"/>
        <v>4510.3622325715851</v>
      </c>
      <c r="I946" s="7">
        <f t="shared" si="223"/>
        <v>-5.1721822222243068</v>
      </c>
      <c r="J946" s="7">
        <f t="shared" si="224"/>
        <v>-77.354476753548269</v>
      </c>
      <c r="K946" s="8">
        <f t="shared" si="213"/>
        <v>199.49845714293753</v>
      </c>
      <c r="L946" s="8">
        <f t="shared" si="214"/>
        <v>-8.3789352000033759</v>
      </c>
      <c r="M946" s="8">
        <f t="shared" si="211"/>
        <v>125.31425234074817</v>
      </c>
      <c r="N946" s="8">
        <f t="shared" si="215"/>
        <v>25.000000000000007</v>
      </c>
      <c r="O946" s="8">
        <f t="shared" si="216"/>
        <v>26.671584644901333</v>
      </c>
    </row>
    <row r="947" spans="1:15" x14ac:dyDescent="0.3">
      <c r="A947" s="5">
        <f t="shared" si="217"/>
        <v>9.3899999999998442</v>
      </c>
      <c r="B947" s="5">
        <f t="shared" si="212"/>
        <v>133.6414657185293</v>
      </c>
      <c r="C947" s="6">
        <f t="shared" si="210"/>
        <v>5154.7422491432726</v>
      </c>
      <c r="D947" s="6">
        <f t="shared" si="218"/>
        <v>26571367.655102644</v>
      </c>
      <c r="E947" s="7">
        <f t="shared" si="219"/>
        <v>6248571.4285714282</v>
      </c>
      <c r="F947" s="7">
        <f t="shared" si="220"/>
        <v>124.97142857142855</v>
      </c>
      <c r="G947" s="7">
        <f t="shared" si="221"/>
        <v>20322796.226531215</v>
      </c>
      <c r="H947" s="6">
        <f t="shared" si="222"/>
        <v>4508.0812133912596</v>
      </c>
      <c r="I947" s="7">
        <f t="shared" si="223"/>
        <v>-5.1744710222497625</v>
      </c>
      <c r="J947" s="7">
        <f t="shared" si="224"/>
        <v>-77.320260902768339</v>
      </c>
      <c r="K947" s="8">
        <f t="shared" si="213"/>
        <v>199.5867394296337</v>
      </c>
      <c r="L947" s="8">
        <f t="shared" si="214"/>
        <v>-8.3826430560446141</v>
      </c>
      <c r="M947" s="8">
        <f t="shared" si="211"/>
        <v>125.25882266248469</v>
      </c>
      <c r="N947" s="8">
        <f t="shared" si="215"/>
        <v>25.000000000000028</v>
      </c>
      <c r="O947" s="8">
        <f t="shared" si="216"/>
        <v>26.673064395358434</v>
      </c>
    </row>
    <row r="948" spans="1:15" x14ac:dyDescent="0.3">
      <c r="A948" s="5">
        <f>A947+$B$5</f>
        <v>9.399999999999844</v>
      </c>
      <c r="B948" s="5">
        <f t="shared" si="212"/>
        <v>133.58972100830681</v>
      </c>
      <c r="C948" s="6">
        <f t="shared" si="210"/>
        <v>5152.746381748977</v>
      </c>
      <c r="D948" s="6">
        <f>POWER(C948,2)</f>
        <v>26550795.274627175</v>
      </c>
      <c r="E948" s="7">
        <f>4*$B$2*$B$3*POWER($B$1,2)</f>
        <v>6248571.4285714282</v>
      </c>
      <c r="F948" s="7">
        <f>POWER($B$1,2)*2*$B$2</f>
        <v>124.97142857142855</v>
      </c>
      <c r="G948" s="7">
        <f>D948-E948</f>
        <v>20302223.846055746</v>
      </c>
      <c r="H948" s="6">
        <f>SQRT(G948)</f>
        <v>4505.7989131846252</v>
      </c>
      <c r="I948" s="7">
        <f>(-C948+H948)/F948</f>
        <v>-5.1767630086310739</v>
      </c>
      <c r="J948" s="7">
        <f>(-C948-H948)/F948</f>
        <v>-77.286027737237347</v>
      </c>
      <c r="K948" s="8">
        <f t="shared" si="213"/>
        <v>199.67514461862712</v>
      </c>
      <c r="L948" s="8">
        <f t="shared" si="214"/>
        <v>-8.3863560739823377</v>
      </c>
      <c r="M948" s="8">
        <f t="shared" si="211"/>
        <v>125.20336493432447</v>
      </c>
      <c r="N948" s="8">
        <f t="shared" si="215"/>
        <v>24.999999999999986</v>
      </c>
      <c r="O948" s="8">
        <f t="shared" si="216"/>
        <v>26.674546861895713</v>
      </c>
    </row>
    <row r="949" spans="1:15" x14ac:dyDescent="0.3">
      <c r="A949" s="5">
        <f t="shared" ref="A949:A1012" si="225">A948+$B$5</f>
        <v>9.4099999999998438</v>
      </c>
      <c r="B949" s="5">
        <f t="shared" si="212"/>
        <v>133.53795337822049</v>
      </c>
      <c r="C949" s="6">
        <f t="shared" si="210"/>
        <v>5150.7496303027901</v>
      </c>
      <c r="D949" s="6">
        <f t="shared" ref="D949:D1012" si="226">POWER(C949,2)</f>
        <v>26530221.754064329</v>
      </c>
      <c r="E949" s="7">
        <f t="shared" ref="E949:E1012" si="227">4*$B$2*$B$3*POWER($B$1,2)</f>
        <v>6248571.4285714282</v>
      </c>
      <c r="F949" s="7">
        <f t="shared" ref="F949:F1012" si="228">POWER($B$1,2)*2*$B$2</f>
        <v>124.97142857142855</v>
      </c>
      <c r="G949" s="7">
        <f t="shared" ref="G949:G1012" si="229">D949-E949</f>
        <v>20281650.3254929</v>
      </c>
      <c r="H949" s="6">
        <f t="shared" ref="H949:H1012" si="230">SQRT(G949)</f>
        <v>4503.5153297721663</v>
      </c>
      <c r="I949" s="7">
        <f t="shared" ref="I949:I1012" si="231">(-C949+H949)/F949</f>
        <v>-5.1790581889739</v>
      </c>
      <c r="J949" s="7">
        <f t="shared" ref="J949:J1012" si="232">(-C949-H949)/F949</f>
        <v>-77.251777229680741</v>
      </c>
      <c r="K949" s="8">
        <f t="shared" si="213"/>
        <v>199.763673003279</v>
      </c>
      <c r="L949" s="8">
        <f t="shared" si="214"/>
        <v>-8.3900742661377166</v>
      </c>
      <c r="M949" s="8">
        <f t="shared" si="211"/>
        <v>125.14787911208278</v>
      </c>
      <c r="N949" s="8">
        <f t="shared" si="215"/>
        <v>24.999999999999993</v>
      </c>
      <c r="O949" s="8">
        <f t="shared" si="216"/>
        <v>26.676032052173955</v>
      </c>
    </row>
    <row r="950" spans="1:15" x14ac:dyDescent="0.3">
      <c r="A950" s="5">
        <f t="shared" si="225"/>
        <v>9.4199999999998436</v>
      </c>
      <c r="B950" s="5">
        <f t="shared" si="212"/>
        <v>133.48616279633075</v>
      </c>
      <c r="C950" s="6">
        <f t="shared" si="210"/>
        <v>5148.7519935727569</v>
      </c>
      <c r="D950" s="6">
        <f t="shared" si="226"/>
        <v>26509647.091319438</v>
      </c>
      <c r="E950" s="7">
        <f t="shared" si="227"/>
        <v>6248571.4285714282</v>
      </c>
      <c r="F950" s="7">
        <f t="shared" si="228"/>
        <v>124.97142857142855</v>
      </c>
      <c r="G950" s="7">
        <f t="shared" si="229"/>
        <v>20261075.662748009</v>
      </c>
      <c r="H950" s="6">
        <f t="shared" si="230"/>
        <v>4501.2304609682014</v>
      </c>
      <c r="I950" s="7">
        <f t="shared" si="231"/>
        <v>-5.1813565709097951</v>
      </c>
      <c r="J950" s="7">
        <f t="shared" si="232"/>
        <v>-77.217509352751165</v>
      </c>
      <c r="K950" s="8">
        <f t="shared" si="213"/>
        <v>199.85232487794923</v>
      </c>
      <c r="L950" s="8">
        <f t="shared" si="214"/>
        <v>-8.3937976448738674</v>
      </c>
      <c r="M950" s="8">
        <f t="shared" si="211"/>
        <v>125.09236515145687</v>
      </c>
      <c r="N950" s="8">
        <f t="shared" si="215"/>
        <v>25.000000000000014</v>
      </c>
      <c r="O950" s="8">
        <f t="shared" si="216"/>
        <v>26.677519973883111</v>
      </c>
    </row>
    <row r="951" spans="1:15" x14ac:dyDescent="0.3">
      <c r="A951" s="5">
        <f t="shared" si="225"/>
        <v>9.4299999999998434</v>
      </c>
      <c r="B951" s="5">
        <f t="shared" si="212"/>
        <v>133.43434923062165</v>
      </c>
      <c r="C951" s="6">
        <f t="shared" si="210"/>
        <v>5146.753470323978</v>
      </c>
      <c r="D951" s="6">
        <f t="shared" si="226"/>
        <v>26489071.284291912</v>
      </c>
      <c r="E951" s="7">
        <f t="shared" si="227"/>
        <v>6248571.4285714282</v>
      </c>
      <c r="F951" s="7">
        <f t="shared" si="228"/>
        <v>124.97142857142855</v>
      </c>
      <c r="G951" s="7">
        <f t="shared" si="229"/>
        <v>20240499.855720483</v>
      </c>
      <c r="H951" s="6">
        <f t="shared" si="230"/>
        <v>4498.9443045808521</v>
      </c>
      <c r="I951" s="7">
        <f t="shared" si="231"/>
        <v>-5.1836581620963447</v>
      </c>
      <c r="J951" s="7">
        <f t="shared" si="232"/>
        <v>-77.18322407902815</v>
      </c>
      <c r="K951" s="8">
        <f t="shared" si="213"/>
        <v>199.94110053800185</v>
      </c>
      <c r="L951" s="8">
        <f t="shared" si="214"/>
        <v>-8.3975262225960776</v>
      </c>
      <c r="M951" s="8">
        <f t="shared" si="211"/>
        <v>125.03682300802558</v>
      </c>
      <c r="N951" s="8">
        <f t="shared" si="215"/>
        <v>24.999999999999986</v>
      </c>
      <c r="O951" s="8">
        <f t="shared" si="216"/>
        <v>26.679010634742571</v>
      </c>
    </row>
    <row r="952" spans="1:15" x14ac:dyDescent="0.3">
      <c r="A952" s="5">
        <f t="shared" si="225"/>
        <v>9.4399999999998432</v>
      </c>
      <c r="B952" s="5">
        <f t="shared" si="212"/>
        <v>133.38251264900069</v>
      </c>
      <c r="C952" s="6">
        <f t="shared" si="210"/>
        <v>5144.7540593185977</v>
      </c>
      <c r="D952" s="6">
        <f t="shared" si="226"/>
        <v>26468494.330875188</v>
      </c>
      <c r="E952" s="7">
        <f t="shared" si="227"/>
        <v>6248571.4285714282</v>
      </c>
      <c r="F952" s="7">
        <f t="shared" si="228"/>
        <v>124.97142857142855</v>
      </c>
      <c r="G952" s="7">
        <f t="shared" si="229"/>
        <v>20219922.902303759</v>
      </c>
      <c r="H952" s="6">
        <f t="shared" si="230"/>
        <v>4496.6568584120087</v>
      </c>
      <c r="I952" s="7">
        <f t="shared" si="231"/>
        <v>-5.185962970217334</v>
      </c>
      <c r="J952" s="7">
        <f t="shared" si="232"/>
        <v>-77.148921381017658</v>
      </c>
      <c r="K952" s="8">
        <f t="shared" si="213"/>
        <v>200.03000027981145</v>
      </c>
      <c r="L952" s="8">
        <f t="shared" si="214"/>
        <v>-8.401260011752079</v>
      </c>
      <c r="M952" s="8">
        <f t="shared" si="211"/>
        <v>124.98125263724862</v>
      </c>
      <c r="N952" s="8">
        <f t="shared" si="215"/>
        <v>25.000000000000025</v>
      </c>
      <c r="O952" s="8">
        <f t="shared" si="216"/>
        <v>26.68050404250156</v>
      </c>
    </row>
    <row r="953" spans="1:15" x14ac:dyDescent="0.3">
      <c r="A953" s="5">
        <f t="shared" si="225"/>
        <v>9.449999999999843</v>
      </c>
      <c r="B953" s="5">
        <f t="shared" si="212"/>
        <v>133.33065301929852</v>
      </c>
      <c r="C953" s="6">
        <f t="shared" si="210"/>
        <v>5142.7537593157995</v>
      </c>
      <c r="D953" s="6">
        <f t="shared" si="226"/>
        <v>26447916.228956789</v>
      </c>
      <c r="E953" s="7">
        <f t="shared" si="227"/>
        <v>6248571.4285714282</v>
      </c>
      <c r="F953" s="7">
        <f t="shared" si="228"/>
        <v>124.97142857142855</v>
      </c>
      <c r="G953" s="7">
        <f t="shared" si="229"/>
        <v>20199344.80038536</v>
      </c>
      <c r="H953" s="6">
        <f t="shared" si="230"/>
        <v>4494.3681202573252</v>
      </c>
      <c r="I953" s="7">
        <f t="shared" si="231"/>
        <v>-5.1882710029827619</v>
      </c>
      <c r="J953" s="7">
        <f t="shared" si="232"/>
        <v>-77.114601231152136</v>
      </c>
      <c r="K953" s="8">
        <f t="shared" si="213"/>
        <v>200.11902440076366</v>
      </c>
      <c r="L953" s="8">
        <f t="shared" si="214"/>
        <v>-8.4049990248320725</v>
      </c>
      <c r="M953" s="8">
        <f t="shared" si="211"/>
        <v>124.92565399446644</v>
      </c>
      <c r="N953" s="8">
        <f t="shared" si="215"/>
        <v>24.999999999999989</v>
      </c>
      <c r="O953" s="8">
        <f t="shared" si="216"/>
        <v>26.682000204938756</v>
      </c>
    </row>
    <row r="954" spans="1:15" x14ac:dyDescent="0.3">
      <c r="A954" s="5">
        <f t="shared" si="225"/>
        <v>9.4599999999998428</v>
      </c>
      <c r="B954" s="5">
        <f t="shared" si="212"/>
        <v>133.27877030926871</v>
      </c>
      <c r="C954" s="6">
        <f t="shared" si="210"/>
        <v>5140.752569071793</v>
      </c>
      <c r="D954" s="6">
        <f t="shared" si="226"/>
        <v>26427336.976418238</v>
      </c>
      <c r="E954" s="7">
        <f t="shared" si="227"/>
        <v>6248571.4285714282</v>
      </c>
      <c r="F954" s="7">
        <f t="shared" si="228"/>
        <v>124.97142857142855</v>
      </c>
      <c r="G954" s="7">
        <f t="shared" si="229"/>
        <v>20178765.547846809</v>
      </c>
      <c r="H954" s="6">
        <f t="shared" si="230"/>
        <v>4492.0780879061767</v>
      </c>
      <c r="I954" s="7">
        <f t="shared" si="231"/>
        <v>-5.1905822681290754</v>
      </c>
      <c r="J954" s="7">
        <f t="shared" si="232"/>
        <v>-77.080263601789909</v>
      </c>
      <c r="K954" s="8">
        <f t="shared" si="213"/>
        <v>200.20817319926434</v>
      </c>
      <c r="L954" s="8">
        <f t="shared" si="214"/>
        <v>-8.4087432743691011</v>
      </c>
      <c r="M954" s="8">
        <f t="shared" si="211"/>
        <v>124.87002703489961</v>
      </c>
      <c r="N954" s="8">
        <f t="shared" si="215"/>
        <v>25</v>
      </c>
      <c r="O954" s="8">
        <f t="shared" si="216"/>
        <v>26.683499129863037</v>
      </c>
    </row>
    <row r="955" spans="1:15" x14ac:dyDescent="0.3">
      <c r="A955" s="5">
        <f t="shared" si="225"/>
        <v>9.4699999999998425</v>
      </c>
      <c r="B955" s="5">
        <f t="shared" si="212"/>
        <v>133.22686448658743</v>
      </c>
      <c r="C955" s="6">
        <f t="shared" si="210"/>
        <v>5138.7504873398002</v>
      </c>
      <c r="D955" s="6">
        <f t="shared" si="226"/>
        <v>26406756.571135033</v>
      </c>
      <c r="E955" s="7">
        <f t="shared" si="227"/>
        <v>6248571.4285714282</v>
      </c>
      <c r="F955" s="7">
        <f t="shared" si="228"/>
        <v>124.97142857142855</v>
      </c>
      <c r="G955" s="7">
        <f t="shared" si="229"/>
        <v>20158185.142563604</v>
      </c>
      <c r="H955" s="6">
        <f t="shared" si="230"/>
        <v>4489.7867591416416</v>
      </c>
      <c r="I955" s="7">
        <f t="shared" si="231"/>
        <v>-5.1928967734191946</v>
      </c>
      <c r="J955" s="7">
        <f t="shared" si="232"/>
        <v>-77.045908465215035</v>
      </c>
      <c r="K955" s="8">
        <f t="shared" si="213"/>
        <v>200.29744697474035</v>
      </c>
      <c r="L955" s="8">
        <f t="shared" si="214"/>
        <v>-8.4124927729390944</v>
      </c>
      <c r="M955" s="8">
        <f t="shared" si="211"/>
        <v>124.81437171364834</v>
      </c>
      <c r="N955" s="8">
        <f t="shared" si="215"/>
        <v>25.000000000000011</v>
      </c>
      <c r="O955" s="8">
        <f t="shared" si="216"/>
        <v>26.685000825113164</v>
      </c>
    </row>
    <row r="956" spans="1:15" x14ac:dyDescent="0.3">
      <c r="A956" s="5">
        <f t="shared" si="225"/>
        <v>9.4799999999998423</v>
      </c>
      <c r="B956" s="5">
        <f t="shared" si="212"/>
        <v>133.17493551885323</v>
      </c>
      <c r="C956" s="6">
        <f t="shared" si="210"/>
        <v>5136.7475128700526</v>
      </c>
      <c r="D956" s="6">
        <f t="shared" si="226"/>
        <v>26386175.010976672</v>
      </c>
      <c r="E956" s="7">
        <f t="shared" si="227"/>
        <v>6248571.4285714282</v>
      </c>
      <c r="F956" s="7">
        <f t="shared" si="228"/>
        <v>124.97142857142855</v>
      </c>
      <c r="G956" s="7">
        <f t="shared" si="229"/>
        <v>20137603.582405243</v>
      </c>
      <c r="H956" s="6">
        <f t="shared" si="230"/>
        <v>4487.49413174048</v>
      </c>
      <c r="I956" s="7">
        <f t="shared" si="231"/>
        <v>-5.1952145266426708</v>
      </c>
      <c r="J956" s="7">
        <f t="shared" si="232"/>
        <v>-77.011535793637108</v>
      </c>
      <c r="K956" s="8">
        <f t="shared" si="213"/>
        <v>200.38684602764587</v>
      </c>
      <c r="L956" s="8">
        <f t="shared" si="214"/>
        <v>-8.4162475331611262</v>
      </c>
      <c r="M956" s="8">
        <f t="shared" si="211"/>
        <v>124.75868798569211</v>
      </c>
      <c r="N956" s="8">
        <f t="shared" si="215"/>
        <v>24.999999999999996</v>
      </c>
      <c r="O956" s="8">
        <f t="shared" si="216"/>
        <v>26.68650529855811</v>
      </c>
    </row>
    <row r="957" spans="1:15" x14ac:dyDescent="0.3">
      <c r="A957" s="5">
        <f t="shared" si="225"/>
        <v>9.4899999999998421</v>
      </c>
      <c r="B957" s="5">
        <f t="shared" si="212"/>
        <v>133.12298337358681</v>
      </c>
      <c r="C957" s="6">
        <f t="shared" si="210"/>
        <v>5134.7436444097766</v>
      </c>
      <c r="D957" s="6">
        <f t="shared" si="226"/>
        <v>26365592.293806594</v>
      </c>
      <c r="E957" s="7">
        <f t="shared" si="227"/>
        <v>6248571.4285714282</v>
      </c>
      <c r="F957" s="7">
        <f t="shared" si="228"/>
        <v>124.97142857142855</v>
      </c>
      <c r="G957" s="7">
        <f t="shared" si="229"/>
        <v>20117020.865235165</v>
      </c>
      <c r="H957" s="6">
        <f t="shared" si="230"/>
        <v>4485.2002034731031</v>
      </c>
      <c r="I957" s="7">
        <f t="shared" si="231"/>
        <v>-5.1975355356158159</v>
      </c>
      <c r="J957" s="7">
        <f t="shared" si="232"/>
        <v>-76.977145559190873</v>
      </c>
      <c r="K957" s="8">
        <f t="shared" si="213"/>
        <v>200.47637065946716</v>
      </c>
      <c r="L957" s="8">
        <f t="shared" si="214"/>
        <v>-8.4200075676976205</v>
      </c>
      <c r="M957" s="8">
        <f t="shared" si="211"/>
        <v>124.70297580588918</v>
      </c>
      <c r="N957" s="8">
        <f t="shared" si="215"/>
        <v>25.000000000000007</v>
      </c>
      <c r="O957" s="8">
        <f t="shared" si="216"/>
        <v>26.688012558097274</v>
      </c>
    </row>
    <row r="958" spans="1:15" x14ac:dyDescent="0.3">
      <c r="A958" s="5">
        <f t="shared" si="225"/>
        <v>9.4999999999998419</v>
      </c>
      <c r="B958" s="5">
        <f t="shared" si="212"/>
        <v>133.07100801823066</v>
      </c>
      <c r="C958" s="6">
        <f t="shared" si="210"/>
        <v>5132.7388807031821</v>
      </c>
      <c r="D958" s="6">
        <f t="shared" si="226"/>
        <v>26345008.417482153</v>
      </c>
      <c r="E958" s="7">
        <f t="shared" si="227"/>
        <v>6248571.4285714282</v>
      </c>
      <c r="F958" s="7">
        <f t="shared" si="228"/>
        <v>124.97142857142855</v>
      </c>
      <c r="G958" s="7">
        <f t="shared" si="229"/>
        <v>20096436.988910723</v>
      </c>
      <c r="H958" s="6">
        <f t="shared" si="230"/>
        <v>4482.904972103549</v>
      </c>
      <c r="I958" s="7">
        <f t="shared" si="231"/>
        <v>-5.1998598081817935</v>
      </c>
      <c r="J958" s="7">
        <f t="shared" si="232"/>
        <v>-76.9427377339359</v>
      </c>
      <c r="K958" s="8">
        <f t="shared" si="213"/>
        <v>200.56602117272632</v>
      </c>
      <c r="L958" s="8">
        <f t="shared" si="214"/>
        <v>-8.4237728892545043</v>
      </c>
      <c r="M958" s="8">
        <f t="shared" si="211"/>
        <v>124.64723512897615</v>
      </c>
      <c r="N958" s="8">
        <f t="shared" si="215"/>
        <v>25.000000000000025</v>
      </c>
      <c r="O958" s="8">
        <f t="shared" si="216"/>
        <v>26.689522611660482</v>
      </c>
    </row>
    <row r="959" spans="1:15" x14ac:dyDescent="0.3">
      <c r="A959" s="5">
        <f t="shared" si="225"/>
        <v>9.5099999999998417</v>
      </c>
      <c r="B959" s="5">
        <f t="shared" si="212"/>
        <v>133.01900942014885</v>
      </c>
      <c r="C959" s="6">
        <f t="shared" si="210"/>
        <v>5130.7332204914555</v>
      </c>
      <c r="D959" s="6">
        <f t="shared" si="226"/>
        <v>26324423.379854623</v>
      </c>
      <c r="E959" s="7">
        <f t="shared" si="227"/>
        <v>6248571.4285714282</v>
      </c>
      <c r="F959" s="7">
        <f t="shared" si="228"/>
        <v>124.97142857142855</v>
      </c>
      <c r="G959" s="7">
        <f t="shared" si="229"/>
        <v>20075851.951283194</v>
      </c>
      <c r="H959" s="6">
        <f t="shared" si="230"/>
        <v>4480.6084353894612</v>
      </c>
      <c r="I959" s="7">
        <f t="shared" si="231"/>
        <v>-5.2021873522107471</v>
      </c>
      <c r="J959" s="7">
        <f t="shared" si="232"/>
        <v>-76.908312289856454</v>
      </c>
      <c r="K959" s="8">
        <f t="shared" si="213"/>
        <v>200.65579787098596</v>
      </c>
      <c r="L959" s="8">
        <f t="shared" si="214"/>
        <v>-8.42754351058141</v>
      </c>
      <c r="M959" s="8">
        <f t="shared" si="211"/>
        <v>124.59146590956743</v>
      </c>
      <c r="N959" s="8">
        <f t="shared" si="215"/>
        <v>25</v>
      </c>
      <c r="O959" s="8">
        <f t="shared" si="216"/>
        <v>26.691035467208167</v>
      </c>
    </row>
    <row r="960" spans="1:15" x14ac:dyDescent="0.3">
      <c r="A960" s="5">
        <f t="shared" si="225"/>
        <v>9.5199999999998415</v>
      </c>
      <c r="B960" s="5">
        <f t="shared" si="212"/>
        <v>132.96698754662674</v>
      </c>
      <c r="C960" s="6">
        <f t="shared" si="210"/>
        <v>5128.7266625127459</v>
      </c>
      <c r="D960" s="6">
        <f t="shared" si="226"/>
        <v>26303837.17876913</v>
      </c>
      <c r="E960" s="7">
        <f t="shared" si="227"/>
        <v>6248571.4285714282</v>
      </c>
      <c r="F960" s="7">
        <f t="shared" si="228"/>
        <v>124.97142857142855</v>
      </c>
      <c r="G960" s="7">
        <f t="shared" si="229"/>
        <v>20055265.750197701</v>
      </c>
      <c r="H960" s="6">
        <f t="shared" si="230"/>
        <v>4478.310591082055</v>
      </c>
      <c r="I960" s="7">
        <f t="shared" si="231"/>
        <v>-5.2045181755999508</v>
      </c>
      <c r="J960" s="7">
        <f t="shared" si="232"/>
        <v>-76.873869198861016</v>
      </c>
      <c r="K960" s="8">
        <f t="shared" si="213"/>
        <v>200.74570105885525</v>
      </c>
      <c r="L960" s="8">
        <f t="shared" si="214"/>
        <v>-8.4313194444719191</v>
      </c>
      <c r="M960" s="8">
        <f t="shared" si="211"/>
        <v>124.53566810215482</v>
      </c>
      <c r="N960" s="8">
        <f t="shared" si="215"/>
        <v>24.999999999999986</v>
      </c>
      <c r="O960" s="8">
        <f t="shared" si="216"/>
        <v>26.692551132731658</v>
      </c>
    </row>
    <row r="961" spans="1:15" x14ac:dyDescent="0.3">
      <c r="A961" s="5">
        <f t="shared" si="225"/>
        <v>9.5299999999998413</v>
      </c>
      <c r="B961" s="5">
        <f t="shared" si="212"/>
        <v>132.91494236487074</v>
      </c>
      <c r="C961" s="6">
        <f t="shared" si="210"/>
        <v>5126.7192055021569</v>
      </c>
      <c r="D961" s="6">
        <f t="shared" si="226"/>
        <v>26283249.812064666</v>
      </c>
      <c r="E961" s="7">
        <f t="shared" si="227"/>
        <v>6248571.4285714282</v>
      </c>
      <c r="F961" s="7">
        <f t="shared" si="228"/>
        <v>124.97142857142855</v>
      </c>
      <c r="G961" s="7">
        <f t="shared" si="229"/>
        <v>20034678.383493237</v>
      </c>
      <c r="H961" s="6">
        <f t="shared" si="230"/>
        <v>4476.0114369260982</v>
      </c>
      <c r="I961" s="7">
        <f t="shared" si="231"/>
        <v>-5.2068522862739046</v>
      </c>
      <c r="J961" s="7">
        <f t="shared" si="232"/>
        <v>-76.839408432782108</v>
      </c>
      <c r="K961" s="8">
        <f t="shared" si="213"/>
        <v>200.83573104199345</v>
      </c>
      <c r="L961" s="8">
        <f t="shared" si="214"/>
        <v>-8.4351007037637249</v>
      </c>
      <c r="M961" s="8">
        <f t="shared" si="211"/>
        <v>124.47984166110702</v>
      </c>
      <c r="N961" s="8">
        <f t="shared" si="215"/>
        <v>25.000000000000021</v>
      </c>
      <c r="O961" s="8">
        <f t="shared" si="216"/>
        <v>26.694069616253241</v>
      </c>
    </row>
    <row r="962" spans="1:15" x14ac:dyDescent="0.3">
      <c r="A962" s="5">
        <f t="shared" si="225"/>
        <v>9.5399999999998411</v>
      </c>
      <c r="B962" s="5">
        <f t="shared" si="212"/>
        <v>132.86287384200801</v>
      </c>
      <c r="C962" s="6">
        <f t="shared" si="210"/>
        <v>5124.7108481917376</v>
      </c>
      <c r="D962" s="6">
        <f t="shared" si="226"/>
        <v>26262661.277574077</v>
      </c>
      <c r="E962" s="7">
        <f t="shared" si="227"/>
        <v>6248571.4285714282</v>
      </c>
      <c r="F962" s="7">
        <f t="shared" si="228"/>
        <v>124.97142857142855</v>
      </c>
      <c r="G962" s="7">
        <f t="shared" si="229"/>
        <v>20014089.849002648</v>
      </c>
      <c r="H962" s="6">
        <f t="shared" si="230"/>
        <v>4473.7109706598894</v>
      </c>
      <c r="I962" s="7">
        <f t="shared" si="231"/>
        <v>-5.2091896921844283</v>
      </c>
      <c r="J962" s="7">
        <f t="shared" si="232"/>
        <v>-76.804929963376097</v>
      </c>
      <c r="K962" s="8">
        <f t="shared" si="213"/>
        <v>200.92588812711367</v>
      </c>
      <c r="L962" s="8">
        <f t="shared" si="214"/>
        <v>-8.4388873013387737</v>
      </c>
      <c r="M962" s="8">
        <f t="shared" si="211"/>
        <v>124.42398654066923</v>
      </c>
      <c r="N962" s="8">
        <f t="shared" si="215"/>
        <v>25.000000000000004</v>
      </c>
      <c r="O962" s="8">
        <f t="shared" si="216"/>
        <v>26.695590925826121</v>
      </c>
    </row>
    <row r="963" spans="1:15" x14ac:dyDescent="0.3">
      <c r="A963" s="5">
        <f t="shared" si="225"/>
        <v>9.5499999999998408</v>
      </c>
      <c r="B963" s="5">
        <f t="shared" si="212"/>
        <v>132.81078194508618</v>
      </c>
      <c r="C963" s="6">
        <f t="shared" si="210"/>
        <v>5122.7015893104663</v>
      </c>
      <c r="D963" s="6">
        <f t="shared" si="226"/>
        <v>26242071.573123977</v>
      </c>
      <c r="E963" s="7">
        <f t="shared" si="227"/>
        <v>6248571.4285714282</v>
      </c>
      <c r="F963" s="7">
        <f t="shared" si="228"/>
        <v>124.97142857142855</v>
      </c>
      <c r="G963" s="7">
        <f t="shared" si="229"/>
        <v>19993500.144552547</v>
      </c>
      <c r="H963" s="6">
        <f t="shared" si="230"/>
        <v>4471.409190015218</v>
      </c>
      <c r="I963" s="7">
        <f t="shared" si="231"/>
        <v>-5.2115304013108581</v>
      </c>
      <c r="J963" s="7">
        <f t="shared" si="232"/>
        <v>-76.770433762322597</v>
      </c>
      <c r="K963" s="8">
        <f t="shared" si="213"/>
        <v>201.01617262199022</v>
      </c>
      <c r="L963" s="8">
        <f t="shared" si="214"/>
        <v>-8.4426792501235877</v>
      </c>
      <c r="M963" s="8">
        <f t="shared" si="211"/>
        <v>124.36810269496259</v>
      </c>
      <c r="N963" s="8">
        <f t="shared" si="215"/>
        <v>25.000000000000007</v>
      </c>
      <c r="O963" s="8">
        <f t="shared" si="216"/>
        <v>26.697115069534945</v>
      </c>
    </row>
    <row r="964" spans="1:15" x14ac:dyDescent="0.3">
      <c r="A964" s="5">
        <f t="shared" si="225"/>
        <v>9.5599999999998406</v>
      </c>
      <c r="B964" s="5">
        <f t="shared" si="212"/>
        <v>132.75866664107306</v>
      </c>
      <c r="C964" s="6">
        <f t="shared" si="210"/>
        <v>5120.6914275842464</v>
      </c>
      <c r="D964" s="6">
        <f t="shared" si="226"/>
        <v>26221480.696534786</v>
      </c>
      <c r="E964" s="7">
        <f t="shared" si="227"/>
        <v>6248571.4285714282</v>
      </c>
      <c r="F964" s="7">
        <f t="shared" si="228"/>
        <v>124.97142857142855</v>
      </c>
      <c r="G964" s="7">
        <f t="shared" si="229"/>
        <v>19972909.267963357</v>
      </c>
      <c r="H964" s="6">
        <f t="shared" si="230"/>
        <v>4469.1060927173521</v>
      </c>
      <c r="I964" s="7">
        <f t="shared" si="231"/>
        <v>-5.2138744216601065</v>
      </c>
      <c r="J964" s="7">
        <f t="shared" si="232"/>
        <v>-76.735919801224526</v>
      </c>
      <c r="K964" s="8">
        <f t="shared" si="213"/>
        <v>201.10658483546123</v>
      </c>
      <c r="L964" s="8">
        <f t="shared" si="214"/>
        <v>-8.4464765630893712</v>
      </c>
      <c r="M964" s="8">
        <f t="shared" si="211"/>
        <v>124.31219007798369</v>
      </c>
      <c r="N964" s="8">
        <f t="shared" si="215"/>
        <v>25.000000000000007</v>
      </c>
      <c r="O964" s="8">
        <f t="shared" si="216"/>
        <v>26.698642055495679</v>
      </c>
    </row>
    <row r="965" spans="1:15" x14ac:dyDescent="0.3">
      <c r="A965" s="5">
        <f t="shared" si="225"/>
        <v>9.5699999999998404</v>
      </c>
      <c r="B965" s="5">
        <f t="shared" si="212"/>
        <v>132.70652789685647</v>
      </c>
      <c r="C965" s="6">
        <f t="shared" si="210"/>
        <v>5118.6803617358919</v>
      </c>
      <c r="D965" s="6">
        <f t="shared" si="226"/>
        <v>26200888.645620681</v>
      </c>
      <c r="E965" s="7">
        <f t="shared" si="227"/>
        <v>6248571.4285714282</v>
      </c>
      <c r="F965" s="7">
        <f t="shared" si="228"/>
        <v>124.97142857142855</v>
      </c>
      <c r="G965" s="7">
        <f t="shared" si="229"/>
        <v>19952317.217049252</v>
      </c>
      <c r="H965" s="6">
        <f t="shared" si="230"/>
        <v>4466.8016764850054</v>
      </c>
      <c r="I965" s="7">
        <f t="shared" si="231"/>
        <v>-5.2162217612668114</v>
      </c>
      <c r="J965" s="7">
        <f t="shared" si="232"/>
        <v>-76.701388051607552</v>
      </c>
      <c r="K965" s="8">
        <f t="shared" si="213"/>
        <v>201.19712507743415</v>
      </c>
      <c r="L965" s="8">
        <f t="shared" si="214"/>
        <v>-8.4502792532522335</v>
      </c>
      <c r="M965" s="8">
        <f t="shared" si="211"/>
        <v>124.25624864360424</v>
      </c>
      <c r="N965" s="8">
        <f t="shared" si="215"/>
        <v>25</v>
      </c>
      <c r="O965" s="8">
        <f t="shared" si="216"/>
        <v>26.700171891855835</v>
      </c>
    </row>
    <row r="966" spans="1:15" x14ac:dyDescent="0.3">
      <c r="A966" s="5">
        <f t="shared" si="225"/>
        <v>9.5799999999998402</v>
      </c>
      <c r="B966" s="5">
        <f t="shared" si="212"/>
        <v>132.6543656792438</v>
      </c>
      <c r="C966" s="6">
        <f t="shared" si="210"/>
        <v>5116.6683904851179</v>
      </c>
      <c r="D966" s="6">
        <f t="shared" si="226"/>
        <v>26180295.418189567</v>
      </c>
      <c r="E966" s="7">
        <f t="shared" si="227"/>
        <v>6248571.4285714282</v>
      </c>
      <c r="F966" s="7">
        <f t="shared" si="228"/>
        <v>124.97142857142855</v>
      </c>
      <c r="G966" s="7">
        <f t="shared" si="229"/>
        <v>19931723.989618137</v>
      </c>
      <c r="H966" s="6">
        <f t="shared" si="230"/>
        <v>4464.4959390303111</v>
      </c>
      <c r="I966" s="7">
        <f t="shared" si="231"/>
        <v>-5.2185724281934718</v>
      </c>
      <c r="J966" s="7">
        <f t="shared" si="232"/>
        <v>-76.666838484919992</v>
      </c>
      <c r="K966" s="8">
        <f t="shared" si="213"/>
        <v>201.28779365889105</v>
      </c>
      <c r="L966" s="8">
        <f t="shared" si="214"/>
        <v>-8.4540873336734226</v>
      </c>
      <c r="M966" s="8">
        <f t="shared" si="211"/>
        <v>124.20027834557037</v>
      </c>
      <c r="N966" s="8">
        <f t="shared" si="215"/>
        <v>25.000000000000004</v>
      </c>
      <c r="O966" s="8">
        <f t="shared" si="216"/>
        <v>26.701704586794701</v>
      </c>
    </row>
    <row r="967" spans="1:15" x14ac:dyDescent="0.3">
      <c r="A967" s="5">
        <f t="shared" si="225"/>
        <v>9.58999999999984</v>
      </c>
      <c r="B967" s="5">
        <f t="shared" si="212"/>
        <v>132.60217995496185</v>
      </c>
      <c r="C967" s="6">
        <f t="shared" si="210"/>
        <v>5114.6555125485283</v>
      </c>
      <c r="D967" s="6">
        <f t="shared" si="226"/>
        <v>26159701.012043048</v>
      </c>
      <c r="E967" s="7">
        <f t="shared" si="227"/>
        <v>6248571.4285714282</v>
      </c>
      <c r="F967" s="7">
        <f t="shared" si="228"/>
        <v>124.97142857142855</v>
      </c>
      <c r="G967" s="7">
        <f t="shared" si="229"/>
        <v>19911129.583471619</v>
      </c>
      <c r="H967" s="6">
        <f t="shared" si="230"/>
        <v>4462.188878058796</v>
      </c>
      <c r="I967" s="7">
        <f t="shared" si="231"/>
        <v>-5.2209264305305521</v>
      </c>
      <c r="J967" s="7">
        <f t="shared" si="232"/>
        <v>-76.632271072532333</v>
      </c>
      <c r="K967" s="8">
        <f t="shared" si="213"/>
        <v>201.37859089189271</v>
      </c>
      <c r="L967" s="8">
        <f t="shared" si="214"/>
        <v>-8.4579008174594925</v>
      </c>
      <c r="M967" s="8">
        <f t="shared" si="211"/>
        <v>124.14427913750237</v>
      </c>
      <c r="N967" s="8">
        <f t="shared" si="215"/>
        <v>25.000000000000021</v>
      </c>
      <c r="O967" s="8">
        <f t="shared" si="216"/>
        <v>26.703240148523399</v>
      </c>
    </row>
    <row r="968" spans="1:15" x14ac:dyDescent="0.3">
      <c r="A968" s="5">
        <f t="shared" si="225"/>
        <v>9.5999999999998398</v>
      </c>
      <c r="B968" s="5">
        <f t="shared" si="212"/>
        <v>132.54997069065655</v>
      </c>
      <c r="C968" s="6">
        <f t="shared" ref="C968:C1031" si="233">$B$1*B968</f>
        <v>5112.6417266396093</v>
      </c>
      <c r="D968" s="6">
        <f t="shared" si="226"/>
        <v>26139105.424976446</v>
      </c>
      <c r="E968" s="7">
        <f t="shared" si="227"/>
        <v>6248571.4285714282</v>
      </c>
      <c r="F968" s="7">
        <f t="shared" si="228"/>
        <v>124.97142857142855</v>
      </c>
      <c r="G968" s="7">
        <f t="shared" si="229"/>
        <v>19890533.996405017</v>
      </c>
      <c r="H968" s="6">
        <f t="shared" si="230"/>
        <v>4459.8804912693586</v>
      </c>
      <c r="I968" s="7">
        <f t="shared" si="231"/>
        <v>-5.2232837763966113</v>
      </c>
      <c r="J968" s="7">
        <f t="shared" si="232"/>
        <v>-76.59768578573707</v>
      </c>
      <c r="K968" s="8">
        <f t="shared" si="213"/>
        <v>201.46951708958358</v>
      </c>
      <c r="L968" s="8">
        <f t="shared" si="214"/>
        <v>-8.4617197177625094</v>
      </c>
      <c r="M968" s="8">
        <f t="shared" ref="M968:M1031" si="234">B968+L968</f>
        <v>124.08825097289404</v>
      </c>
      <c r="N968" s="8">
        <f t="shared" si="215"/>
        <v>25.000000000000011</v>
      </c>
      <c r="O968" s="8">
        <f t="shared" si="216"/>
        <v>26.70477858528503</v>
      </c>
    </row>
    <row r="969" spans="1:15" x14ac:dyDescent="0.3">
      <c r="A969" s="5">
        <f t="shared" si="225"/>
        <v>9.6099999999998396</v>
      </c>
      <c r="B969" s="5">
        <f t="shared" ref="B969:B1032" si="235">I968*$B$5+B968</f>
        <v>132.49773785289258</v>
      </c>
      <c r="C969" s="6">
        <f t="shared" si="233"/>
        <v>5110.6270314687135</v>
      </c>
      <c r="D969" s="6">
        <f t="shared" si="226"/>
        <v>26118508.654778715</v>
      </c>
      <c r="E969" s="7">
        <f t="shared" si="227"/>
        <v>6248571.4285714282</v>
      </c>
      <c r="F969" s="7">
        <f t="shared" si="228"/>
        <v>124.97142857142855</v>
      </c>
      <c r="G969" s="7">
        <f t="shared" si="229"/>
        <v>19869937.226207286</v>
      </c>
      <c r="H969" s="6">
        <f t="shared" si="230"/>
        <v>4457.5707763542341</v>
      </c>
      <c r="I969" s="7">
        <f t="shared" si="231"/>
        <v>-5.2256444739384511</v>
      </c>
      <c r="J969" s="7">
        <f t="shared" si="232"/>
        <v>-76.563082595748341</v>
      </c>
      <c r="K969" s="8">
        <f t="shared" ref="K969:K1032" si="236">-$B$1*I969</f>
        <v>201.56057256619738</v>
      </c>
      <c r="L969" s="8">
        <f t="shared" ref="L969:L1032" si="237">-$B$2*K969</f>
        <v>-8.4655440477802895</v>
      </c>
      <c r="M969" s="8">
        <f t="shared" si="234"/>
        <v>124.0321938051123</v>
      </c>
      <c r="N969" s="8">
        <f t="shared" ref="N969:N1032" si="238">K969*M969/1000</f>
        <v>24.999999999999996</v>
      </c>
      <c r="O969" s="8">
        <f t="shared" ref="O969:O1032" si="239">B969*K969/1000</f>
        <v>26.706319905354952</v>
      </c>
    </row>
    <row r="970" spans="1:15" x14ac:dyDescent="0.3">
      <c r="A970" s="5">
        <f t="shared" si="225"/>
        <v>9.6199999999998393</v>
      </c>
      <c r="B970" s="5">
        <f t="shared" si="235"/>
        <v>132.4454814081532</v>
      </c>
      <c r="C970" s="6">
        <f t="shared" si="233"/>
        <v>5108.6114257430518</v>
      </c>
      <c r="D970" s="6">
        <f t="shared" si="226"/>
        <v>26097910.699232455</v>
      </c>
      <c r="E970" s="7">
        <f t="shared" si="227"/>
        <v>6248571.4285714282</v>
      </c>
      <c r="F970" s="7">
        <f t="shared" si="228"/>
        <v>124.97142857142855</v>
      </c>
      <c r="G970" s="7">
        <f t="shared" si="229"/>
        <v>19849339.270661026</v>
      </c>
      <c r="H970" s="6">
        <f t="shared" si="230"/>
        <v>4455.2597309989715</v>
      </c>
      <c r="I970" s="7">
        <f t="shared" si="231"/>
        <v>-5.2280085313312332</v>
      </c>
      <c r="J970" s="7">
        <f t="shared" si="232"/>
        <v>-76.528461473701626</v>
      </c>
      <c r="K970" s="8">
        <f t="shared" si="236"/>
        <v>201.65175763706185</v>
      </c>
      <c r="L970" s="8">
        <f t="shared" si="237"/>
        <v>-8.4693738207565961</v>
      </c>
      <c r="M970" s="8">
        <f t="shared" si="234"/>
        <v>123.9761075873966</v>
      </c>
      <c r="N970" s="8">
        <f t="shared" si="238"/>
        <v>25.000000000000004</v>
      </c>
      <c r="O970" s="8">
        <f t="shared" si="239"/>
        <v>26.707864117040888</v>
      </c>
    </row>
    <row r="971" spans="1:15" x14ac:dyDescent="0.3">
      <c r="A971" s="5">
        <f t="shared" si="225"/>
        <v>9.6299999999998391</v>
      </c>
      <c r="B971" s="5">
        <f t="shared" si="235"/>
        <v>132.3932013228399</v>
      </c>
      <c r="C971" s="6">
        <f t="shared" si="233"/>
        <v>5106.5949081666813</v>
      </c>
      <c r="D971" s="6">
        <f t="shared" si="226"/>
        <v>26077311.556113876</v>
      </c>
      <c r="E971" s="7">
        <f t="shared" si="227"/>
        <v>6248571.4285714282</v>
      </c>
      <c r="F971" s="7">
        <f t="shared" si="228"/>
        <v>124.97142857142855</v>
      </c>
      <c r="G971" s="7">
        <f t="shared" si="229"/>
        <v>19828740.127542447</v>
      </c>
      <c r="H971" s="6">
        <f t="shared" si="230"/>
        <v>4452.9473528824083</v>
      </c>
      <c r="I971" s="7">
        <f t="shared" si="231"/>
        <v>-5.2303759567785919</v>
      </c>
      <c r="J971" s="7">
        <f t="shared" si="232"/>
        <v>-76.493822390653449</v>
      </c>
      <c r="K971" s="8">
        <f t="shared" si="236"/>
        <v>201.74307261860281</v>
      </c>
      <c r="L971" s="8">
        <f t="shared" si="237"/>
        <v>-8.4732090499813175</v>
      </c>
      <c r="M971" s="8">
        <f t="shared" si="234"/>
        <v>123.91999227285858</v>
      </c>
      <c r="N971" s="8">
        <f t="shared" si="238"/>
        <v>25.000000000000007</v>
      </c>
      <c r="O971" s="8">
        <f t="shared" si="239"/>
        <v>26.709411228682992</v>
      </c>
    </row>
    <row r="972" spans="1:15" x14ac:dyDescent="0.3">
      <c r="A972" s="5">
        <f t="shared" si="225"/>
        <v>9.6399999999998389</v>
      </c>
      <c r="B972" s="5">
        <f t="shared" si="235"/>
        <v>132.34089756327211</v>
      </c>
      <c r="C972" s="6">
        <f t="shared" si="233"/>
        <v>5104.5774774404954</v>
      </c>
      <c r="D972" s="6">
        <f t="shared" si="226"/>
        <v>26056711.22319277</v>
      </c>
      <c r="E972" s="7">
        <f t="shared" si="227"/>
        <v>6248571.4285714282</v>
      </c>
      <c r="F972" s="7">
        <f t="shared" si="228"/>
        <v>124.97142857142855</v>
      </c>
      <c r="G972" s="7">
        <f t="shared" si="229"/>
        <v>19808139.794621341</v>
      </c>
      <c r="H972" s="6">
        <f t="shared" si="230"/>
        <v>4450.633639676641</v>
      </c>
      <c r="I972" s="7">
        <f t="shared" si="231"/>
        <v>-5.232746758512782</v>
      </c>
      <c r="J972" s="7">
        <f t="shared" si="232"/>
        <v>-76.459165317581125</v>
      </c>
      <c r="K972" s="8">
        <f t="shared" si="236"/>
        <v>201.83451782835016</v>
      </c>
      <c r="L972" s="8">
        <f t="shared" si="237"/>
        <v>-8.4770497487907051</v>
      </c>
      <c r="M972" s="8">
        <f t="shared" si="234"/>
        <v>123.8638478144814</v>
      </c>
      <c r="N972" s="8">
        <f t="shared" si="238"/>
        <v>24.999999999999996</v>
      </c>
      <c r="O972" s="8">
        <f t="shared" si="239"/>
        <v>26.710961248654105</v>
      </c>
    </row>
    <row r="973" spans="1:15" x14ac:dyDescent="0.3">
      <c r="A973" s="5">
        <f t="shared" si="225"/>
        <v>9.6499999999998387</v>
      </c>
      <c r="B973" s="5">
        <f t="shared" si="235"/>
        <v>132.28857009568699</v>
      </c>
      <c r="C973" s="6">
        <f t="shared" si="233"/>
        <v>5102.5591322622122</v>
      </c>
      <c r="D973" s="6">
        <f t="shared" si="226"/>
        <v>26036109.698232498</v>
      </c>
      <c r="E973" s="7">
        <f t="shared" si="227"/>
        <v>6248571.4285714282</v>
      </c>
      <c r="F973" s="7">
        <f t="shared" si="228"/>
        <v>124.97142857142855</v>
      </c>
      <c r="G973" s="7">
        <f t="shared" si="229"/>
        <v>19787538.269661069</v>
      </c>
      <c r="H973" s="6">
        <f t="shared" si="230"/>
        <v>4448.3185890469977</v>
      </c>
      <c r="I973" s="7">
        <f t="shared" si="231"/>
        <v>-5.2351209447948133</v>
      </c>
      <c r="J973" s="7">
        <f t="shared" si="232"/>
        <v>-76.424490225382357</v>
      </c>
      <c r="K973" s="8">
        <f t="shared" si="236"/>
        <v>201.92609358494278</v>
      </c>
      <c r="L973" s="8">
        <f t="shared" si="237"/>
        <v>-8.4808959305675966</v>
      </c>
      <c r="M973" s="8">
        <f t="shared" si="234"/>
        <v>123.80767416511939</v>
      </c>
      <c r="N973" s="8">
        <f t="shared" si="238"/>
        <v>25</v>
      </c>
      <c r="O973" s="8">
        <f t="shared" si="239"/>
        <v>26.712514185359954</v>
      </c>
    </row>
    <row r="974" spans="1:15" x14ac:dyDescent="0.3">
      <c r="A974" s="5">
        <f t="shared" si="225"/>
        <v>9.6599999999998385</v>
      </c>
      <c r="B974" s="5">
        <f t="shared" si="235"/>
        <v>132.23621888623904</v>
      </c>
      <c r="C974" s="6">
        <f t="shared" si="233"/>
        <v>5100.539871326363</v>
      </c>
      <c r="D974" s="6">
        <f t="shared" si="226"/>
        <v>26015506.978989951</v>
      </c>
      <c r="E974" s="7">
        <f t="shared" si="227"/>
        <v>6248571.4285714282</v>
      </c>
      <c r="F974" s="7">
        <f t="shared" si="228"/>
        <v>124.97142857142855</v>
      </c>
      <c r="G974" s="7">
        <f t="shared" si="229"/>
        <v>19766935.550418522</v>
      </c>
      <c r="H974" s="6">
        <f t="shared" si="230"/>
        <v>4446.0021986520114</v>
      </c>
      <c r="I974" s="7">
        <f t="shared" si="231"/>
        <v>-5.2374985239145655</v>
      </c>
      <c r="J974" s="7">
        <f t="shared" si="232"/>
        <v>-76.389797084874985</v>
      </c>
      <c r="K974" s="8">
        <f t="shared" si="236"/>
        <v>202.01780020813322</v>
      </c>
      <c r="L974" s="8">
        <f t="shared" si="237"/>
        <v>-8.4847476087415945</v>
      </c>
      <c r="M974" s="8">
        <f t="shared" si="234"/>
        <v>123.75147127749744</v>
      </c>
      <c r="N974" s="8">
        <f t="shared" si="238"/>
        <v>25.000000000000014</v>
      </c>
      <c r="O974" s="8">
        <f t="shared" si="239"/>
        <v>26.714070047239211</v>
      </c>
    </row>
    <row r="975" spans="1:15" x14ac:dyDescent="0.3">
      <c r="A975" s="5">
        <f t="shared" si="225"/>
        <v>9.6699999999998383</v>
      </c>
      <c r="B975" s="5">
        <f t="shared" si="235"/>
        <v>132.1838439009999</v>
      </c>
      <c r="C975" s="6">
        <f t="shared" si="233"/>
        <v>5098.5196933242814</v>
      </c>
      <c r="D975" s="6">
        <f t="shared" si="226"/>
        <v>25994903.063215524</v>
      </c>
      <c r="E975" s="7">
        <f t="shared" si="227"/>
        <v>6248571.4285714282</v>
      </c>
      <c r="F975" s="7">
        <f t="shared" si="228"/>
        <v>124.97142857142855</v>
      </c>
      <c r="G975" s="7">
        <f t="shared" si="229"/>
        <v>19746331.634644095</v>
      </c>
      <c r="H975" s="6">
        <f t="shared" si="230"/>
        <v>4443.6844661433934</v>
      </c>
      <c r="I975" s="7">
        <f t="shared" si="231"/>
        <v>-5.2398795041909203</v>
      </c>
      <c r="J975" s="7">
        <f t="shared" si="232"/>
        <v>-76.355085866796671</v>
      </c>
      <c r="K975" s="8">
        <f t="shared" si="236"/>
        <v>202.10963801879262</v>
      </c>
      <c r="L975" s="8">
        <f t="shared" si="237"/>
        <v>-8.4886047967892893</v>
      </c>
      <c r="M975" s="8">
        <f t="shared" si="234"/>
        <v>123.69523910421061</v>
      </c>
      <c r="N975" s="8">
        <f t="shared" si="238"/>
        <v>25.000000000000011</v>
      </c>
      <c r="O975" s="8">
        <f t="shared" si="239"/>
        <v>26.715628842763678</v>
      </c>
    </row>
    <row r="976" spans="1:15" x14ac:dyDescent="0.3">
      <c r="A976" s="5">
        <f t="shared" si="225"/>
        <v>9.6799999999998381</v>
      </c>
      <c r="B976" s="5">
        <f t="shared" si="235"/>
        <v>132.13144510595799</v>
      </c>
      <c r="C976" s="6">
        <f t="shared" si="233"/>
        <v>5096.4985969440941</v>
      </c>
      <c r="D976" s="6">
        <f t="shared" si="226"/>
        <v>25974297.948653121</v>
      </c>
      <c r="E976" s="7">
        <f t="shared" si="227"/>
        <v>6248571.4285714282</v>
      </c>
      <c r="F976" s="7">
        <f t="shared" si="228"/>
        <v>124.97142857142855</v>
      </c>
      <c r="G976" s="7">
        <f t="shared" si="229"/>
        <v>19725726.520081691</v>
      </c>
      <c r="H976" s="6">
        <f t="shared" si="230"/>
        <v>4441.3653891660042</v>
      </c>
      <c r="I976" s="7">
        <f t="shared" si="231"/>
        <v>-5.2422638939719137</v>
      </c>
      <c r="J976" s="7">
        <f t="shared" si="232"/>
        <v>-76.320356541804642</v>
      </c>
      <c r="K976" s="8">
        <f t="shared" si="236"/>
        <v>202.20160733891666</v>
      </c>
      <c r="L976" s="8">
        <f t="shared" si="237"/>
        <v>-8.4924675082344994</v>
      </c>
      <c r="M976" s="8">
        <f t="shared" si="234"/>
        <v>123.6389775977235</v>
      </c>
      <c r="N976" s="8">
        <f t="shared" si="238"/>
        <v>25</v>
      </c>
      <c r="O976" s="8">
        <f t="shared" si="239"/>
        <v>26.71719058043854</v>
      </c>
    </row>
    <row r="977" spans="1:15" x14ac:dyDescent="0.3">
      <c r="A977" s="5">
        <f t="shared" si="225"/>
        <v>9.6899999999998379</v>
      </c>
      <c r="B977" s="5">
        <f t="shared" si="235"/>
        <v>132.07902246701826</v>
      </c>
      <c r="C977" s="6">
        <f t="shared" si="233"/>
        <v>5094.4765808707043</v>
      </c>
      <c r="D977" s="6">
        <f t="shared" si="226"/>
        <v>25953691.633040063</v>
      </c>
      <c r="E977" s="7">
        <f t="shared" si="227"/>
        <v>6248571.4285714282</v>
      </c>
      <c r="F977" s="7">
        <f t="shared" si="228"/>
        <v>124.97142857142855</v>
      </c>
      <c r="G977" s="7">
        <f t="shared" si="229"/>
        <v>19705120.204468634</v>
      </c>
      <c r="H977" s="6">
        <f t="shared" si="230"/>
        <v>4439.0449653578225</v>
      </c>
      <c r="I977" s="7">
        <f t="shared" si="231"/>
        <v>-5.2446517016348571</v>
      </c>
      <c r="J977" s="7">
        <f t="shared" si="232"/>
        <v>-76.285609080475197</v>
      </c>
      <c r="K977" s="8">
        <f t="shared" si="236"/>
        <v>202.29370849163018</v>
      </c>
      <c r="L977" s="8">
        <f t="shared" si="237"/>
        <v>-8.4963357566484667</v>
      </c>
      <c r="M977" s="8">
        <f t="shared" si="234"/>
        <v>123.5826867103698</v>
      </c>
      <c r="N977" s="8">
        <f t="shared" si="238"/>
        <v>25.000000000000007</v>
      </c>
      <c r="O977" s="8">
        <f t="shared" si="239"/>
        <v>26.718755268802465</v>
      </c>
    </row>
    <row r="978" spans="1:15" x14ac:dyDescent="0.3">
      <c r="A978" s="5">
        <f t="shared" si="225"/>
        <v>9.6999999999998376</v>
      </c>
      <c r="B978" s="5">
        <f t="shared" si="235"/>
        <v>132.02657595000193</v>
      </c>
      <c r="C978" s="6">
        <f t="shared" si="233"/>
        <v>5092.4536437857887</v>
      </c>
      <c r="D978" s="6">
        <f t="shared" si="226"/>
        <v>25933084.114107158</v>
      </c>
      <c r="E978" s="7">
        <f t="shared" si="227"/>
        <v>6248571.4285714282</v>
      </c>
      <c r="F978" s="7">
        <f t="shared" si="228"/>
        <v>124.97142857142855</v>
      </c>
      <c r="G978" s="7">
        <f t="shared" si="229"/>
        <v>19684512.685535729</v>
      </c>
      <c r="H978" s="6">
        <f t="shared" si="230"/>
        <v>4436.7231923499276</v>
      </c>
      <c r="I978" s="7">
        <f t="shared" si="231"/>
        <v>-5.2470429355864532</v>
      </c>
      <c r="J978" s="7">
        <f t="shared" si="232"/>
        <v>-76.250843453303645</v>
      </c>
      <c r="K978" s="8">
        <f t="shared" si="236"/>
        <v>202.38594180119176</v>
      </c>
      <c r="L978" s="8">
        <f t="shared" si="237"/>
        <v>-8.5002095556500539</v>
      </c>
      <c r="M978" s="8">
        <f t="shared" si="234"/>
        <v>123.52636639435187</v>
      </c>
      <c r="N978" s="8">
        <f t="shared" si="238"/>
        <v>24.999999999999986</v>
      </c>
      <c r="O978" s="8">
        <f t="shared" si="239"/>
        <v>26.720322916427715</v>
      </c>
    </row>
    <row r="979" spans="1:15" x14ac:dyDescent="0.3">
      <c r="A979" s="5">
        <f t="shared" si="225"/>
        <v>9.7099999999998374</v>
      </c>
      <c r="B979" s="5">
        <f t="shared" si="235"/>
        <v>131.97410552064605</v>
      </c>
      <c r="C979" s="6">
        <f t="shared" si="233"/>
        <v>5090.4297843677759</v>
      </c>
      <c r="D979" s="6">
        <f t="shared" si="226"/>
        <v>25912475.389578562</v>
      </c>
      <c r="E979" s="7">
        <f t="shared" si="227"/>
        <v>6248571.4285714282</v>
      </c>
      <c r="F979" s="7">
        <f t="shared" si="228"/>
        <v>124.97142857142855</v>
      </c>
      <c r="G979" s="7">
        <f t="shared" si="229"/>
        <v>19663903.961007133</v>
      </c>
      <c r="H979" s="6">
        <f t="shared" si="230"/>
        <v>4434.4000677664544</v>
      </c>
      <c r="I979" s="7">
        <f t="shared" si="231"/>
        <v>-5.249437604262976</v>
      </c>
      <c r="J979" s="7">
        <f t="shared" si="232"/>
        <v>-76.216059630703725</v>
      </c>
      <c r="K979" s="8">
        <f t="shared" si="236"/>
        <v>202.47830759300049</v>
      </c>
      <c r="L979" s="8">
        <f t="shared" si="237"/>
        <v>-8.5040889189060191</v>
      </c>
      <c r="M979" s="8">
        <f t="shared" si="234"/>
        <v>123.47001660174003</v>
      </c>
      <c r="N979" s="8">
        <f t="shared" si="238"/>
        <v>24.999999999999996</v>
      </c>
      <c r="O979" s="8">
        <f t="shared" si="239"/>
        <v>26.721893531920475</v>
      </c>
    </row>
    <row r="980" spans="1:15" x14ac:dyDescent="0.3">
      <c r="A980" s="5">
        <f t="shared" si="225"/>
        <v>9.7199999999998372</v>
      </c>
      <c r="B980" s="5">
        <f t="shared" si="235"/>
        <v>131.92161114460342</v>
      </c>
      <c r="C980" s="6">
        <f t="shared" si="233"/>
        <v>5088.405001291846</v>
      </c>
      <c r="D980" s="6">
        <f t="shared" si="226"/>
        <v>25891865.457171872</v>
      </c>
      <c r="E980" s="7">
        <f t="shared" si="227"/>
        <v>6248571.4285714282</v>
      </c>
      <c r="F980" s="7">
        <f t="shared" si="228"/>
        <v>124.97142857142855</v>
      </c>
      <c r="G980" s="7">
        <f t="shared" si="229"/>
        <v>19643294.028600443</v>
      </c>
      <c r="H980" s="6">
        <f t="shared" si="230"/>
        <v>4432.0755892245843</v>
      </c>
      <c r="I980" s="7">
        <f t="shared" si="231"/>
        <v>-5.251835716130353</v>
      </c>
      <c r="J980" s="7">
        <f t="shared" si="232"/>
        <v>-76.181257583007579</v>
      </c>
      <c r="K980" s="8">
        <f t="shared" si="236"/>
        <v>202.57080619359931</v>
      </c>
      <c r="L980" s="8">
        <f t="shared" si="237"/>
        <v>-8.5079738601311696</v>
      </c>
      <c r="M980" s="8">
        <f t="shared" si="234"/>
        <v>123.41363728447224</v>
      </c>
      <c r="N980" s="8">
        <f t="shared" si="238"/>
        <v>24.999999999999989</v>
      </c>
      <c r="O980" s="8">
        <f t="shared" si="239"/>
        <v>26.72346712392083</v>
      </c>
    </row>
    <row r="981" spans="1:15" x14ac:dyDescent="0.3">
      <c r="A981" s="5">
        <f t="shared" si="225"/>
        <v>9.729999999999837</v>
      </c>
      <c r="B981" s="5">
        <f t="shared" si="235"/>
        <v>131.86909278744213</v>
      </c>
      <c r="C981" s="6">
        <f t="shared" si="233"/>
        <v>5086.3792932299102</v>
      </c>
      <c r="D981" s="6">
        <f t="shared" si="226"/>
        <v>25871254.314598002</v>
      </c>
      <c r="E981" s="7">
        <f t="shared" si="227"/>
        <v>6248571.4285714282</v>
      </c>
      <c r="F981" s="7">
        <f t="shared" si="228"/>
        <v>124.97142857142855</v>
      </c>
      <c r="G981" s="7">
        <f t="shared" si="229"/>
        <v>19622682.886026572</v>
      </c>
      <c r="H981" s="6">
        <f t="shared" si="230"/>
        <v>4429.7497543345007</v>
      </c>
      <c r="I981" s="7">
        <f t="shared" si="231"/>
        <v>-5.2542372796843475</v>
      </c>
      <c r="J981" s="7">
        <f t="shared" si="232"/>
        <v>-76.146437280465122</v>
      </c>
      <c r="K981" s="8">
        <f t="shared" si="236"/>
        <v>202.66343793068197</v>
      </c>
      <c r="L981" s="8">
        <f t="shared" si="237"/>
        <v>-8.5118643930886417</v>
      </c>
      <c r="M981" s="8">
        <f t="shared" si="234"/>
        <v>123.35722839435348</v>
      </c>
      <c r="N981" s="8">
        <f t="shared" si="238"/>
        <v>25.000000000000014</v>
      </c>
      <c r="O981" s="8">
        <f t="shared" si="239"/>
        <v>26.725043701103118</v>
      </c>
    </row>
    <row r="982" spans="1:15" x14ac:dyDescent="0.3">
      <c r="A982" s="5">
        <f t="shared" si="225"/>
        <v>9.7399999999998368</v>
      </c>
      <c r="B982" s="5">
        <f t="shared" si="235"/>
        <v>131.81655041464529</v>
      </c>
      <c r="C982" s="6">
        <f t="shared" si="233"/>
        <v>5084.3526588506038</v>
      </c>
      <c r="D982" s="6">
        <f t="shared" si="226"/>
        <v>25850641.959561203</v>
      </c>
      <c r="E982" s="7">
        <f t="shared" si="227"/>
        <v>6248571.4285714282</v>
      </c>
      <c r="F982" s="7">
        <f t="shared" si="228"/>
        <v>124.97142857142855</v>
      </c>
      <c r="G982" s="7">
        <f t="shared" si="229"/>
        <v>19602070.530989774</v>
      </c>
      <c r="H982" s="6">
        <f t="shared" si="230"/>
        <v>4427.4225606993705</v>
      </c>
      <c r="I982" s="7">
        <f t="shared" si="231"/>
        <v>-5.256642303450656</v>
      </c>
      <c r="J982" s="7">
        <f t="shared" si="232"/>
        <v>-76.111598693243977</v>
      </c>
      <c r="K982" s="8">
        <f t="shared" si="236"/>
        <v>202.75620313309673</v>
      </c>
      <c r="L982" s="8">
        <f t="shared" si="237"/>
        <v>-8.5157605315900611</v>
      </c>
      <c r="M982" s="8">
        <f t="shared" si="234"/>
        <v>123.30078988305523</v>
      </c>
      <c r="N982" s="8">
        <f t="shared" si="238"/>
        <v>25.000000000000025</v>
      </c>
      <c r="O982" s="8">
        <f t="shared" si="239"/>
        <v>26.726623272175907</v>
      </c>
    </row>
    <row r="983" spans="1:15" x14ac:dyDescent="0.3">
      <c r="A983" s="5">
        <f t="shared" si="225"/>
        <v>9.7499999999998366</v>
      </c>
      <c r="B983" s="5">
        <f t="shared" si="235"/>
        <v>131.76398399161079</v>
      </c>
      <c r="C983" s="6">
        <f t="shared" si="233"/>
        <v>5082.3250968192733</v>
      </c>
      <c r="D983" s="6">
        <f t="shared" si="226"/>
        <v>25830028.389759038</v>
      </c>
      <c r="E983" s="7">
        <f t="shared" si="227"/>
        <v>6248571.4285714282</v>
      </c>
      <c r="F983" s="7">
        <f t="shared" si="228"/>
        <v>124.97142857142855</v>
      </c>
      <c r="G983" s="7">
        <f t="shared" si="229"/>
        <v>19581456.961187609</v>
      </c>
      <c r="H983" s="6">
        <f t="shared" si="230"/>
        <v>4425.0940059153099</v>
      </c>
      <c r="I983" s="7">
        <f t="shared" si="231"/>
        <v>-5.2590507959850763</v>
      </c>
      <c r="J983" s="7">
        <f t="shared" si="232"/>
        <v>-76.076741791429015</v>
      </c>
      <c r="K983" s="8">
        <f t="shared" si="236"/>
        <v>202.84910213085294</v>
      </c>
      <c r="L983" s="8">
        <f t="shared" si="237"/>
        <v>-8.5196622894958232</v>
      </c>
      <c r="M983" s="8">
        <f t="shared" si="234"/>
        <v>123.24432170211496</v>
      </c>
      <c r="N983" s="8">
        <f t="shared" si="238"/>
        <v>25.000000000000014</v>
      </c>
      <c r="O983" s="8">
        <f t="shared" si="239"/>
        <v>26.728205845882325</v>
      </c>
    </row>
    <row r="984" spans="1:15" x14ac:dyDescent="0.3">
      <c r="A984" s="5">
        <f t="shared" si="225"/>
        <v>9.7599999999998364</v>
      </c>
      <c r="B984" s="5">
        <f t="shared" si="235"/>
        <v>131.71139348365094</v>
      </c>
      <c r="C984" s="6">
        <f t="shared" si="233"/>
        <v>5080.2966057979647</v>
      </c>
      <c r="D984" s="6">
        <f t="shared" si="226"/>
        <v>25809413.602882322</v>
      </c>
      <c r="E984" s="7">
        <f t="shared" si="227"/>
        <v>6248571.4285714282</v>
      </c>
      <c r="F984" s="7">
        <f t="shared" si="228"/>
        <v>124.97142857142855</v>
      </c>
      <c r="G984" s="7">
        <f t="shared" si="229"/>
        <v>19560842.174310893</v>
      </c>
      <c r="H984" s="6">
        <f t="shared" si="230"/>
        <v>4422.7640875713569</v>
      </c>
      <c r="I984" s="7">
        <f t="shared" si="231"/>
        <v>-5.2614627658736355</v>
      </c>
      <c r="J984" s="7">
        <f t="shared" si="232"/>
        <v>-76.041866545022017</v>
      </c>
      <c r="K984" s="8">
        <f t="shared" si="236"/>
        <v>202.94213525512592</v>
      </c>
      <c r="L984" s="8">
        <f t="shared" si="237"/>
        <v>-8.523569680715287</v>
      </c>
      <c r="M984" s="8">
        <f t="shared" si="234"/>
        <v>123.18782380293565</v>
      </c>
      <c r="N984" s="8">
        <f t="shared" si="238"/>
        <v>24.999999999999989</v>
      </c>
      <c r="O984" s="8">
        <f t="shared" si="239"/>
        <v>26.729791431000198</v>
      </c>
    </row>
    <row r="985" spans="1:15" x14ac:dyDescent="0.3">
      <c r="A985" s="5">
        <f t="shared" si="225"/>
        <v>9.7699999999998361</v>
      </c>
      <c r="B985" s="5">
        <f t="shared" si="235"/>
        <v>131.65877885599221</v>
      </c>
      <c r="C985" s="6">
        <f t="shared" si="233"/>
        <v>5078.2671844454135</v>
      </c>
      <c r="D985" s="6">
        <f t="shared" si="226"/>
        <v>25788797.596615147</v>
      </c>
      <c r="E985" s="7">
        <f t="shared" si="227"/>
        <v>6248571.4285714282</v>
      </c>
      <c r="F985" s="7">
        <f t="shared" si="228"/>
        <v>124.97142857142855</v>
      </c>
      <c r="G985" s="7">
        <f t="shared" si="229"/>
        <v>19540226.168043718</v>
      </c>
      <c r="H985" s="6">
        <f t="shared" si="230"/>
        <v>4420.4328032494413</v>
      </c>
      <c r="I985" s="7">
        <f t="shared" si="231"/>
        <v>-5.2638782217327451</v>
      </c>
      <c r="J985" s="7">
        <f t="shared" si="232"/>
        <v>-76.006972923941461</v>
      </c>
      <c r="K985" s="8">
        <f t="shared" si="236"/>
        <v>203.03530283826302</v>
      </c>
      <c r="L985" s="8">
        <f t="shared" si="237"/>
        <v>-8.5274827192070468</v>
      </c>
      <c r="M985" s="8">
        <f t="shared" si="234"/>
        <v>123.13129613678517</v>
      </c>
      <c r="N985" s="8">
        <f t="shared" si="238"/>
        <v>25.000000000000021</v>
      </c>
      <c r="O985" s="8">
        <f t="shared" si="239"/>
        <v>26.731380036342276</v>
      </c>
    </row>
    <row r="986" spans="1:15" x14ac:dyDescent="0.3">
      <c r="A986" s="5">
        <f t="shared" si="225"/>
        <v>9.7799999999998359</v>
      </c>
      <c r="B986" s="5">
        <f t="shared" si="235"/>
        <v>131.6061400737749</v>
      </c>
      <c r="C986" s="6">
        <f t="shared" si="233"/>
        <v>5076.2368314170317</v>
      </c>
      <c r="D986" s="6">
        <f t="shared" si="226"/>
        <v>25768180.368634827</v>
      </c>
      <c r="E986" s="7">
        <f t="shared" si="227"/>
        <v>6248571.4285714282</v>
      </c>
      <c r="F986" s="7">
        <f t="shared" si="228"/>
        <v>124.97142857142855</v>
      </c>
      <c r="G986" s="7">
        <f t="shared" si="229"/>
        <v>19519608.940063398</v>
      </c>
      <c r="H986" s="6">
        <f t="shared" si="230"/>
        <v>4418.100150524363</v>
      </c>
      <c r="I986" s="7">
        <f t="shared" si="231"/>
        <v>-5.2662971722092839</v>
      </c>
      <c r="J986" s="7">
        <f t="shared" si="232"/>
        <v>-75.97206089802215</v>
      </c>
      <c r="K986" s="8">
        <f t="shared" si="236"/>
        <v>203.12860521378664</v>
      </c>
      <c r="L986" s="8">
        <f t="shared" si="237"/>
        <v>-8.5314014189790388</v>
      </c>
      <c r="M986" s="8">
        <f t="shared" si="234"/>
        <v>123.07473865479585</v>
      </c>
      <c r="N986" s="8">
        <f t="shared" si="238"/>
        <v>24.999999999999993</v>
      </c>
      <c r="O986" s="8">
        <f t="shared" si="239"/>
        <v>26.732971670756129</v>
      </c>
    </row>
    <row r="987" spans="1:15" x14ac:dyDescent="0.3">
      <c r="A987" s="5">
        <f t="shared" si="225"/>
        <v>9.7899999999998357</v>
      </c>
      <c r="B987" s="5">
        <f t="shared" si="235"/>
        <v>131.5534771020528</v>
      </c>
      <c r="C987" s="6">
        <f t="shared" si="233"/>
        <v>5074.2055453648936</v>
      </c>
      <c r="D987" s="6">
        <f t="shared" si="226"/>
        <v>25747561.916611839</v>
      </c>
      <c r="E987" s="7">
        <f t="shared" si="227"/>
        <v>6248571.4285714282</v>
      </c>
      <c r="F987" s="7">
        <f t="shared" si="228"/>
        <v>124.97142857142855</v>
      </c>
      <c r="G987" s="7">
        <f t="shared" si="229"/>
        <v>19498990.48804041</v>
      </c>
      <c r="H987" s="6">
        <f t="shared" si="230"/>
        <v>4415.7661269637465</v>
      </c>
      <c r="I987" s="7">
        <f t="shared" si="231"/>
        <v>-5.2687196259808307</v>
      </c>
      <c r="J987" s="7">
        <f t="shared" si="232"/>
        <v>-75.937130437014744</v>
      </c>
      <c r="K987" s="8">
        <f t="shared" si="236"/>
        <v>203.22204271640345</v>
      </c>
      <c r="L987" s="8">
        <f t="shared" si="237"/>
        <v>-8.5353257940889442</v>
      </c>
      <c r="M987" s="8">
        <f t="shared" si="234"/>
        <v>123.01815130796385</v>
      </c>
      <c r="N987" s="8">
        <f t="shared" si="238"/>
        <v>25.000000000000011</v>
      </c>
      <c r="O987" s="8">
        <f t="shared" si="239"/>
        <v>26.734566343124779</v>
      </c>
    </row>
    <row r="988" spans="1:15" x14ac:dyDescent="0.3">
      <c r="A988" s="5">
        <f t="shared" si="225"/>
        <v>9.7999999999998355</v>
      </c>
      <c r="B988" s="5">
        <f t="shared" si="235"/>
        <v>131.500789905793</v>
      </c>
      <c r="C988" s="6">
        <f t="shared" si="233"/>
        <v>5072.1733249377294</v>
      </c>
      <c r="D988" s="6">
        <f t="shared" si="226"/>
        <v>25726942.238209862</v>
      </c>
      <c r="E988" s="7">
        <f t="shared" si="227"/>
        <v>6248571.4285714282</v>
      </c>
      <c r="F988" s="7">
        <f t="shared" si="228"/>
        <v>124.97142857142855</v>
      </c>
      <c r="G988" s="7">
        <f t="shared" si="229"/>
        <v>19478370.809638433</v>
      </c>
      <c r="H988" s="6">
        <f t="shared" si="230"/>
        <v>4413.4307301280296</v>
      </c>
      <c r="I988" s="7">
        <f t="shared" si="231"/>
        <v>-5.2711455917557144</v>
      </c>
      <c r="J988" s="7">
        <f t="shared" si="232"/>
        <v>-75.902181510585663</v>
      </c>
      <c r="K988" s="8">
        <f t="shared" si="236"/>
        <v>203.31561568200613</v>
      </c>
      <c r="L988" s="8">
        <f t="shared" si="237"/>
        <v>-8.5392558586442568</v>
      </c>
      <c r="M988" s="8">
        <f t="shared" si="234"/>
        <v>122.96153404714875</v>
      </c>
      <c r="N988" s="8">
        <f t="shared" si="238"/>
        <v>25.000000000000007</v>
      </c>
      <c r="O988" s="8">
        <f t="shared" si="239"/>
        <v>26.736164062366438</v>
      </c>
    </row>
    <row r="989" spans="1:15" x14ac:dyDescent="0.3">
      <c r="A989" s="5">
        <f t="shared" si="225"/>
        <v>9.8099999999998353</v>
      </c>
      <c r="B989" s="5">
        <f t="shared" si="235"/>
        <v>131.44807844987545</v>
      </c>
      <c r="C989" s="6">
        <f t="shared" si="233"/>
        <v>5070.1401687809102</v>
      </c>
      <c r="D989" s="6">
        <f t="shared" si="226"/>
        <v>25706321.331085715</v>
      </c>
      <c r="E989" s="7">
        <f t="shared" si="227"/>
        <v>6248571.4285714282</v>
      </c>
      <c r="F989" s="7">
        <f t="shared" si="228"/>
        <v>124.97142857142855</v>
      </c>
      <c r="G989" s="7">
        <f t="shared" si="229"/>
        <v>19457749.902514286</v>
      </c>
      <c r="H989" s="6">
        <f t="shared" si="230"/>
        <v>4411.0939575704215</v>
      </c>
      <c r="I989" s="7">
        <f t="shared" si="231"/>
        <v>-5.2735750782732307</v>
      </c>
      <c r="J989" s="7">
        <f t="shared" si="232"/>
        <v>-75.867214088316572</v>
      </c>
      <c r="K989" s="8">
        <f t="shared" si="236"/>
        <v>203.40932444768174</v>
      </c>
      <c r="L989" s="8">
        <f t="shared" si="237"/>
        <v>-8.5431916268026313</v>
      </c>
      <c r="M989" s="8">
        <f t="shared" si="234"/>
        <v>122.90488682307281</v>
      </c>
      <c r="N989" s="8">
        <f t="shared" si="238"/>
        <v>25.000000000000021</v>
      </c>
      <c r="O989" s="8">
        <f t="shared" si="239"/>
        <v>26.737764837435041</v>
      </c>
    </row>
    <row r="990" spans="1:15" x14ac:dyDescent="0.3">
      <c r="A990" s="5">
        <f t="shared" si="225"/>
        <v>9.8199999999998351</v>
      </c>
      <c r="B990" s="5">
        <f t="shared" si="235"/>
        <v>131.39534269909271</v>
      </c>
      <c r="C990" s="6">
        <f t="shared" si="233"/>
        <v>5068.1060755364324</v>
      </c>
      <c r="D990" s="6">
        <f t="shared" si="226"/>
        <v>25685699.192889299</v>
      </c>
      <c r="E990" s="7">
        <f t="shared" si="227"/>
        <v>6248571.4285714282</v>
      </c>
      <c r="F990" s="7">
        <f t="shared" si="228"/>
        <v>124.97142857142855</v>
      </c>
      <c r="G990" s="7">
        <f t="shared" si="229"/>
        <v>19437127.76431787</v>
      </c>
      <c r="H990" s="6">
        <f t="shared" si="230"/>
        <v>4408.7558068368753</v>
      </c>
      <c r="I990" s="7">
        <f t="shared" si="231"/>
        <v>-5.2760080943037275</v>
      </c>
      <c r="J990" s="7">
        <f t="shared" si="232"/>
        <v>-75.832228139704128</v>
      </c>
      <c r="K990" s="8">
        <f t="shared" si="236"/>
        <v>203.5031693517152</v>
      </c>
      <c r="L990" s="8">
        <f t="shared" si="237"/>
        <v>-8.5471331127720376</v>
      </c>
      <c r="M990" s="8">
        <f t="shared" si="234"/>
        <v>122.84820958632068</v>
      </c>
      <c r="N990" s="8">
        <f t="shared" si="238"/>
        <v>25.000000000000018</v>
      </c>
      <c r="O990" s="8">
        <f t="shared" si="239"/>
        <v>26.739368677320119</v>
      </c>
    </row>
    <row r="991" spans="1:15" x14ac:dyDescent="0.3">
      <c r="A991" s="5">
        <f t="shared" si="225"/>
        <v>9.8299999999998349</v>
      </c>
      <c r="B991" s="5">
        <f t="shared" si="235"/>
        <v>131.34258261814966</v>
      </c>
      <c r="C991" s="6">
        <f t="shared" si="233"/>
        <v>5066.0710438429151</v>
      </c>
      <c r="D991" s="6">
        <f t="shared" si="226"/>
        <v>25665075.821263645</v>
      </c>
      <c r="E991" s="7">
        <f t="shared" si="227"/>
        <v>6248571.4285714282</v>
      </c>
      <c r="F991" s="7">
        <f t="shared" si="228"/>
        <v>124.97142857142855</v>
      </c>
      <c r="G991" s="7">
        <f t="shared" si="229"/>
        <v>19416504.392692216</v>
      </c>
      <c r="H991" s="6">
        <f t="shared" si="230"/>
        <v>4406.4162754660638</v>
      </c>
      <c r="I991" s="7">
        <f t="shared" si="231"/>
        <v>-5.2784446486487884</v>
      </c>
      <c r="J991" s="7">
        <f t="shared" si="232"/>
        <v>-75.79722363415965</v>
      </c>
      <c r="K991" s="8">
        <f t="shared" si="236"/>
        <v>203.59715073359612</v>
      </c>
      <c r="L991" s="8">
        <f t="shared" si="237"/>
        <v>-8.5510803308110361</v>
      </c>
      <c r="M991" s="8">
        <f t="shared" si="234"/>
        <v>122.79150228733863</v>
      </c>
      <c r="N991" s="8">
        <f t="shared" si="238"/>
        <v>24.999999999999996</v>
      </c>
      <c r="O991" s="8">
        <f t="shared" si="239"/>
        <v>26.740975591047221</v>
      </c>
    </row>
    <row r="992" spans="1:15" x14ac:dyDescent="0.3">
      <c r="A992" s="5">
        <f t="shared" si="225"/>
        <v>9.8399999999998347</v>
      </c>
      <c r="B992" s="5">
        <f t="shared" si="235"/>
        <v>131.28979817166316</v>
      </c>
      <c r="C992" s="6">
        <f t="shared" si="233"/>
        <v>5064.0350723355787</v>
      </c>
      <c r="D992" s="6">
        <f t="shared" si="226"/>
        <v>25644451.21384481</v>
      </c>
      <c r="E992" s="7">
        <f t="shared" si="227"/>
        <v>6248571.4285714282</v>
      </c>
      <c r="F992" s="7">
        <f t="shared" si="228"/>
        <v>124.97142857142855</v>
      </c>
      <c r="G992" s="7">
        <f t="shared" si="229"/>
        <v>19395879.785273381</v>
      </c>
      <c r="H992" s="6">
        <f t="shared" si="230"/>
        <v>4404.0753609893391</v>
      </c>
      <c r="I992" s="7">
        <f t="shared" si="231"/>
        <v>-5.2808847501413787</v>
      </c>
      <c r="J992" s="7">
        <f t="shared" si="232"/>
        <v>-75.762200541008724</v>
      </c>
      <c r="K992" s="8">
        <f t="shared" si="236"/>
        <v>203.69126893402461</v>
      </c>
      <c r="L992" s="8">
        <f t="shared" si="237"/>
        <v>-8.5550332952290322</v>
      </c>
      <c r="M992" s="8">
        <f t="shared" si="234"/>
        <v>122.73476487643413</v>
      </c>
      <c r="N992" s="8">
        <f t="shared" si="238"/>
        <v>25.000000000000021</v>
      </c>
      <c r="O992" s="8">
        <f t="shared" si="239"/>
        <v>26.742585587678054</v>
      </c>
    </row>
    <row r="993" spans="1:15" x14ac:dyDescent="0.3">
      <c r="A993" s="5">
        <f t="shared" si="225"/>
        <v>9.8499999999998344</v>
      </c>
      <c r="B993" s="5">
        <f t="shared" si="235"/>
        <v>131.23698932416175</v>
      </c>
      <c r="C993" s="6">
        <f t="shared" si="233"/>
        <v>5061.9981596462385</v>
      </c>
      <c r="D993" s="6">
        <f t="shared" si="226"/>
        <v>25623825.368261907</v>
      </c>
      <c r="E993" s="7">
        <f t="shared" si="227"/>
        <v>6248571.4285714282</v>
      </c>
      <c r="F993" s="7">
        <f t="shared" si="228"/>
        <v>124.97142857142855</v>
      </c>
      <c r="G993" s="7">
        <f t="shared" si="229"/>
        <v>19375253.939690478</v>
      </c>
      <c r="H993" s="6">
        <f t="shared" si="230"/>
        <v>4401.7330609307146</v>
      </c>
      <c r="I993" s="7">
        <f t="shared" si="231"/>
        <v>-5.2833284076459401</v>
      </c>
      <c r="J993" s="7">
        <f t="shared" si="232"/>
        <v>-75.727158829490946</v>
      </c>
      <c r="K993" s="8">
        <f t="shared" si="236"/>
        <v>203.78552429491484</v>
      </c>
      <c r="L993" s="8">
        <f t="shared" si="237"/>
        <v>-8.5589920203864214</v>
      </c>
      <c r="M993" s="8">
        <f t="shared" si="234"/>
        <v>122.67799730377533</v>
      </c>
      <c r="N993" s="8">
        <f t="shared" si="238"/>
        <v>25.000000000000004</v>
      </c>
      <c r="O993" s="8">
        <f t="shared" si="239"/>
        <v>26.744198676310443</v>
      </c>
    </row>
    <row r="994" spans="1:15" x14ac:dyDescent="0.3">
      <c r="A994" s="5">
        <f t="shared" si="225"/>
        <v>9.8599999999998342</v>
      </c>
      <c r="B994" s="5">
        <f t="shared" si="235"/>
        <v>131.1841560400853</v>
      </c>
      <c r="C994" s="6">
        <f t="shared" si="233"/>
        <v>5059.9603044032901</v>
      </c>
      <c r="D994" s="6">
        <f t="shared" si="226"/>
        <v>25603198.282137036</v>
      </c>
      <c r="E994" s="7">
        <f t="shared" si="227"/>
        <v>6248571.4285714282</v>
      </c>
      <c r="F994" s="7">
        <f t="shared" si="228"/>
        <v>124.97142857142855</v>
      </c>
      <c r="G994" s="7">
        <f t="shared" si="229"/>
        <v>19354626.853565607</v>
      </c>
      <c r="H994" s="6">
        <f t="shared" si="230"/>
        <v>4399.3893728068224</v>
      </c>
      <c r="I994" s="7">
        <f t="shared" si="231"/>
        <v>-5.2857756300586134</v>
      </c>
      <c r="J994" s="7">
        <f t="shared" si="232"/>
        <v>-75.692098468759497</v>
      </c>
      <c r="K994" s="8">
        <f t="shared" si="236"/>
        <v>203.87991715940365</v>
      </c>
      <c r="L994" s="8">
        <f t="shared" si="237"/>
        <v>-8.5629565206949518</v>
      </c>
      <c r="M994" s="8">
        <f t="shared" si="234"/>
        <v>122.62119951939034</v>
      </c>
      <c r="N994" s="8">
        <f t="shared" si="238"/>
        <v>25.000000000000011</v>
      </c>
      <c r="O994" s="8">
        <f t="shared" si="239"/>
        <v>26.745814866078874</v>
      </c>
    </row>
    <row r="995" spans="1:15" x14ac:dyDescent="0.3">
      <c r="A995" s="5">
        <f t="shared" si="225"/>
        <v>9.869999999999834</v>
      </c>
      <c r="B995" s="5">
        <f t="shared" si="235"/>
        <v>131.1312982837847</v>
      </c>
      <c r="C995" s="6">
        <f t="shared" si="233"/>
        <v>5057.9215052316949</v>
      </c>
      <c r="D995" s="6">
        <f t="shared" si="226"/>
        <v>25582569.953085255</v>
      </c>
      <c r="E995" s="7">
        <f t="shared" si="227"/>
        <v>6248571.4285714282</v>
      </c>
      <c r="F995" s="7">
        <f t="shared" si="228"/>
        <v>124.97142857142855</v>
      </c>
      <c r="G995" s="7">
        <f t="shared" si="229"/>
        <v>19333998.524513826</v>
      </c>
      <c r="H995" s="6">
        <f t="shared" si="230"/>
        <v>4397.0442941268884</v>
      </c>
      <c r="I995" s="7">
        <f t="shared" si="231"/>
        <v>-5.2882264263073235</v>
      </c>
      <c r="J995" s="7">
        <f t="shared" si="232"/>
        <v>-75.657019427880755</v>
      </c>
      <c r="K995" s="8">
        <f t="shared" si="236"/>
        <v>203.9744478718539</v>
      </c>
      <c r="L995" s="8">
        <f t="shared" si="237"/>
        <v>-8.5669268106178631</v>
      </c>
      <c r="M995" s="8">
        <f t="shared" si="234"/>
        <v>122.56437147316684</v>
      </c>
      <c r="N995" s="8">
        <f t="shared" si="238"/>
        <v>25.000000000000007</v>
      </c>
      <c r="O995" s="8">
        <f t="shared" si="239"/>
        <v>26.747434166154367</v>
      </c>
    </row>
    <row r="996" spans="1:15" x14ac:dyDescent="0.3">
      <c r="A996" s="5">
        <f t="shared" si="225"/>
        <v>9.8799999999998338</v>
      </c>
      <c r="B996" s="5">
        <f t="shared" si="235"/>
        <v>131.07841601952163</v>
      </c>
      <c r="C996" s="6">
        <f t="shared" si="233"/>
        <v>5055.8817607529763</v>
      </c>
      <c r="D996" s="6">
        <f t="shared" si="226"/>
        <v>25561940.378714617</v>
      </c>
      <c r="E996" s="7">
        <f t="shared" si="227"/>
        <v>6248571.4285714282</v>
      </c>
      <c r="F996" s="7">
        <f t="shared" si="228"/>
        <v>124.97142857142855</v>
      </c>
      <c r="G996" s="7">
        <f t="shared" si="229"/>
        <v>19313368.950143188</v>
      </c>
      <c r="H996" s="6">
        <f t="shared" si="230"/>
        <v>4394.6978223927053</v>
      </c>
      <c r="I996" s="7">
        <f t="shared" si="231"/>
        <v>-5.2906808053519638</v>
      </c>
      <c r="J996" s="7">
        <f t="shared" si="232"/>
        <v>-75.62192167583423</v>
      </c>
      <c r="K996" s="8">
        <f t="shared" si="236"/>
        <v>204.06911677786144</v>
      </c>
      <c r="L996" s="8">
        <f t="shared" si="237"/>
        <v>-8.570902904670179</v>
      </c>
      <c r="M996" s="8">
        <f t="shared" si="234"/>
        <v>122.50751311485145</v>
      </c>
      <c r="N996" s="8">
        <f t="shared" si="238"/>
        <v>25.000000000000011</v>
      </c>
      <c r="O996" s="8">
        <f t="shared" si="239"/>
        <v>26.749056585744864</v>
      </c>
    </row>
    <row r="997" spans="1:15" x14ac:dyDescent="0.3">
      <c r="A997" s="5">
        <f t="shared" si="225"/>
        <v>9.8899999999998336</v>
      </c>
      <c r="B997" s="5">
        <f t="shared" si="235"/>
        <v>131.02550921146812</v>
      </c>
      <c r="C997" s="6">
        <f t="shared" si="233"/>
        <v>5053.841069585199</v>
      </c>
      <c r="D997" s="6">
        <f t="shared" si="226"/>
        <v>25541309.556626067</v>
      </c>
      <c r="E997" s="7">
        <f t="shared" si="227"/>
        <v>6248571.4285714282</v>
      </c>
      <c r="F997" s="7">
        <f t="shared" si="228"/>
        <v>124.97142857142855</v>
      </c>
      <c r="G997" s="7">
        <f t="shared" si="229"/>
        <v>19292738.128054637</v>
      </c>
      <c r="H997" s="6">
        <f t="shared" si="230"/>
        <v>4392.3499550985962</v>
      </c>
      <c r="I997" s="7">
        <f t="shared" si="231"/>
        <v>-5.2931387761845228</v>
      </c>
      <c r="J997" s="7">
        <f t="shared" si="232"/>
        <v>-75.586805181511863</v>
      </c>
      <c r="K997" s="8">
        <f t="shared" si="236"/>
        <v>204.16392422426014</v>
      </c>
      <c r="L997" s="8">
        <f t="shared" si="237"/>
        <v>-8.5748848174189245</v>
      </c>
      <c r="M997" s="8">
        <f t="shared" si="234"/>
        <v>122.4506243940492</v>
      </c>
      <c r="N997" s="8">
        <f t="shared" si="238"/>
        <v>25</v>
      </c>
      <c r="O997" s="8">
        <f t="shared" si="239"/>
        <v>26.750682134095278</v>
      </c>
    </row>
    <row r="998" spans="1:15" x14ac:dyDescent="0.3">
      <c r="A998" s="5">
        <f t="shared" si="225"/>
        <v>9.8999999999998334</v>
      </c>
      <c r="B998" s="5">
        <f t="shared" si="235"/>
        <v>130.97257782370627</v>
      </c>
      <c r="C998" s="6">
        <f t="shared" si="233"/>
        <v>5051.7994303429559</v>
      </c>
      <c r="D998" s="6">
        <f t="shared" si="226"/>
        <v>25520677.484413415</v>
      </c>
      <c r="E998" s="7">
        <f t="shared" si="227"/>
        <v>6248571.4285714282</v>
      </c>
      <c r="F998" s="7">
        <f t="shared" si="228"/>
        <v>124.97142857142855</v>
      </c>
      <c r="G998" s="7">
        <f t="shared" si="229"/>
        <v>19272106.055841986</v>
      </c>
      <c r="H998" s="6">
        <f t="shared" si="230"/>
        <v>4390.0006897313797</v>
      </c>
      <c r="I998" s="7">
        <f t="shared" si="231"/>
        <v>-5.2956003478292581</v>
      </c>
      <c r="J998" s="7">
        <f t="shared" si="232"/>
        <v>-75.551669913717831</v>
      </c>
      <c r="K998" s="8">
        <f t="shared" si="236"/>
        <v>204.25887055912852</v>
      </c>
      <c r="L998" s="8">
        <f t="shared" si="237"/>
        <v>-8.5788725634833973</v>
      </c>
      <c r="M998" s="8">
        <f t="shared" si="234"/>
        <v>122.39370526022287</v>
      </c>
      <c r="N998" s="8">
        <f t="shared" si="238"/>
        <v>24.999999999999993</v>
      </c>
      <c r="O998" s="8">
        <f t="shared" si="239"/>
        <v>26.752310820487807</v>
      </c>
    </row>
    <row r="999" spans="1:15" x14ac:dyDescent="0.3">
      <c r="A999" s="5">
        <f t="shared" si="225"/>
        <v>9.9099999999998332</v>
      </c>
      <c r="B999" s="5">
        <f t="shared" si="235"/>
        <v>130.91962182022797</v>
      </c>
      <c r="C999" s="6">
        <f t="shared" si="233"/>
        <v>5049.7568416373642</v>
      </c>
      <c r="D999" s="6">
        <f t="shared" si="226"/>
        <v>25500044.159663368</v>
      </c>
      <c r="E999" s="7">
        <f t="shared" si="227"/>
        <v>6248571.4285714282</v>
      </c>
      <c r="F999" s="7">
        <f t="shared" si="228"/>
        <v>124.97142857142855</v>
      </c>
      <c r="G999" s="7">
        <f t="shared" si="229"/>
        <v>19251472.731091939</v>
      </c>
      <c r="H999" s="6">
        <f t="shared" si="230"/>
        <v>4387.6500237703485</v>
      </c>
      <c r="I999" s="7">
        <f t="shared" si="231"/>
        <v>-5.2980655293428338</v>
      </c>
      <c r="J999" s="7">
        <f t="shared" si="232"/>
        <v>-75.516515841168271</v>
      </c>
      <c r="K999" s="8">
        <f t="shared" si="236"/>
        <v>204.353956131795</v>
      </c>
      <c r="L999" s="8">
        <f t="shared" si="237"/>
        <v>-8.5828661575353884</v>
      </c>
      <c r="M999" s="8">
        <f t="shared" si="234"/>
        <v>122.33675566269258</v>
      </c>
      <c r="N999" s="8">
        <f t="shared" si="238"/>
        <v>25.000000000000004</v>
      </c>
      <c r="O999" s="8">
        <f t="shared" si="239"/>
        <v>26.75394265424206</v>
      </c>
    </row>
    <row r="1000" spans="1:15" x14ac:dyDescent="0.3">
      <c r="A1000" s="5">
        <f t="shared" si="225"/>
        <v>9.919999999999833</v>
      </c>
      <c r="B1000" s="5">
        <f t="shared" si="235"/>
        <v>130.86664116493455</v>
      </c>
      <c r="C1000" s="6">
        <f t="shared" si="233"/>
        <v>5047.7133020760466</v>
      </c>
      <c r="D1000" s="6">
        <f t="shared" si="226"/>
        <v>25479409.579955466</v>
      </c>
      <c r="E1000" s="7">
        <f t="shared" si="227"/>
        <v>6248571.4285714282</v>
      </c>
      <c r="F1000" s="7">
        <f t="shared" si="228"/>
        <v>124.97142857142855</v>
      </c>
      <c r="G1000" s="7">
        <f t="shared" si="229"/>
        <v>19230838.151384037</v>
      </c>
      <c r="H1000" s="6">
        <f t="shared" si="230"/>
        <v>4385.2979546872339</v>
      </c>
      <c r="I1000" s="7">
        <f t="shared" si="231"/>
        <v>-5.3005343298144609</v>
      </c>
      <c r="J1000" s="7">
        <f t="shared" si="232"/>
        <v>-75.481342932490833</v>
      </c>
      <c r="K1000" s="8">
        <f t="shared" si="236"/>
        <v>204.44918129284349</v>
      </c>
      <c r="L1000" s="8">
        <f t="shared" si="237"/>
        <v>-8.5868656142994251</v>
      </c>
      <c r="M1000" s="8">
        <f t="shared" si="234"/>
        <v>122.27977555063512</v>
      </c>
      <c r="N1000" s="8">
        <f t="shared" si="238"/>
        <v>25.000000000000011</v>
      </c>
      <c r="O1000" s="8">
        <f t="shared" si="239"/>
        <v>26.755577644715199</v>
      </c>
    </row>
    <row r="1001" spans="1:15" x14ac:dyDescent="0.3">
      <c r="A1001" s="5">
        <f t="shared" si="225"/>
        <v>9.9299999999998327</v>
      </c>
      <c r="B1001" s="5">
        <f t="shared" si="235"/>
        <v>130.81363582163641</v>
      </c>
      <c r="C1001" s="6">
        <f t="shared" si="233"/>
        <v>5045.6688102631188</v>
      </c>
      <c r="D1001" s="6">
        <f t="shared" si="226"/>
        <v>25458773.742862035</v>
      </c>
      <c r="E1001" s="7">
        <f t="shared" si="227"/>
        <v>6248571.4285714282</v>
      </c>
      <c r="F1001" s="7">
        <f t="shared" si="228"/>
        <v>124.97142857142855</v>
      </c>
      <c r="G1001" s="7">
        <f t="shared" si="229"/>
        <v>19210202.314290605</v>
      </c>
      <c r="H1001" s="6">
        <f t="shared" si="230"/>
        <v>4382.9444799461708</v>
      </c>
      <c r="I1001" s="7">
        <f t="shared" si="231"/>
        <v>-5.3030067583660685</v>
      </c>
      <c r="J1001" s="7">
        <f t="shared" si="232"/>
        <v>-75.446151156224332</v>
      </c>
      <c r="K1001" s="8">
        <f t="shared" si="236"/>
        <v>204.54454639411978</v>
      </c>
      <c r="L1001" s="8">
        <f t="shared" si="237"/>
        <v>-8.5908709485530306</v>
      </c>
      <c r="M1001" s="8">
        <f t="shared" si="234"/>
        <v>122.22276487308338</v>
      </c>
      <c r="N1001" s="8">
        <f t="shared" si="238"/>
        <v>24.999999999999996</v>
      </c>
      <c r="O1001" s="8">
        <f t="shared" si="239"/>
        <v>26.757215801302198</v>
      </c>
    </row>
    <row r="1002" spans="1:15" x14ac:dyDescent="0.3">
      <c r="A1002" s="5">
        <f t="shared" si="225"/>
        <v>9.9399999999998325</v>
      </c>
      <c r="B1002" s="5">
        <f t="shared" si="235"/>
        <v>130.76060575405276</v>
      </c>
      <c r="C1002" s="6">
        <f t="shared" si="233"/>
        <v>5043.6233647991776</v>
      </c>
      <c r="D1002" s="6">
        <f t="shared" si="226"/>
        <v>25438136.645948179</v>
      </c>
      <c r="E1002" s="7">
        <f t="shared" si="227"/>
        <v>6248571.4285714282</v>
      </c>
      <c r="F1002" s="7">
        <f t="shared" si="228"/>
        <v>124.97142857142855</v>
      </c>
      <c r="G1002" s="7">
        <f t="shared" si="229"/>
        <v>19189565.21737675</v>
      </c>
      <c r="H1002" s="6">
        <f t="shared" si="230"/>
        <v>4380.5895970036672</v>
      </c>
      <c r="I1002" s="7">
        <f t="shared" si="231"/>
        <v>-5.3054828241524614</v>
      </c>
      <c r="J1002" s="7">
        <f t="shared" si="232"/>
        <v>-75.410940480818383</v>
      </c>
      <c r="K1002" s="8">
        <f t="shared" si="236"/>
        <v>204.64005178873779</v>
      </c>
      <c r="L1002" s="8">
        <f t="shared" si="237"/>
        <v>-8.5948821751269868</v>
      </c>
      <c r="M1002" s="8">
        <f t="shared" si="234"/>
        <v>122.16572357892578</v>
      </c>
      <c r="N1002" s="8">
        <f t="shared" si="238"/>
        <v>24.999999999999996</v>
      </c>
      <c r="O1002" s="8">
        <f t="shared" si="239"/>
        <v>26.758857133436081</v>
      </c>
    </row>
    <row r="1003" spans="1:15" x14ac:dyDescent="0.3">
      <c r="A1003" s="5">
        <f t="shared" si="225"/>
        <v>9.9499999999998323</v>
      </c>
      <c r="B1003" s="5">
        <f t="shared" si="235"/>
        <v>130.70755092581123</v>
      </c>
      <c r="C1003" s="6">
        <f t="shared" si="233"/>
        <v>5041.5769642812902</v>
      </c>
      <c r="D1003" s="6">
        <f t="shared" si="226"/>
        <v>25417498.286771748</v>
      </c>
      <c r="E1003" s="7">
        <f t="shared" si="227"/>
        <v>6248571.4285714282</v>
      </c>
      <c r="F1003" s="7">
        <f t="shared" si="228"/>
        <v>124.97142857142855</v>
      </c>
      <c r="G1003" s="7">
        <f t="shared" si="229"/>
        <v>19168926.858200319</v>
      </c>
      <c r="H1003" s="6">
        <f t="shared" si="230"/>
        <v>4378.2333033085752</v>
      </c>
      <c r="I1003" s="7">
        <f t="shared" si="231"/>
        <v>-5.3079625363614609</v>
      </c>
      <c r="J1003" s="7">
        <f t="shared" si="232"/>
        <v>-75.375710874633143</v>
      </c>
      <c r="K1003" s="8">
        <f t="shared" si="236"/>
        <v>204.73569783108491</v>
      </c>
      <c r="L1003" s="8">
        <f t="shared" si="237"/>
        <v>-8.5988993089055654</v>
      </c>
      <c r="M1003" s="8">
        <f t="shared" si="234"/>
        <v>122.10865161690566</v>
      </c>
      <c r="N1003" s="8">
        <f t="shared" si="238"/>
        <v>25.000000000000014</v>
      </c>
      <c r="O1003" s="8">
        <f t="shared" si="239"/>
        <v>26.760501650588029</v>
      </c>
    </row>
    <row r="1004" spans="1:15" x14ac:dyDescent="0.3">
      <c r="A1004" s="5">
        <f t="shared" si="225"/>
        <v>9.9599999999998321</v>
      </c>
      <c r="B1004" s="5">
        <f t="shared" si="235"/>
        <v>130.65447130044763</v>
      </c>
      <c r="C1004" s="6">
        <f t="shared" si="233"/>
        <v>5039.5296073029795</v>
      </c>
      <c r="D1004" s="6">
        <f t="shared" si="226"/>
        <v>25396858.662883323</v>
      </c>
      <c r="E1004" s="7">
        <f t="shared" si="227"/>
        <v>6248571.4285714282</v>
      </c>
      <c r="F1004" s="7">
        <f t="shared" si="228"/>
        <v>124.97142857142855</v>
      </c>
      <c r="G1004" s="7">
        <f t="shared" si="229"/>
        <v>19148287.234311894</v>
      </c>
      <c r="H1004" s="6">
        <f t="shared" si="230"/>
        <v>4375.8755963020585</v>
      </c>
      <c r="I1004" s="7">
        <f t="shared" si="231"/>
        <v>-5.3104459042140464</v>
      </c>
      <c r="J1004" s="7">
        <f t="shared" si="232"/>
        <v>-75.340462305938814</v>
      </c>
      <c r="K1004" s="8">
        <f t="shared" si="236"/>
        <v>204.83148487682749</v>
      </c>
      <c r="L1004" s="8">
        <f t="shared" si="237"/>
        <v>-8.6029223648267532</v>
      </c>
      <c r="M1004" s="8">
        <f t="shared" si="234"/>
        <v>122.05154893562087</v>
      </c>
      <c r="N1004" s="8">
        <f t="shared" si="238"/>
        <v>24.999999999999996</v>
      </c>
      <c r="O1004" s="8">
        <f t="shared" si="239"/>
        <v>26.762149362267529</v>
      </c>
    </row>
    <row r="1005" spans="1:15" x14ac:dyDescent="0.3">
      <c r="A1005" s="5">
        <f t="shared" si="225"/>
        <v>9.9699999999998319</v>
      </c>
      <c r="B1005" s="5">
        <f t="shared" si="235"/>
        <v>130.60136684140548</v>
      </c>
      <c r="C1005" s="6">
        <f t="shared" si="233"/>
        <v>5037.4812924542111</v>
      </c>
      <c r="D1005" s="6">
        <f t="shared" si="226"/>
        <v>25376217.771826148</v>
      </c>
      <c r="E1005" s="7">
        <f t="shared" si="227"/>
        <v>6248571.4285714282</v>
      </c>
      <c r="F1005" s="7">
        <f t="shared" si="228"/>
        <v>124.97142857142855</v>
      </c>
      <c r="G1005" s="7">
        <f t="shared" si="229"/>
        <v>19127646.343254719</v>
      </c>
      <c r="H1005" s="6">
        <f t="shared" si="230"/>
        <v>4373.5164734175542</v>
      </c>
      <c r="I1005" s="7">
        <f t="shared" si="231"/>
        <v>-5.3129329369645628</v>
      </c>
      <c r="J1005" s="7">
        <f t="shared" si="232"/>
        <v>-75.305194742915376</v>
      </c>
      <c r="K1005" s="8">
        <f t="shared" si="236"/>
        <v>204.92741328291885</v>
      </c>
      <c r="L1005" s="8">
        <f t="shared" si="237"/>
        <v>-8.6069513578825916</v>
      </c>
      <c r="M1005" s="8">
        <f t="shared" si="234"/>
        <v>121.99441548352289</v>
      </c>
      <c r="N1005" s="8">
        <f t="shared" si="238"/>
        <v>25.000000000000007</v>
      </c>
      <c r="O1005" s="8">
        <f t="shared" si="239"/>
        <v>26.763800278022796</v>
      </c>
    </row>
    <row r="1006" spans="1:15" x14ac:dyDescent="0.3">
      <c r="A1006" s="5">
        <f t="shared" si="225"/>
        <v>9.9799999999998317</v>
      </c>
      <c r="B1006" s="5">
        <f t="shared" si="235"/>
        <v>130.54823751203583</v>
      </c>
      <c r="C1006" s="6">
        <f t="shared" si="233"/>
        <v>5035.4320183213813</v>
      </c>
      <c r="D1006" s="6">
        <f t="shared" si="226"/>
        <v>25355575.611136138</v>
      </c>
      <c r="E1006" s="7">
        <f t="shared" si="227"/>
        <v>6248571.4285714282</v>
      </c>
      <c r="F1006" s="7">
        <f t="shared" si="228"/>
        <v>124.97142857142855</v>
      </c>
      <c r="G1006" s="7">
        <f t="shared" si="229"/>
        <v>19107004.182564709</v>
      </c>
      <c r="H1006" s="6">
        <f t="shared" si="230"/>
        <v>4371.1559320807473</v>
      </c>
      <c r="I1006" s="7">
        <f t="shared" si="231"/>
        <v>-5.3154236439008216</v>
      </c>
      <c r="J1006" s="7">
        <f t="shared" si="232"/>
        <v>-75.269908153652167</v>
      </c>
      <c r="K1006" s="8">
        <f t="shared" si="236"/>
        <v>205.02348340760309</v>
      </c>
      <c r="L1006" s="8">
        <f t="shared" si="237"/>
        <v>-8.6109863031193292</v>
      </c>
      <c r="M1006" s="8">
        <f t="shared" si="234"/>
        <v>121.93725120891649</v>
      </c>
      <c r="N1006" s="8">
        <f t="shared" si="238"/>
        <v>25.000000000000021</v>
      </c>
      <c r="O1006" s="8">
        <f t="shared" si="239"/>
        <v>26.765454407440707</v>
      </c>
    </row>
    <row r="1007" spans="1:15" x14ac:dyDescent="0.3">
      <c r="A1007" s="5">
        <f t="shared" si="225"/>
        <v>9.9899999999998315</v>
      </c>
      <c r="B1007" s="5">
        <f t="shared" si="235"/>
        <v>130.49508327559681</v>
      </c>
      <c r="C1007" s="6">
        <f t="shared" si="233"/>
        <v>5033.3817834873053</v>
      </c>
      <c r="D1007" s="6">
        <f t="shared" si="226"/>
        <v>25334932.178341847</v>
      </c>
      <c r="E1007" s="7">
        <f t="shared" si="227"/>
        <v>6248571.4285714282</v>
      </c>
      <c r="F1007" s="7">
        <f t="shared" si="228"/>
        <v>124.97142857142855</v>
      </c>
      <c r="G1007" s="7">
        <f t="shared" si="229"/>
        <v>19086360.749770418</v>
      </c>
      <c r="H1007" s="6">
        <f t="shared" si="230"/>
        <v>4368.7939697095371</v>
      </c>
      <c r="I1007" s="7">
        <f t="shared" si="231"/>
        <v>-5.3179180343442818</v>
      </c>
      <c r="J1007" s="7">
        <f t="shared" si="232"/>
        <v>-75.234602506147596</v>
      </c>
      <c r="K1007" s="8">
        <f t="shared" si="236"/>
        <v>205.1196956104223</v>
      </c>
      <c r="L1007" s="8">
        <f t="shared" si="237"/>
        <v>-8.6150272156377348</v>
      </c>
      <c r="M1007" s="8">
        <f t="shared" si="234"/>
        <v>121.88005605995907</v>
      </c>
      <c r="N1007" s="8">
        <f t="shared" si="238"/>
        <v>25.000000000000011</v>
      </c>
      <c r="O1007" s="8">
        <f t="shared" si="239"/>
        <v>26.767111760147127</v>
      </c>
    </row>
    <row r="1008" spans="1:15" x14ac:dyDescent="0.3">
      <c r="A1008" s="5">
        <f t="shared" si="225"/>
        <v>9.9999999999998312</v>
      </c>
      <c r="B1008" s="5">
        <f t="shared" si="235"/>
        <v>130.44190409525336</v>
      </c>
      <c r="C1008" s="6">
        <f t="shared" si="233"/>
        <v>5031.3305865312013</v>
      </c>
      <c r="D1008" s="6">
        <f t="shared" si="226"/>
        <v>25314287.470964402</v>
      </c>
      <c r="E1008" s="7">
        <f t="shared" si="227"/>
        <v>6248571.4285714282</v>
      </c>
      <c r="F1008" s="7">
        <f t="shared" si="228"/>
        <v>124.97142857142855</v>
      </c>
      <c r="G1008" s="7">
        <f t="shared" si="229"/>
        <v>19065716.042392973</v>
      </c>
      <c r="H1008" s="6">
        <f t="shared" si="230"/>
        <v>4366.4305837139991</v>
      </c>
      <c r="I1008" s="7">
        <f t="shared" si="231"/>
        <v>-5.3204161176502245</v>
      </c>
      <c r="J1008" s="7">
        <f t="shared" si="232"/>
        <v>-75.199277768308662</v>
      </c>
      <c r="K1008" s="8">
        <f t="shared" si="236"/>
        <v>205.21605025222294</v>
      </c>
      <c r="L1008" s="8">
        <f t="shared" si="237"/>
        <v>-8.6190741105933633</v>
      </c>
      <c r="M1008" s="8">
        <f t="shared" si="234"/>
        <v>121.82282998466</v>
      </c>
      <c r="N1008" s="8">
        <f t="shared" si="238"/>
        <v>25</v>
      </c>
      <c r="O1008" s="8">
        <f t="shared" si="239"/>
        <v>26.768772345807161</v>
      </c>
    </row>
    <row r="1009" spans="1:15" x14ac:dyDescent="0.3">
      <c r="A1009" s="5">
        <f t="shared" si="225"/>
        <v>10.009999999999831</v>
      </c>
      <c r="B1009" s="5">
        <f t="shared" si="235"/>
        <v>130.38869993407687</v>
      </c>
      <c r="C1009" s="6">
        <f t="shared" si="233"/>
        <v>5029.278426028679</v>
      </c>
      <c r="D1009" s="6">
        <f t="shared" si="226"/>
        <v>25293641.486517508</v>
      </c>
      <c r="E1009" s="7">
        <f t="shared" si="227"/>
        <v>6248571.4285714282</v>
      </c>
      <c r="F1009" s="7">
        <f t="shared" si="228"/>
        <v>124.97142857142855</v>
      </c>
      <c r="G1009" s="7">
        <f t="shared" si="229"/>
        <v>19045070.057946078</v>
      </c>
      <c r="H1009" s="6">
        <f t="shared" si="230"/>
        <v>4364.0657714963554</v>
      </c>
      <c r="I1009" s="7">
        <f t="shared" si="231"/>
        <v>-5.3229179032078937</v>
      </c>
      <c r="J1009" s="7">
        <f t="shared" si="232"/>
        <v>-75.163933907950693</v>
      </c>
      <c r="K1009" s="8">
        <f t="shared" si="236"/>
        <v>205.31254769516161</v>
      </c>
      <c r="L1009" s="8">
        <f t="shared" si="237"/>
        <v>-8.623127003196787</v>
      </c>
      <c r="M1009" s="8">
        <f t="shared" si="234"/>
        <v>121.76557293088008</v>
      </c>
      <c r="N1009" s="8">
        <f t="shared" si="238"/>
        <v>24.999999999999996</v>
      </c>
      <c r="O1009" s="8">
        <f t="shared" si="239"/>
        <v>26.770436174125273</v>
      </c>
    </row>
    <row r="1010" spans="1:15" x14ac:dyDescent="0.3">
      <c r="A1010" s="5">
        <f t="shared" si="225"/>
        <v>10.019999999999831</v>
      </c>
      <c r="B1010" s="5">
        <f t="shared" si="235"/>
        <v>130.33547075504478</v>
      </c>
      <c r="C1010" s="6">
        <f t="shared" si="233"/>
        <v>5027.2253005517268</v>
      </c>
      <c r="D1010" s="6">
        <f t="shared" si="226"/>
        <v>25272994.222507399</v>
      </c>
      <c r="E1010" s="7">
        <f t="shared" si="227"/>
        <v>6248571.4285714282</v>
      </c>
      <c r="F1010" s="7">
        <f t="shared" si="228"/>
        <v>124.97142857142855</v>
      </c>
      <c r="G1010" s="7">
        <f t="shared" si="229"/>
        <v>19024422.793935969</v>
      </c>
      <c r="H1010" s="6">
        <f t="shared" si="230"/>
        <v>4361.6995304509419</v>
      </c>
      <c r="I1010" s="7">
        <f t="shared" si="231"/>
        <v>-5.3254234004406671</v>
      </c>
      <c r="J1010" s="7">
        <f t="shared" si="232"/>
        <v>-75.128570892796859</v>
      </c>
      <c r="K1010" s="8">
        <f t="shared" si="236"/>
        <v>205.40918830271144</v>
      </c>
      <c r="L1010" s="8">
        <f t="shared" si="237"/>
        <v>-8.62718590871388</v>
      </c>
      <c r="M1010" s="8">
        <f t="shared" si="234"/>
        <v>121.7082848463309</v>
      </c>
      <c r="N1010" s="8">
        <f t="shared" si="238"/>
        <v>25.000000000000025</v>
      </c>
      <c r="O1010" s="8">
        <f t="shared" si="239"/>
        <v>26.772103254845533</v>
      </c>
    </row>
    <row r="1011" spans="1:15" x14ac:dyDescent="0.3">
      <c r="A1011" s="5">
        <f t="shared" si="225"/>
        <v>10.029999999999831</v>
      </c>
      <c r="B1011" s="5">
        <f t="shared" si="235"/>
        <v>130.28221652104037</v>
      </c>
      <c r="C1011" s="6">
        <f t="shared" si="233"/>
        <v>5025.1712086686994</v>
      </c>
      <c r="D1011" s="6">
        <f t="shared" si="226"/>
        <v>25252345.676432837</v>
      </c>
      <c r="E1011" s="7">
        <f t="shared" si="227"/>
        <v>6248571.4285714282</v>
      </c>
      <c r="F1011" s="7">
        <f t="shared" si="228"/>
        <v>124.97142857142855</v>
      </c>
      <c r="G1011" s="7">
        <f t="shared" si="229"/>
        <v>19003774.247861408</v>
      </c>
      <c r="H1011" s="6">
        <f t="shared" si="230"/>
        <v>4359.3318579641773</v>
      </c>
      <c r="I1011" s="7">
        <f t="shared" si="231"/>
        <v>-5.3279326188061908</v>
      </c>
      <c r="J1011" s="7">
        <f t="shared" si="232"/>
        <v>-75.093188690478001</v>
      </c>
      <c r="K1011" s="8">
        <f t="shared" si="236"/>
        <v>205.50597243966735</v>
      </c>
      <c r="L1011" s="8">
        <f t="shared" si="237"/>
        <v>-8.6312508424660273</v>
      </c>
      <c r="M1011" s="8">
        <f t="shared" si="234"/>
        <v>121.65096567857434</v>
      </c>
      <c r="N1011" s="8">
        <f t="shared" si="238"/>
        <v>25.000000000000014</v>
      </c>
      <c r="O1011" s="8">
        <f t="shared" si="239"/>
        <v>26.773773597751696</v>
      </c>
    </row>
    <row r="1012" spans="1:15" x14ac:dyDescent="0.3">
      <c r="A1012" s="5">
        <f t="shared" si="225"/>
        <v>10.03999999999983</v>
      </c>
      <c r="B1012" s="5">
        <f t="shared" si="235"/>
        <v>130.22893719485231</v>
      </c>
      <c r="C1012" s="6">
        <f t="shared" si="233"/>
        <v>5023.1161489443029</v>
      </c>
      <c r="D1012" s="6">
        <f t="shared" si="226"/>
        <v>25231695.845785044</v>
      </c>
      <c r="E1012" s="7">
        <f t="shared" si="227"/>
        <v>6248571.4285714282</v>
      </c>
      <c r="F1012" s="7">
        <f t="shared" si="228"/>
        <v>124.97142857142855</v>
      </c>
      <c r="G1012" s="7">
        <f t="shared" si="229"/>
        <v>18983124.417213615</v>
      </c>
      <c r="H1012" s="6">
        <f t="shared" si="230"/>
        <v>4356.9627514145232</v>
      </c>
      <c r="I1012" s="7">
        <f t="shared" si="231"/>
        <v>-5.330445567796593</v>
      </c>
      <c r="J1012" s="7">
        <f t="shared" si="232"/>
        <v>-75.057787268531996</v>
      </c>
      <c r="K1012" s="8">
        <f t="shared" si="236"/>
        <v>205.60290047215429</v>
      </c>
      <c r="L1012" s="8">
        <f t="shared" si="237"/>
        <v>-8.6353218198304784</v>
      </c>
      <c r="M1012" s="8">
        <f t="shared" si="234"/>
        <v>121.59361537502183</v>
      </c>
      <c r="N1012" s="8">
        <f t="shared" si="238"/>
        <v>25.000000000000021</v>
      </c>
      <c r="O1012" s="8">
        <f t="shared" si="239"/>
        <v>26.77544721266765</v>
      </c>
    </row>
    <row r="1013" spans="1:15" x14ac:dyDescent="0.3">
      <c r="A1013" s="5">
        <f t="shared" ref="A1013:A1076" si="240">A1012+$B$5</f>
        <v>10.04999999999983</v>
      </c>
      <c r="B1013" s="5">
        <f t="shared" si="235"/>
        <v>130.17563273917435</v>
      </c>
      <c r="C1013" s="6">
        <f t="shared" si="233"/>
        <v>5021.0601199395815</v>
      </c>
      <c r="D1013" s="6">
        <f t="shared" ref="D1013:D1076" si="241">POWER(C1013,2)</f>
        <v>25211044.728047684</v>
      </c>
      <c r="E1013" s="7">
        <f t="shared" ref="E1013:E1076" si="242">4*$B$2*$B$3*POWER($B$1,2)</f>
        <v>6248571.4285714282</v>
      </c>
      <c r="F1013" s="7">
        <f t="shared" ref="F1013:F1076" si="243">POWER($B$1,2)*2*$B$2</f>
        <v>124.97142857142855</v>
      </c>
      <c r="G1013" s="7">
        <f t="shared" ref="G1013:G1076" si="244">D1013-E1013</f>
        <v>18962473.299476255</v>
      </c>
      <c r="H1013" s="6">
        <f t="shared" ref="H1013:H1076" si="245">SQRT(G1013)</f>
        <v>4354.5922081724548</v>
      </c>
      <c r="I1013" s="7">
        <f t="shared" ref="I1013:I1076" si="246">(-C1013+H1013)/F1013</f>
        <v>-5.3329622569386004</v>
      </c>
      <c r="J1013" s="7">
        <f t="shared" ref="J1013:J1076" si="247">(-C1013-H1013)/F1013</f>
        <v>-75.022366594403593</v>
      </c>
      <c r="K1013" s="8">
        <f t="shared" si="236"/>
        <v>205.69997276763172</v>
      </c>
      <c r="L1013" s="8">
        <f t="shared" si="237"/>
        <v>-8.6393988562405308</v>
      </c>
      <c r="M1013" s="8">
        <f t="shared" si="234"/>
        <v>121.53623388293381</v>
      </c>
      <c r="N1013" s="8">
        <f t="shared" si="238"/>
        <v>25.000000000000004</v>
      </c>
      <c r="O1013" s="8">
        <f t="shared" si="239"/>
        <v>26.777124109457393</v>
      </c>
    </row>
    <row r="1014" spans="1:15" x14ac:dyDescent="0.3">
      <c r="A1014" s="5">
        <f t="shared" si="240"/>
        <v>10.05999999999983</v>
      </c>
      <c r="B1014" s="5">
        <f t="shared" si="235"/>
        <v>130.12230311660497</v>
      </c>
      <c r="C1014" s="6">
        <f t="shared" si="233"/>
        <v>5019.0031202119053</v>
      </c>
      <c r="D1014" s="6">
        <f t="shared" si="241"/>
        <v>25190392.320696842</v>
      </c>
      <c r="E1014" s="7">
        <f t="shared" si="242"/>
        <v>6248571.4285714282</v>
      </c>
      <c r="F1014" s="7">
        <f t="shared" si="243"/>
        <v>124.97142857142855</v>
      </c>
      <c r="G1014" s="7">
        <f t="shared" si="244"/>
        <v>18941820.892125413</v>
      </c>
      <c r="H1014" s="6">
        <f t="shared" si="245"/>
        <v>4352.2202256004248</v>
      </c>
      <c r="I1014" s="7">
        <f t="shared" si="246"/>
        <v>-5.3354826957937407</v>
      </c>
      <c r="J1014" s="7">
        <f t="shared" si="247"/>
        <v>-74.986926635443893</v>
      </c>
      <c r="K1014" s="8">
        <f t="shared" si="236"/>
        <v>205.79718969490142</v>
      </c>
      <c r="L1014" s="8">
        <f t="shared" si="237"/>
        <v>-8.643481967185858</v>
      </c>
      <c r="M1014" s="8">
        <f t="shared" si="234"/>
        <v>121.4788211494191</v>
      </c>
      <c r="N1014" s="8">
        <f t="shared" si="238"/>
        <v>25.000000000000007</v>
      </c>
      <c r="O1014" s="8">
        <f t="shared" si="239"/>
        <v>26.778804298025413</v>
      </c>
    </row>
    <row r="1015" spans="1:15" x14ac:dyDescent="0.3">
      <c r="A1015" s="5">
        <f t="shared" si="240"/>
        <v>10.06999999999983</v>
      </c>
      <c r="B1015" s="5">
        <f t="shared" si="235"/>
        <v>130.06894828964704</v>
      </c>
      <c r="C1015" s="6">
        <f t="shared" si="233"/>
        <v>5016.9451483149569</v>
      </c>
      <c r="D1015" s="6">
        <f t="shared" si="241"/>
        <v>25169738.621200986</v>
      </c>
      <c r="E1015" s="7">
        <f t="shared" si="242"/>
        <v>6248571.4285714282</v>
      </c>
      <c r="F1015" s="7">
        <f t="shared" si="243"/>
        <v>124.97142857142855</v>
      </c>
      <c r="G1015" s="7">
        <f t="shared" si="244"/>
        <v>18921167.192629557</v>
      </c>
      <c r="H1015" s="6">
        <f t="shared" si="245"/>
        <v>4349.8468010528322</v>
      </c>
      <c r="I1015" s="7">
        <f t="shared" si="246"/>
        <v>-5.3380068939584744</v>
      </c>
      <c r="J1015" s="7">
        <f t="shared" si="247"/>
        <v>-74.951467358910079</v>
      </c>
      <c r="K1015" s="8">
        <f t="shared" si="236"/>
        <v>205.89455162411258</v>
      </c>
      <c r="L1015" s="8">
        <f t="shared" si="237"/>
        <v>-8.6475711682127283</v>
      </c>
      <c r="M1015" s="8">
        <f t="shared" si="234"/>
        <v>121.42137712143432</v>
      </c>
      <c r="N1015" s="8">
        <f t="shared" si="238"/>
        <v>25</v>
      </c>
      <c r="O1015" s="8">
        <f t="shared" si="239"/>
        <v>26.780487788316762</v>
      </c>
    </row>
    <row r="1016" spans="1:15" x14ac:dyDescent="0.3">
      <c r="A1016" s="5">
        <f t="shared" si="240"/>
        <v>10.07999999999983</v>
      </c>
      <c r="B1016" s="5">
        <f t="shared" si="235"/>
        <v>130.01556822070745</v>
      </c>
      <c r="C1016" s="6">
        <f t="shared" si="233"/>
        <v>5014.8862027987161</v>
      </c>
      <c r="D1016" s="6">
        <f t="shared" si="241"/>
        <v>25149083.627020925</v>
      </c>
      <c r="E1016" s="7">
        <f t="shared" si="242"/>
        <v>6248571.4285714282</v>
      </c>
      <c r="F1016" s="7">
        <f t="shared" si="243"/>
        <v>124.97142857142855</v>
      </c>
      <c r="G1016" s="7">
        <f t="shared" si="244"/>
        <v>18900512.198449496</v>
      </c>
      <c r="H1016" s="6">
        <f t="shared" si="245"/>
        <v>4347.4719318759835</v>
      </c>
      <c r="I1016" s="7">
        <f t="shared" si="246"/>
        <v>-5.3405348610643912</v>
      </c>
      <c r="J1016" s="7">
        <f t="shared" si="247"/>
        <v>-74.915988731964916</v>
      </c>
      <c r="K1016" s="8">
        <f t="shared" si="236"/>
        <v>205.99205892676937</v>
      </c>
      <c r="L1016" s="8">
        <f t="shared" si="237"/>
        <v>-8.651666474924312</v>
      </c>
      <c r="M1016" s="8">
        <f t="shared" si="234"/>
        <v>121.36390174578314</v>
      </c>
      <c r="N1016" s="8">
        <f t="shared" si="238"/>
        <v>25.000000000000007</v>
      </c>
      <c r="O1016" s="8">
        <f t="shared" si="239"/>
        <v>26.782174590317371</v>
      </c>
    </row>
    <row r="1017" spans="1:15" x14ac:dyDescent="0.3">
      <c r="A1017" s="5">
        <f t="shared" si="240"/>
        <v>10.089999999999829</v>
      </c>
      <c r="B1017" s="5">
        <f t="shared" si="235"/>
        <v>129.9621628720968</v>
      </c>
      <c r="C1017" s="6">
        <f t="shared" si="233"/>
        <v>5012.8262822094475</v>
      </c>
      <c r="D1017" s="6">
        <f t="shared" si="241"/>
        <v>25128427.33560979</v>
      </c>
      <c r="E1017" s="7">
        <f t="shared" si="242"/>
        <v>6248571.4285714282</v>
      </c>
      <c r="F1017" s="7">
        <f t="shared" si="243"/>
        <v>124.97142857142855</v>
      </c>
      <c r="G1017" s="7">
        <f t="shared" si="244"/>
        <v>18879855.907038361</v>
      </c>
      <c r="H1017" s="6">
        <f t="shared" si="245"/>
        <v>4345.0956154080613</v>
      </c>
      <c r="I1017" s="7">
        <f t="shared" si="246"/>
        <v>-5.3430666067783541</v>
      </c>
      <c r="J1017" s="7">
        <f t="shared" si="247"/>
        <v>-74.880490721676466</v>
      </c>
      <c r="K1017" s="8">
        <f t="shared" si="236"/>
        <v>206.08971197573649</v>
      </c>
      <c r="L1017" s="8">
        <f t="shared" si="237"/>
        <v>-8.6557679029809318</v>
      </c>
      <c r="M1017" s="8">
        <f t="shared" si="234"/>
        <v>121.30639496911587</v>
      </c>
      <c r="N1017" s="8">
        <f t="shared" si="238"/>
        <v>25.000000000000021</v>
      </c>
      <c r="O1017" s="8">
        <f t="shared" si="239"/>
        <v>26.783864714054182</v>
      </c>
    </row>
    <row r="1018" spans="1:15" x14ac:dyDescent="0.3">
      <c r="A1018" s="5">
        <f t="shared" si="240"/>
        <v>10.099999999999829</v>
      </c>
      <c r="B1018" s="5">
        <f t="shared" si="235"/>
        <v>129.90873220602901</v>
      </c>
      <c r="C1018" s="6">
        <f t="shared" si="233"/>
        <v>5010.7653850896904</v>
      </c>
      <c r="D1018" s="6">
        <f t="shared" si="241"/>
        <v>25107769.744413033</v>
      </c>
      <c r="E1018" s="7">
        <f t="shared" si="242"/>
        <v>6248571.4285714282</v>
      </c>
      <c r="F1018" s="7">
        <f t="shared" si="243"/>
        <v>124.97142857142855</v>
      </c>
      <c r="G1018" s="7">
        <f t="shared" si="244"/>
        <v>18859198.315841604</v>
      </c>
      <c r="H1018" s="6">
        <f t="shared" si="245"/>
        <v>4342.7178489790931</v>
      </c>
      <c r="I1018" s="7">
        <f t="shared" si="246"/>
        <v>-5.3456021408026775</v>
      </c>
      <c r="J1018" s="7">
        <f t="shared" si="247"/>
        <v>-74.844973295017709</v>
      </c>
      <c r="K1018" s="8">
        <f t="shared" si="236"/>
        <v>206.18751114524613</v>
      </c>
      <c r="L1018" s="8">
        <f t="shared" si="237"/>
        <v>-8.6598754681003367</v>
      </c>
      <c r="M1018" s="8">
        <f t="shared" si="234"/>
        <v>121.24885673792868</v>
      </c>
      <c r="N1018" s="8">
        <f t="shared" si="238"/>
        <v>25.000000000000021</v>
      </c>
      <c r="O1018" s="8">
        <f t="shared" si="239"/>
        <v>26.785558169595401</v>
      </c>
    </row>
    <row r="1019" spans="1:15" x14ac:dyDescent="0.3">
      <c r="A1019" s="5">
        <f t="shared" si="240"/>
        <v>10.109999999999829</v>
      </c>
      <c r="B1019" s="5">
        <f t="shared" si="235"/>
        <v>129.85527618462098</v>
      </c>
      <c r="C1019" s="6">
        <f t="shared" si="233"/>
        <v>5008.703509978237</v>
      </c>
      <c r="D1019" s="6">
        <f t="shared" si="241"/>
        <v>25087110.850868311</v>
      </c>
      <c r="E1019" s="7">
        <f t="shared" si="242"/>
        <v>6248571.4285714282</v>
      </c>
      <c r="F1019" s="7">
        <f t="shared" si="243"/>
        <v>124.97142857142855</v>
      </c>
      <c r="G1019" s="7">
        <f t="shared" si="244"/>
        <v>18838539.422296882</v>
      </c>
      <c r="H1019" s="6">
        <f t="shared" si="245"/>
        <v>4340.3386299109061</v>
      </c>
      <c r="I1019" s="7">
        <f t="shared" si="246"/>
        <v>-5.3481414728753052</v>
      </c>
      <c r="J1019" s="7">
        <f t="shared" si="247"/>
        <v>-74.809436418866042</v>
      </c>
      <c r="K1019" s="8">
        <f t="shared" si="236"/>
        <v>206.28545681090461</v>
      </c>
      <c r="L1019" s="8">
        <f t="shared" si="237"/>
        <v>-8.663989186057993</v>
      </c>
      <c r="M1019" s="8">
        <f t="shared" si="234"/>
        <v>121.19128699856299</v>
      </c>
      <c r="N1019" s="8">
        <f t="shared" si="238"/>
        <v>25.000000000000011</v>
      </c>
      <c r="O1019" s="8">
        <f t="shared" si="239"/>
        <v>26.787254967050721</v>
      </c>
    </row>
    <row r="1020" spans="1:15" x14ac:dyDescent="0.3">
      <c r="A1020" s="5">
        <f t="shared" si="240"/>
        <v>10.119999999999829</v>
      </c>
      <c r="B1020" s="5">
        <f t="shared" si="235"/>
        <v>129.80179476989221</v>
      </c>
      <c r="C1020" s="6">
        <f t="shared" si="233"/>
        <v>5006.6406554101277</v>
      </c>
      <c r="D1020" s="6">
        <f t="shared" si="241"/>
        <v>25066450.652405553</v>
      </c>
      <c r="E1020" s="7">
        <f t="shared" si="242"/>
        <v>6248571.4285714282</v>
      </c>
      <c r="F1020" s="7">
        <f t="shared" si="243"/>
        <v>124.97142857142855</v>
      </c>
      <c r="G1020" s="7">
        <f t="shared" si="244"/>
        <v>18817879.223834123</v>
      </c>
      <c r="H1020" s="6">
        <f t="shared" si="245"/>
        <v>4337.9579555171031</v>
      </c>
      <c r="I1020" s="7">
        <f t="shared" si="246"/>
        <v>-5.3506846127699736</v>
      </c>
      <c r="J1020" s="7">
        <f t="shared" si="247"/>
        <v>-74.773880060003009</v>
      </c>
      <c r="K1020" s="8">
        <f t="shared" si="236"/>
        <v>206.38354934969897</v>
      </c>
      <c r="L1020" s="8">
        <f t="shared" si="237"/>
        <v>-8.668109072687356</v>
      </c>
      <c r="M1020" s="8">
        <f t="shared" si="234"/>
        <v>121.13368569720485</v>
      </c>
      <c r="N1020" s="8">
        <f t="shared" si="238"/>
        <v>25.000000000000004</v>
      </c>
      <c r="O1020" s="8">
        <f t="shared" si="239"/>
        <v>26.788955116571547</v>
      </c>
    </row>
    <row r="1021" spans="1:15" x14ac:dyDescent="0.3">
      <c r="A1021" s="5">
        <f t="shared" si="240"/>
        <v>10.129999999999828</v>
      </c>
      <c r="B1021" s="5">
        <f t="shared" si="235"/>
        <v>129.74828792376451</v>
      </c>
      <c r="C1021" s="6">
        <f t="shared" si="233"/>
        <v>5004.5768199166305</v>
      </c>
      <c r="D1021" s="6">
        <f t="shared" si="241"/>
        <v>25045789.146446854</v>
      </c>
      <c r="E1021" s="7">
        <f t="shared" si="242"/>
        <v>6248571.4285714282</v>
      </c>
      <c r="F1021" s="7">
        <f t="shared" si="243"/>
        <v>124.97142857142855</v>
      </c>
      <c r="G1021" s="7">
        <f t="shared" si="244"/>
        <v>18797217.717875425</v>
      </c>
      <c r="H1021" s="6">
        <f t="shared" si="245"/>
        <v>4335.5758231030195</v>
      </c>
      <c r="I1021" s="7">
        <f t="shared" si="246"/>
        <v>-5.3532315702963853</v>
      </c>
      <c r="J1021" s="7">
        <f t="shared" si="247"/>
        <v>-74.738304185113819</v>
      </c>
      <c r="K1021" s="8">
        <f t="shared" si="236"/>
        <v>206.48178914000343</v>
      </c>
      <c r="L1021" s="8">
        <f t="shared" si="237"/>
        <v>-8.6722351438801439</v>
      </c>
      <c r="M1021" s="8">
        <f t="shared" si="234"/>
        <v>121.07605277988436</v>
      </c>
      <c r="N1021" s="8">
        <f t="shared" si="238"/>
        <v>25.000000000000011</v>
      </c>
      <c r="O1021" s="8">
        <f t="shared" si="239"/>
        <v>26.790658628351196</v>
      </c>
    </row>
    <row r="1022" spans="1:15" x14ac:dyDescent="0.3">
      <c r="A1022" s="5">
        <f t="shared" si="240"/>
        <v>10.139999999999828</v>
      </c>
      <c r="B1022" s="5">
        <f t="shared" si="235"/>
        <v>129.69475560806154</v>
      </c>
      <c r="C1022" s="6">
        <f t="shared" si="233"/>
        <v>5002.5120020252307</v>
      </c>
      <c r="D1022" s="6">
        <f t="shared" si="241"/>
        <v>25025126.330406483</v>
      </c>
      <c r="E1022" s="7">
        <f t="shared" si="242"/>
        <v>6248571.4285714282</v>
      </c>
      <c r="F1022" s="7">
        <f t="shared" si="243"/>
        <v>124.97142857142855</v>
      </c>
      <c r="G1022" s="7">
        <f t="shared" si="244"/>
        <v>18776554.901835054</v>
      </c>
      <c r="H1022" s="6">
        <f t="shared" si="245"/>
        <v>4333.1922299656926</v>
      </c>
      <c r="I1022" s="7">
        <f t="shared" si="246"/>
        <v>-5.3557823553003745</v>
      </c>
      <c r="J1022" s="7">
        <f t="shared" si="247"/>
        <v>-74.702708760787004</v>
      </c>
      <c r="K1022" s="8">
        <f t="shared" si="236"/>
        <v>206.58017656158586</v>
      </c>
      <c r="L1022" s="8">
        <f t="shared" si="237"/>
        <v>-8.676367415586606</v>
      </c>
      <c r="M1022" s="8">
        <f t="shared" si="234"/>
        <v>121.01838819247493</v>
      </c>
      <c r="N1022" s="8">
        <f t="shared" si="238"/>
        <v>25.000000000000007</v>
      </c>
      <c r="O1022" s="8">
        <f t="shared" si="239"/>
        <v>26.792365512625082</v>
      </c>
    </row>
    <row r="1023" spans="1:15" x14ac:dyDescent="0.3">
      <c r="A1023" s="5">
        <f t="shared" si="240"/>
        <v>10.149999999999828</v>
      </c>
      <c r="B1023" s="5">
        <f t="shared" si="235"/>
        <v>129.64119778450853</v>
      </c>
      <c r="C1023" s="6">
        <f t="shared" si="233"/>
        <v>5000.4462002596147</v>
      </c>
      <c r="D1023" s="6">
        <f t="shared" si="241"/>
        <v>25004462.201690819</v>
      </c>
      <c r="E1023" s="7">
        <f t="shared" si="242"/>
        <v>6248571.4285714282</v>
      </c>
      <c r="F1023" s="7">
        <f t="shared" si="243"/>
        <v>124.97142857142855</v>
      </c>
      <c r="G1023" s="7">
        <f t="shared" si="244"/>
        <v>18755890.77311939</v>
      </c>
      <c r="H1023" s="6">
        <f t="shared" si="245"/>
        <v>4330.8071733938223</v>
      </c>
      <c r="I1023" s="7">
        <f t="shared" si="246"/>
        <v>-5.3583369776640923</v>
      </c>
      <c r="J1023" s="7">
        <f t="shared" si="247"/>
        <v>-74.667093753514024</v>
      </c>
      <c r="K1023" s="8">
        <f t="shared" si="236"/>
        <v>206.67871199561498</v>
      </c>
      <c r="L1023" s="8">
        <f t="shared" si="237"/>
        <v>-8.6805059038158277</v>
      </c>
      <c r="M1023" s="8">
        <f t="shared" si="234"/>
        <v>120.96069188069271</v>
      </c>
      <c r="N1023" s="8">
        <f t="shared" si="238"/>
        <v>25.000000000000011</v>
      </c>
      <c r="O1023" s="8">
        <f t="shared" si="239"/>
        <v>26.794075779670997</v>
      </c>
    </row>
    <row r="1024" spans="1:15" x14ac:dyDescent="0.3">
      <c r="A1024" s="5">
        <f t="shared" si="240"/>
        <v>10.159999999999828</v>
      </c>
      <c r="B1024" s="5">
        <f t="shared" si="235"/>
        <v>129.58761441473189</v>
      </c>
      <c r="C1024" s="6">
        <f t="shared" si="233"/>
        <v>4998.379413139658</v>
      </c>
      <c r="D1024" s="6">
        <f t="shared" si="241"/>
        <v>24983796.757698353</v>
      </c>
      <c r="E1024" s="7">
        <f t="shared" si="242"/>
        <v>6248571.4285714282</v>
      </c>
      <c r="F1024" s="7">
        <f t="shared" si="243"/>
        <v>124.97142857142855</v>
      </c>
      <c r="G1024" s="7">
        <f t="shared" si="244"/>
        <v>18735225.329126924</v>
      </c>
      <c r="H1024" s="6">
        <f t="shared" si="245"/>
        <v>4328.4206506677383</v>
      </c>
      <c r="I1024" s="7">
        <f t="shared" si="246"/>
        <v>-5.3608954473061718</v>
      </c>
      <c r="J1024" s="7">
        <f t="shared" si="247"/>
        <v>-74.631459129688835</v>
      </c>
      <c r="K1024" s="8">
        <f t="shared" si="236"/>
        <v>206.77739582466663</v>
      </c>
      <c r="L1024" s="8">
        <f t="shared" si="237"/>
        <v>-8.6846506246359976</v>
      </c>
      <c r="M1024" s="8">
        <f t="shared" si="234"/>
        <v>120.9029637900959</v>
      </c>
      <c r="N1024" s="8">
        <f t="shared" si="238"/>
        <v>24.999999999999996</v>
      </c>
      <c r="O1024" s="8">
        <f t="shared" si="239"/>
        <v>26.79578943980929</v>
      </c>
    </row>
    <row r="1025" spans="1:15" x14ac:dyDescent="0.3">
      <c r="A1025" s="5">
        <f t="shared" si="240"/>
        <v>10.169999999999828</v>
      </c>
      <c r="B1025" s="5">
        <f t="shared" si="235"/>
        <v>129.53400546025884</v>
      </c>
      <c r="C1025" s="6">
        <f t="shared" si="233"/>
        <v>4996.3116391814119</v>
      </c>
      <c r="D1025" s="6">
        <f t="shared" si="241"/>
        <v>24963129.995819647</v>
      </c>
      <c r="E1025" s="7">
        <f t="shared" si="242"/>
        <v>6248571.4285714282</v>
      </c>
      <c r="F1025" s="7">
        <f t="shared" si="243"/>
        <v>124.97142857142855</v>
      </c>
      <c r="G1025" s="7">
        <f t="shared" si="244"/>
        <v>18714558.567248218</v>
      </c>
      <c r="H1025" s="6">
        <f t="shared" si="245"/>
        <v>4326.0326590593622</v>
      </c>
      <c r="I1025" s="7">
        <f t="shared" si="246"/>
        <v>-5.363457774181926</v>
      </c>
      <c r="J1025" s="7">
        <f t="shared" si="247"/>
        <v>-74.595804855607483</v>
      </c>
      <c r="K1025" s="8">
        <f t="shared" si="236"/>
        <v>206.87622843273141</v>
      </c>
      <c r="L1025" s="8">
        <f t="shared" si="237"/>
        <v>-8.6888015941747181</v>
      </c>
      <c r="M1025" s="8">
        <f t="shared" si="234"/>
        <v>120.84520386608412</v>
      </c>
      <c r="N1025" s="8">
        <f t="shared" si="238"/>
        <v>25.000000000000014</v>
      </c>
      <c r="O1025" s="8">
        <f t="shared" si="239"/>
        <v>26.797506503403188</v>
      </c>
    </row>
    <row r="1026" spans="1:15" x14ac:dyDescent="0.3">
      <c r="A1026" s="5">
        <f t="shared" si="240"/>
        <v>10.179999999999827</v>
      </c>
      <c r="B1026" s="5">
        <f t="shared" si="235"/>
        <v>129.48037088251701</v>
      </c>
      <c r="C1026" s="6">
        <f t="shared" si="233"/>
        <v>4994.242876897084</v>
      </c>
      <c r="D1026" s="6">
        <f t="shared" si="241"/>
        <v>24942461.913437262</v>
      </c>
      <c r="E1026" s="7">
        <f t="shared" si="242"/>
        <v>6248571.4285714282</v>
      </c>
      <c r="F1026" s="7">
        <f t="shared" si="243"/>
        <v>124.97142857142855</v>
      </c>
      <c r="G1026" s="7">
        <f t="shared" si="244"/>
        <v>18693890.484865833</v>
      </c>
      <c r="H1026" s="6">
        <f t="shared" si="245"/>
        <v>4323.6431958321718</v>
      </c>
      <c r="I1026" s="7">
        <f t="shared" si="246"/>
        <v>-5.3660239682834776</v>
      </c>
      <c r="J1026" s="7">
        <f t="shared" si="247"/>
        <v>-74.560130897467772</v>
      </c>
      <c r="K1026" s="8">
        <f t="shared" si="236"/>
        <v>206.97521020521984</v>
      </c>
      <c r="L1026" s="8">
        <f t="shared" si="237"/>
        <v>-8.6929588286192327</v>
      </c>
      <c r="M1026" s="8">
        <f t="shared" si="234"/>
        <v>120.78741205389778</v>
      </c>
      <c r="N1026" s="8">
        <f t="shared" si="238"/>
        <v>24.999999999999996</v>
      </c>
      <c r="O1026" s="8">
        <f t="shared" si="239"/>
        <v>26.799226980858784</v>
      </c>
    </row>
    <row r="1027" spans="1:15" x14ac:dyDescent="0.3">
      <c r="A1027" s="5">
        <f t="shared" si="240"/>
        <v>10.189999999999827</v>
      </c>
      <c r="B1027" s="5">
        <f t="shared" si="235"/>
        <v>129.42671064283417</v>
      </c>
      <c r="C1027" s="6">
        <f t="shared" si="233"/>
        <v>4992.173124795032</v>
      </c>
      <c r="D1027" s="6">
        <f t="shared" si="241"/>
        <v>24921792.507925794</v>
      </c>
      <c r="E1027" s="7">
        <f t="shared" si="242"/>
        <v>6248571.4285714282</v>
      </c>
      <c r="F1027" s="7">
        <f t="shared" si="243"/>
        <v>124.97142857142855</v>
      </c>
      <c r="G1027" s="7">
        <f t="shared" si="244"/>
        <v>18673221.079354364</v>
      </c>
      <c r="H1027" s="6">
        <f t="shared" si="245"/>
        <v>4321.2522582411648</v>
      </c>
      <c r="I1027" s="7">
        <f t="shared" si="246"/>
        <v>-5.3685940396399996</v>
      </c>
      <c r="J1027" s="7">
        <f t="shared" si="247"/>
        <v>-74.524437221368757</v>
      </c>
      <c r="K1027" s="8">
        <f t="shared" si="236"/>
        <v>207.07434152897139</v>
      </c>
      <c r="L1027" s="8">
        <f t="shared" si="237"/>
        <v>-8.6971223442167975</v>
      </c>
      <c r="M1027" s="8">
        <f t="shared" si="234"/>
        <v>120.72958829861737</v>
      </c>
      <c r="N1027" s="8">
        <f t="shared" si="238"/>
        <v>25</v>
      </c>
      <c r="O1027" s="8">
        <f t="shared" si="239"/>
        <v>26.8009508826256</v>
      </c>
    </row>
    <row r="1028" spans="1:15" x14ac:dyDescent="0.3">
      <c r="A1028" s="5">
        <f t="shared" si="240"/>
        <v>10.199999999999827</v>
      </c>
      <c r="B1028" s="5">
        <f t="shared" si="235"/>
        <v>129.37302470243776</v>
      </c>
      <c r="C1028" s="6">
        <f t="shared" si="233"/>
        <v>4990.1023813797419</v>
      </c>
      <c r="D1028" s="6">
        <f t="shared" si="241"/>
        <v>24901121.77665177</v>
      </c>
      <c r="E1028" s="7">
        <f t="shared" si="242"/>
        <v>6248571.4285714282</v>
      </c>
      <c r="F1028" s="7">
        <f t="shared" si="243"/>
        <v>124.97142857142855</v>
      </c>
      <c r="G1028" s="7">
        <f t="shared" si="244"/>
        <v>18652550.348080341</v>
      </c>
      <c r="H1028" s="6">
        <f t="shared" si="245"/>
        <v>4318.8598435328204</v>
      </c>
      <c r="I1028" s="7">
        <f t="shared" si="246"/>
        <v>-5.371167998317846</v>
      </c>
      <c r="J1028" s="7">
        <f t="shared" si="247"/>
        <v>-74.488723793310413</v>
      </c>
      <c r="K1028" s="8">
        <f t="shared" si="236"/>
        <v>207.17362279225975</v>
      </c>
      <c r="L1028" s="8">
        <f t="shared" si="237"/>
        <v>-8.7012921572749082</v>
      </c>
      <c r="M1028" s="8">
        <f t="shared" si="234"/>
        <v>120.67173254516285</v>
      </c>
      <c r="N1028" s="8">
        <f t="shared" si="238"/>
        <v>25.000000000000021</v>
      </c>
      <c r="O1028" s="8">
        <f t="shared" si="239"/>
        <v>26.802678219196544</v>
      </c>
    </row>
    <row r="1029" spans="1:15" x14ac:dyDescent="0.3">
      <c r="A1029" s="5">
        <f t="shared" si="240"/>
        <v>10.209999999999827</v>
      </c>
      <c r="B1029" s="5">
        <f t="shared" si="235"/>
        <v>129.31931302245459</v>
      </c>
      <c r="C1029" s="6">
        <f t="shared" si="233"/>
        <v>4988.03064515182</v>
      </c>
      <c r="D1029" s="6">
        <f t="shared" si="241"/>
        <v>24880449.716973681</v>
      </c>
      <c r="E1029" s="7">
        <f t="shared" si="242"/>
        <v>6248571.4285714282</v>
      </c>
      <c r="F1029" s="7">
        <f t="shared" si="243"/>
        <v>124.97142857142855</v>
      </c>
      <c r="G1029" s="7">
        <f t="shared" si="244"/>
        <v>18631878.288402252</v>
      </c>
      <c r="H1029" s="6">
        <f t="shared" si="245"/>
        <v>4316.4659489450687</v>
      </c>
      <c r="I1029" s="7">
        <f t="shared" si="246"/>
        <v>-5.3737458544207355</v>
      </c>
      <c r="J1029" s="7">
        <f t="shared" si="247"/>
        <v>-74.452990579193226</v>
      </c>
      <c r="K1029" s="8">
        <f t="shared" si="236"/>
        <v>207.27305438479979</v>
      </c>
      <c r="L1029" s="8">
        <f t="shared" si="237"/>
        <v>-8.70546828416159</v>
      </c>
      <c r="M1029" s="8">
        <f t="shared" si="234"/>
        <v>120.61384473829301</v>
      </c>
      <c r="N1029" s="8">
        <f t="shared" si="238"/>
        <v>25.000000000000007</v>
      </c>
      <c r="O1029" s="8">
        <f t="shared" si="239"/>
        <v>26.80440900110818</v>
      </c>
    </row>
    <row r="1030" spans="1:15" x14ac:dyDescent="0.3">
      <c r="A1030" s="5">
        <f t="shared" si="240"/>
        <v>10.219999999999827</v>
      </c>
      <c r="B1030" s="5">
        <f t="shared" si="235"/>
        <v>129.26557556391037</v>
      </c>
      <c r="C1030" s="6">
        <f t="shared" si="233"/>
        <v>4985.9579146079714</v>
      </c>
      <c r="D1030" s="6">
        <f t="shared" si="241"/>
        <v>24859776.326241869</v>
      </c>
      <c r="E1030" s="7">
        <f t="shared" si="242"/>
        <v>6248571.4285714282</v>
      </c>
      <c r="F1030" s="7">
        <f t="shared" si="243"/>
        <v>124.97142857142855</v>
      </c>
      <c r="G1030" s="7">
        <f t="shared" si="244"/>
        <v>18611204.89767044</v>
      </c>
      <c r="H1030" s="6">
        <f t="shared" si="245"/>
        <v>4314.0705717072406</v>
      </c>
      <c r="I1030" s="7">
        <f t="shared" si="246"/>
        <v>-5.3763276180899826</v>
      </c>
      <c r="J1030" s="7">
        <f t="shared" si="247"/>
        <v>-74.417237544817667</v>
      </c>
      <c r="K1030" s="8">
        <f t="shared" si="236"/>
        <v>207.37263669775646</v>
      </c>
      <c r="L1030" s="8">
        <f t="shared" si="237"/>
        <v>-8.7096507413057704</v>
      </c>
      <c r="M1030" s="8">
        <f t="shared" si="234"/>
        <v>120.55592482260461</v>
      </c>
      <c r="N1030" s="8">
        <f t="shared" si="238"/>
        <v>25.000000000000025</v>
      </c>
      <c r="O1030" s="8">
        <f t="shared" si="239"/>
        <v>26.806143238941171</v>
      </c>
    </row>
    <row r="1031" spans="1:15" x14ac:dyDescent="0.3">
      <c r="A1031" s="5">
        <f t="shared" si="240"/>
        <v>10.229999999999826</v>
      </c>
      <c r="B1031" s="5">
        <f t="shared" si="235"/>
        <v>129.21181228772949</v>
      </c>
      <c r="C1031" s="6">
        <f t="shared" si="233"/>
        <v>4983.8841882409943</v>
      </c>
      <c r="D1031" s="6">
        <f t="shared" si="241"/>
        <v>24839101.601798594</v>
      </c>
      <c r="E1031" s="7">
        <f t="shared" si="242"/>
        <v>6248571.4285714282</v>
      </c>
      <c r="F1031" s="7">
        <f t="shared" si="243"/>
        <v>124.97142857142855</v>
      </c>
      <c r="G1031" s="7">
        <f t="shared" si="244"/>
        <v>18590530.173227165</v>
      </c>
      <c r="H1031" s="6">
        <f t="shared" si="245"/>
        <v>4311.6737090400484</v>
      </c>
      <c r="I1031" s="7">
        <f t="shared" si="246"/>
        <v>-5.3789132995045978</v>
      </c>
      <c r="J1031" s="7">
        <f t="shared" si="247"/>
        <v>-74.381464655883988</v>
      </c>
      <c r="K1031" s="8">
        <f t="shared" si="236"/>
        <v>207.47237012374876</v>
      </c>
      <c r="L1031" s="8">
        <f t="shared" si="237"/>
        <v>-8.7138395451974464</v>
      </c>
      <c r="M1031" s="8">
        <f t="shared" si="234"/>
        <v>120.49797274253204</v>
      </c>
      <c r="N1031" s="8">
        <f t="shared" si="238"/>
        <v>24.999999999999996</v>
      </c>
      <c r="O1031" s="8">
        <f t="shared" si="239"/>
        <v>26.807880943320161</v>
      </c>
    </row>
    <row r="1032" spans="1:15" x14ac:dyDescent="0.3">
      <c r="A1032" s="5">
        <f t="shared" si="240"/>
        <v>10.239999999999826</v>
      </c>
      <c r="B1032" s="5">
        <f t="shared" si="235"/>
        <v>129.15802315473445</v>
      </c>
      <c r="C1032" s="6">
        <f t="shared" ref="C1032:C1095" si="248">$B$1*B1032</f>
        <v>4981.8094645397568</v>
      </c>
      <c r="D1032" s="6">
        <f t="shared" si="241"/>
        <v>24818425.540977899</v>
      </c>
      <c r="E1032" s="7">
        <f t="shared" si="242"/>
        <v>6248571.4285714282</v>
      </c>
      <c r="F1032" s="7">
        <f t="shared" si="243"/>
        <v>124.97142857142855</v>
      </c>
      <c r="G1032" s="7">
        <f t="shared" si="244"/>
        <v>18569854.11240647</v>
      </c>
      <c r="H1032" s="6">
        <f t="shared" si="245"/>
        <v>4309.2753581555298</v>
      </c>
      <c r="I1032" s="7">
        <f t="shared" si="246"/>
        <v>-5.3815029088815614</v>
      </c>
      <c r="J1032" s="7">
        <f t="shared" si="247"/>
        <v>-74.345671877991578</v>
      </c>
      <c r="K1032" s="8">
        <f t="shared" si="236"/>
        <v>207.5722550568602</v>
      </c>
      <c r="L1032" s="8">
        <f t="shared" si="237"/>
        <v>-8.7180347123881283</v>
      </c>
      <c r="M1032" s="8">
        <f t="shared" ref="M1032:M1095" si="249">B1032+L1032</f>
        <v>120.43998844234632</v>
      </c>
      <c r="N1032" s="8">
        <f t="shared" si="238"/>
        <v>25.000000000000004</v>
      </c>
      <c r="O1032" s="8">
        <f t="shared" si="239"/>
        <v>26.809622124914398</v>
      </c>
    </row>
    <row r="1033" spans="1:15" x14ac:dyDescent="0.3">
      <c r="A1033" s="5">
        <f t="shared" si="240"/>
        <v>10.249999999999826</v>
      </c>
      <c r="B1033" s="5">
        <f t="shared" ref="B1033:B1096" si="250">I1032*$B$5+B1032</f>
        <v>129.10420812564564</v>
      </c>
      <c r="C1033" s="6">
        <f t="shared" si="248"/>
        <v>4979.7337419891892</v>
      </c>
      <c r="D1033" s="6">
        <f t="shared" si="241"/>
        <v>24797748.141105652</v>
      </c>
      <c r="E1033" s="7">
        <f t="shared" si="242"/>
        <v>6248571.4285714282</v>
      </c>
      <c r="F1033" s="7">
        <f t="shared" si="243"/>
        <v>124.97142857142855</v>
      </c>
      <c r="G1033" s="7">
        <f t="shared" si="244"/>
        <v>18549176.712534223</v>
      </c>
      <c r="H1033" s="6">
        <f t="shared" si="245"/>
        <v>4306.875516257026</v>
      </c>
      <c r="I1033" s="7">
        <f t="shared" si="246"/>
        <v>-5.3840964564759295</v>
      </c>
      <c r="J1033" s="7">
        <f t="shared" si="247"/>
        <v>-74.309859176638682</v>
      </c>
      <c r="K1033" s="8">
        <f t="shared" ref="K1033:K1096" si="251">-$B$1*I1033</f>
        <v>207.67229189264299</v>
      </c>
      <c r="L1033" s="8">
        <f t="shared" ref="L1033:L1096" si="252">-$B$2*K1033</f>
        <v>-8.7222362594910052</v>
      </c>
      <c r="M1033" s="8">
        <f t="shared" si="249"/>
        <v>120.38197186615463</v>
      </c>
      <c r="N1033" s="8">
        <f t="shared" ref="N1033:N1096" si="253">K1033*M1033/1000</f>
        <v>25</v>
      </c>
      <c r="O1033" s="8">
        <f t="shared" ref="O1033:O1096" si="254">B1033*K1033/1000</f>
        <v>26.811366794437614</v>
      </c>
    </row>
    <row r="1034" spans="1:15" x14ac:dyDescent="0.3">
      <c r="A1034" s="5">
        <f t="shared" si="240"/>
        <v>10.259999999999826</v>
      </c>
      <c r="B1034" s="5">
        <f t="shared" si="250"/>
        <v>129.05036716108089</v>
      </c>
      <c r="C1034" s="6">
        <f t="shared" si="248"/>
        <v>4977.6570190702623</v>
      </c>
      <c r="D1034" s="6">
        <f t="shared" si="241"/>
        <v>24777069.39949945</v>
      </c>
      <c r="E1034" s="7">
        <f t="shared" si="242"/>
        <v>6248571.4285714282</v>
      </c>
      <c r="F1034" s="7">
        <f t="shared" si="243"/>
        <v>124.97142857142855</v>
      </c>
      <c r="G1034" s="7">
        <f t="shared" si="244"/>
        <v>18528497.970928021</v>
      </c>
      <c r="H1034" s="6">
        <f t="shared" si="245"/>
        <v>4304.4741805391304</v>
      </c>
      <c r="I1034" s="7">
        <f t="shared" si="246"/>
        <v>-5.3866939525810746</v>
      </c>
      <c r="J1034" s="7">
        <f t="shared" si="247"/>
        <v>-74.274026517221955</v>
      </c>
      <c r="K1034" s="8">
        <f t="shared" si="251"/>
        <v>207.77248102812715</v>
      </c>
      <c r="L1034" s="8">
        <f t="shared" si="252"/>
        <v>-8.7264442031813392</v>
      </c>
      <c r="M1034" s="8">
        <f t="shared" si="249"/>
        <v>120.32392295789954</v>
      </c>
      <c r="N1034" s="8">
        <f t="shared" si="253"/>
        <v>25.000000000000014</v>
      </c>
      <c r="O1034" s="8">
        <f t="shared" si="254"/>
        <v>26.81311496264852</v>
      </c>
    </row>
    <row r="1035" spans="1:15" x14ac:dyDescent="0.3">
      <c r="A1035" s="5">
        <f t="shared" si="240"/>
        <v>10.269999999999825</v>
      </c>
      <c r="B1035" s="5">
        <f t="shared" si="250"/>
        <v>128.99650022155507</v>
      </c>
      <c r="C1035" s="6">
        <f t="shared" si="248"/>
        <v>4975.579294259981</v>
      </c>
      <c r="D1035" s="6">
        <f t="shared" si="241"/>
        <v>24756389.31346865</v>
      </c>
      <c r="E1035" s="7">
        <f t="shared" si="242"/>
        <v>6248571.4285714282</v>
      </c>
      <c r="F1035" s="7">
        <f t="shared" si="243"/>
        <v>124.97142857142855</v>
      </c>
      <c r="G1035" s="7">
        <f t="shared" si="244"/>
        <v>18507817.884897221</v>
      </c>
      <c r="H1035" s="6">
        <f t="shared" si="245"/>
        <v>4302.0713481876637</v>
      </c>
      <c r="I1035" s="7">
        <f t="shared" si="246"/>
        <v>-5.3892954075288317</v>
      </c>
      <c r="J1035" s="7">
        <f t="shared" si="247"/>
        <v>-74.238173865036032</v>
      </c>
      <c r="K1035" s="8">
        <f t="shared" si="251"/>
        <v>207.87282286182636</v>
      </c>
      <c r="L1035" s="8">
        <f t="shared" si="252"/>
        <v>-8.7306585601967068</v>
      </c>
      <c r="M1035" s="8">
        <f t="shared" si="249"/>
        <v>120.26584166135837</v>
      </c>
      <c r="N1035" s="8">
        <f t="shared" si="253"/>
        <v>25.000000000000004</v>
      </c>
      <c r="O1035" s="8">
        <f t="shared" si="254"/>
        <v>26.814866640350861</v>
      </c>
    </row>
    <row r="1036" spans="1:15" x14ac:dyDescent="0.3">
      <c r="A1036" s="5">
        <f t="shared" si="240"/>
        <v>10.279999999999825</v>
      </c>
      <c r="B1036" s="5">
        <f t="shared" si="250"/>
        <v>128.94260726747979</v>
      </c>
      <c r="C1036" s="6">
        <f t="shared" si="248"/>
        <v>4973.5005660313627</v>
      </c>
      <c r="D1036" s="6">
        <f t="shared" si="241"/>
        <v>24735707.880314287</v>
      </c>
      <c r="E1036" s="7">
        <f t="shared" si="242"/>
        <v>6248571.4285714282</v>
      </c>
      <c r="F1036" s="7">
        <f t="shared" si="243"/>
        <v>124.97142857142855</v>
      </c>
      <c r="G1036" s="7">
        <f t="shared" si="244"/>
        <v>18487136.451742858</v>
      </c>
      <c r="H1036" s="6">
        <f t="shared" si="245"/>
        <v>4299.6670163796243</v>
      </c>
      <c r="I1036" s="7">
        <f t="shared" si="246"/>
        <v>-5.391900831689723</v>
      </c>
      <c r="J1036" s="7">
        <f t="shared" si="247"/>
        <v>-74.202301185273129</v>
      </c>
      <c r="K1036" s="8">
        <f t="shared" si="251"/>
        <v>207.97331779374645</v>
      </c>
      <c r="L1036" s="8">
        <f t="shared" si="252"/>
        <v>-8.7348793473373494</v>
      </c>
      <c r="M1036" s="8">
        <f t="shared" si="249"/>
        <v>120.20772792014243</v>
      </c>
      <c r="N1036" s="8">
        <f t="shared" si="253"/>
        <v>24.999999999999989</v>
      </c>
      <c r="O1036" s="8">
        <f t="shared" si="254"/>
        <v>26.816621838393814</v>
      </c>
    </row>
    <row r="1037" spans="1:15" x14ac:dyDescent="0.3">
      <c r="A1037" s="5">
        <f t="shared" si="240"/>
        <v>10.289999999999825</v>
      </c>
      <c r="B1037" s="5">
        <f t="shared" si="250"/>
        <v>128.88868825916288</v>
      </c>
      <c r="C1037" s="6">
        <f t="shared" si="248"/>
        <v>4971.4208328534251</v>
      </c>
      <c r="D1037" s="6">
        <f t="shared" si="241"/>
        <v>24715025.097329043</v>
      </c>
      <c r="E1037" s="7">
        <f t="shared" si="242"/>
        <v>6248571.4285714282</v>
      </c>
      <c r="F1037" s="7">
        <f t="shared" si="243"/>
        <v>124.97142857142855</v>
      </c>
      <c r="G1037" s="7">
        <f t="shared" si="244"/>
        <v>18466453.668757614</v>
      </c>
      <c r="H1037" s="6">
        <f t="shared" si="245"/>
        <v>4297.2611822831541</v>
      </c>
      <c r="I1037" s="7">
        <f t="shared" si="246"/>
        <v>-5.3945102354731338</v>
      </c>
      <c r="J1037" s="7">
        <f t="shared" si="247"/>
        <v>-74.166408443022476</v>
      </c>
      <c r="K1037" s="8">
        <f t="shared" si="251"/>
        <v>208.0739662253923</v>
      </c>
      <c r="L1037" s="8">
        <f t="shared" si="252"/>
        <v>-8.7391065814664763</v>
      </c>
      <c r="M1037" s="8">
        <f t="shared" si="249"/>
        <v>120.1495816776964</v>
      </c>
      <c r="N1037" s="8">
        <f t="shared" si="253"/>
        <v>25.000000000000014</v>
      </c>
      <c r="O1037" s="8">
        <f t="shared" si="254"/>
        <v>26.818380567672172</v>
      </c>
    </row>
    <row r="1038" spans="1:15" x14ac:dyDescent="0.3">
      <c r="A1038" s="5">
        <f t="shared" si="240"/>
        <v>10.299999999999825</v>
      </c>
      <c r="B1038" s="5">
        <f t="shared" si="250"/>
        <v>128.83474315680814</v>
      </c>
      <c r="C1038" s="6">
        <f t="shared" si="248"/>
        <v>4969.340093191171</v>
      </c>
      <c r="D1038" s="6">
        <f t="shared" si="241"/>
        <v>24694340.961797237</v>
      </c>
      <c r="E1038" s="7">
        <f t="shared" si="242"/>
        <v>6248571.4285714282</v>
      </c>
      <c r="F1038" s="7">
        <f t="shared" si="243"/>
        <v>124.97142857142855</v>
      </c>
      <c r="G1038" s="7">
        <f t="shared" si="244"/>
        <v>18445769.533225808</v>
      </c>
      <c r="H1038" s="6">
        <f t="shared" si="245"/>
        <v>4294.8538430575036</v>
      </c>
      <c r="I1038" s="7">
        <f t="shared" si="246"/>
        <v>-5.3971236293274725</v>
      </c>
      <c r="J1038" s="7">
        <f t="shared" si="247"/>
        <v>-74.130495603270148</v>
      </c>
      <c r="K1038" s="8">
        <f t="shared" si="251"/>
        <v>208.17476855977392</v>
      </c>
      <c r="L1038" s="8">
        <f t="shared" si="252"/>
        <v>-8.7433402795105035</v>
      </c>
      <c r="M1038" s="8">
        <f t="shared" si="249"/>
        <v>120.09140287729764</v>
      </c>
      <c r="N1038" s="8">
        <f t="shared" si="253"/>
        <v>25.000000000000004</v>
      </c>
      <c r="O1038" s="8">
        <f t="shared" si="254"/>
        <v>26.820142839126454</v>
      </c>
    </row>
    <row r="1039" spans="1:15" x14ac:dyDescent="0.3">
      <c r="A1039" s="5">
        <f t="shared" si="240"/>
        <v>10.309999999999825</v>
      </c>
      <c r="B1039" s="5">
        <f t="shared" si="250"/>
        <v>128.78077192051487</v>
      </c>
      <c r="C1039" s="6">
        <f t="shared" si="248"/>
        <v>4967.2583455055728</v>
      </c>
      <c r="D1039" s="6">
        <f t="shared" si="241"/>
        <v>24673655.470994759</v>
      </c>
      <c r="E1039" s="7">
        <f t="shared" si="242"/>
        <v>6248571.4285714282</v>
      </c>
      <c r="F1039" s="7">
        <f t="shared" si="243"/>
        <v>124.97142857142855</v>
      </c>
      <c r="G1039" s="7">
        <f t="shared" si="244"/>
        <v>18425084.04242333</v>
      </c>
      <c r="H1039" s="6">
        <f t="shared" si="245"/>
        <v>4292.4449958529849</v>
      </c>
      <c r="I1039" s="7">
        <f t="shared" si="246"/>
        <v>-5.3997410237404164</v>
      </c>
      <c r="J1039" s="7">
        <f t="shared" si="247"/>
        <v>-74.094562630898395</v>
      </c>
      <c r="K1039" s="8">
        <f t="shared" si="251"/>
        <v>208.27572520141604</v>
      </c>
      <c r="L1039" s="8">
        <f t="shared" si="252"/>
        <v>-8.7475804584594723</v>
      </c>
      <c r="M1039" s="8">
        <f t="shared" si="249"/>
        <v>120.0331914620554</v>
      </c>
      <c r="N1039" s="8">
        <f t="shared" si="253"/>
        <v>25.000000000000007</v>
      </c>
      <c r="O1039" s="8">
        <f t="shared" si="254"/>
        <v>26.82190866374339</v>
      </c>
    </row>
    <row r="1040" spans="1:15" x14ac:dyDescent="0.3">
      <c r="A1040" s="5">
        <f t="shared" si="240"/>
        <v>10.319999999999824</v>
      </c>
      <c r="B1040" s="5">
        <f t="shared" si="250"/>
        <v>128.72677451027747</v>
      </c>
      <c r="C1040" s="6">
        <f t="shared" si="248"/>
        <v>4965.175588253559</v>
      </c>
      <c r="D1040" s="6">
        <f t="shared" si="241"/>
        <v>24652968.622189075</v>
      </c>
      <c r="E1040" s="7">
        <f t="shared" si="242"/>
        <v>6248571.4285714282</v>
      </c>
      <c r="F1040" s="7">
        <f t="shared" si="243"/>
        <v>124.97142857142855</v>
      </c>
      <c r="G1040" s="7">
        <f t="shared" si="244"/>
        <v>18404397.193617646</v>
      </c>
      <c r="H1040" s="6">
        <f t="shared" si="245"/>
        <v>4290.0346378109407</v>
      </c>
      <c r="I1040" s="7">
        <f t="shared" si="246"/>
        <v>-5.4023624292390595</v>
      </c>
      <c r="J1040" s="7">
        <f t="shared" si="247"/>
        <v>-74.058609490685313</v>
      </c>
      <c r="K1040" s="8">
        <f t="shared" si="251"/>
        <v>208.37683655636371</v>
      </c>
      <c r="L1040" s="8">
        <f t="shared" si="252"/>
        <v>-8.7518271353672752</v>
      </c>
      <c r="M1040" s="8">
        <f t="shared" si="249"/>
        <v>119.97494737491019</v>
      </c>
      <c r="N1040" s="8">
        <f t="shared" si="253"/>
        <v>24.999999999999996</v>
      </c>
      <c r="O1040" s="8">
        <f t="shared" si="254"/>
        <v>26.823678052555973</v>
      </c>
    </row>
    <row r="1041" spans="1:15" x14ac:dyDescent="0.3">
      <c r="A1041" s="5">
        <f t="shared" si="240"/>
        <v>10.329999999999824</v>
      </c>
      <c r="B1041" s="5">
        <f t="shared" si="250"/>
        <v>128.67275088598507</v>
      </c>
      <c r="C1041" s="6">
        <f t="shared" si="248"/>
        <v>4963.0918198879954</v>
      </c>
      <c r="D1041" s="6">
        <f t="shared" si="241"/>
        <v>24632280.412639134</v>
      </c>
      <c r="E1041" s="7">
        <f t="shared" si="242"/>
        <v>6248571.4285714282</v>
      </c>
      <c r="F1041" s="7">
        <f t="shared" si="243"/>
        <v>124.97142857142855</v>
      </c>
      <c r="G1041" s="7">
        <f t="shared" si="244"/>
        <v>18383708.984067705</v>
      </c>
      <c r="H1041" s="6">
        <f t="shared" si="245"/>
        <v>4287.6227660636969</v>
      </c>
      <c r="I1041" s="7">
        <f t="shared" si="246"/>
        <v>-5.404987856390135</v>
      </c>
      <c r="J1041" s="7">
        <f t="shared" si="247"/>
        <v>-74.022636147304368</v>
      </c>
      <c r="K1041" s="8">
        <f t="shared" si="251"/>
        <v>208.47810303219092</v>
      </c>
      <c r="L1041" s="8">
        <f t="shared" si="252"/>
        <v>-8.7560803273520182</v>
      </c>
      <c r="M1041" s="8">
        <f t="shared" si="249"/>
        <v>119.91667055863304</v>
      </c>
      <c r="N1041" s="8">
        <f t="shared" si="253"/>
        <v>24.999999999999996</v>
      </c>
      <c r="O1041" s="8">
        <f t="shared" si="254"/>
        <v>26.825451016643829</v>
      </c>
    </row>
    <row r="1042" spans="1:15" x14ac:dyDescent="0.3">
      <c r="A1042" s="5">
        <f t="shared" si="240"/>
        <v>10.339999999999824</v>
      </c>
      <c r="B1042" s="5">
        <f t="shared" si="250"/>
        <v>128.61870100742118</v>
      </c>
      <c r="C1042" s="6">
        <f t="shared" si="248"/>
        <v>4961.0070388576742</v>
      </c>
      <c r="D1042" s="6">
        <f t="shared" si="241"/>
        <v>24611590.839595389</v>
      </c>
      <c r="E1042" s="7">
        <f t="shared" si="242"/>
        <v>6248571.4285714282</v>
      </c>
      <c r="F1042" s="7">
        <f t="shared" si="243"/>
        <v>124.97142857142855</v>
      </c>
      <c r="G1042" s="7">
        <f t="shared" si="244"/>
        <v>18363019.41102396</v>
      </c>
      <c r="H1042" s="6">
        <f t="shared" si="245"/>
        <v>4285.2093777345299</v>
      </c>
      <c r="I1042" s="7">
        <f t="shared" si="246"/>
        <v>-5.407617315800195</v>
      </c>
      <c r="J1042" s="7">
        <f t="shared" si="247"/>
        <v>-73.986642565324004</v>
      </c>
      <c r="K1042" s="8">
        <f t="shared" si="251"/>
        <v>208.57952503800752</v>
      </c>
      <c r="L1042" s="8">
        <f t="shared" si="252"/>
        <v>-8.7603400515963141</v>
      </c>
      <c r="M1042" s="8">
        <f t="shared" si="249"/>
        <v>119.85836095582486</v>
      </c>
      <c r="N1042" s="8">
        <f t="shared" si="253"/>
        <v>25.000000000000014</v>
      </c>
      <c r="O1042" s="8">
        <f t="shared" si="254"/>
        <v>26.827227567133409</v>
      </c>
    </row>
    <row r="1043" spans="1:15" x14ac:dyDescent="0.3">
      <c r="A1043" s="5">
        <f t="shared" si="240"/>
        <v>10.349999999999824</v>
      </c>
      <c r="B1043" s="5">
        <f t="shared" si="250"/>
        <v>128.56462483426318</v>
      </c>
      <c r="C1043" s="6">
        <f t="shared" si="248"/>
        <v>4958.9212436072939</v>
      </c>
      <c r="D1043" s="6">
        <f t="shared" si="241"/>
        <v>24590899.900299709</v>
      </c>
      <c r="E1043" s="7">
        <f t="shared" si="242"/>
        <v>6248571.4285714282</v>
      </c>
      <c r="F1043" s="7">
        <f t="shared" si="243"/>
        <v>124.97142857142855</v>
      </c>
      <c r="G1043" s="7">
        <f t="shared" si="244"/>
        <v>18342328.47172828</v>
      </c>
      <c r="H1043" s="6">
        <f t="shared" si="245"/>
        <v>4282.7944699376221</v>
      </c>
      <c r="I1043" s="7">
        <f t="shared" si="246"/>
        <v>-5.4102508181158022</v>
      </c>
      <c r="J1043" s="7">
        <f t="shared" si="247"/>
        <v>-73.950628709207166</v>
      </c>
      <c r="K1043" s="8">
        <f t="shared" si="251"/>
        <v>208.68110298446663</v>
      </c>
      <c r="L1043" s="8">
        <f t="shared" si="252"/>
        <v>-8.7646063253475983</v>
      </c>
      <c r="M1043" s="8">
        <f t="shared" si="249"/>
        <v>119.80001850891558</v>
      </c>
      <c r="N1043" s="8">
        <f t="shared" si="253"/>
        <v>25.000000000000021</v>
      </c>
      <c r="O1043" s="8">
        <f t="shared" si="254"/>
        <v>26.829007715198195</v>
      </c>
    </row>
    <row r="1044" spans="1:15" x14ac:dyDescent="0.3">
      <c r="A1044" s="5">
        <f t="shared" si="240"/>
        <v>10.359999999999824</v>
      </c>
      <c r="B1044" s="5">
        <f t="shared" si="250"/>
        <v>128.51052232608203</v>
      </c>
      <c r="C1044" s="6">
        <f t="shared" si="248"/>
        <v>4956.8344325774497</v>
      </c>
      <c r="D1044" s="6">
        <f t="shared" si="241"/>
        <v>24570207.591985408</v>
      </c>
      <c r="E1044" s="7">
        <f t="shared" si="242"/>
        <v>6248571.4285714282</v>
      </c>
      <c r="F1044" s="7">
        <f t="shared" si="243"/>
        <v>124.97142857142855</v>
      </c>
      <c r="G1044" s="7">
        <f t="shared" si="244"/>
        <v>18321636.163413979</v>
      </c>
      <c r="H1044" s="6">
        <f t="shared" si="245"/>
        <v>4280.3780397780265</v>
      </c>
      <c r="I1044" s="7">
        <f t="shared" si="246"/>
        <v>-5.4128883740237344</v>
      </c>
      <c r="J1044" s="7">
        <f t="shared" si="247"/>
        <v>-73.914594543310869</v>
      </c>
      <c r="K1044" s="8">
        <f t="shared" si="251"/>
        <v>208.78283728377261</v>
      </c>
      <c r="L1044" s="8">
        <f t="shared" si="252"/>
        <v>-8.7688791659184488</v>
      </c>
      <c r="M1044" s="8">
        <f t="shared" si="249"/>
        <v>119.74164316016358</v>
      </c>
      <c r="N1044" s="8">
        <f t="shared" si="253"/>
        <v>24.999999999999996</v>
      </c>
      <c r="O1044" s="8">
        <f t="shared" si="254"/>
        <v>26.830791472059008</v>
      </c>
    </row>
    <row r="1045" spans="1:15" x14ac:dyDescent="0.3">
      <c r="A1045" s="5">
        <f t="shared" si="240"/>
        <v>10.369999999999823</v>
      </c>
      <c r="B1045" s="5">
        <f t="shared" si="250"/>
        <v>128.45639344234178</v>
      </c>
      <c r="C1045" s="6">
        <f t="shared" si="248"/>
        <v>4954.7466042046108</v>
      </c>
      <c r="D1045" s="6">
        <f t="shared" si="241"/>
        <v>24549513.911877122</v>
      </c>
      <c r="E1045" s="7">
        <f t="shared" si="242"/>
        <v>6248571.4285714282</v>
      </c>
      <c r="F1045" s="7">
        <f t="shared" si="243"/>
        <v>124.97142857142855</v>
      </c>
      <c r="G1045" s="7">
        <f t="shared" si="244"/>
        <v>18300942.483305693</v>
      </c>
      <c r="H1045" s="6">
        <f t="shared" si="245"/>
        <v>4277.9600843516164</v>
      </c>
      <c r="I1045" s="7">
        <f t="shared" si="246"/>
        <v>-5.4155299942512132</v>
      </c>
      <c r="J1045" s="7">
        <f t="shared" si="247"/>
        <v>-73.878540031885692</v>
      </c>
      <c r="K1045" s="8">
        <f t="shared" si="251"/>
        <v>208.88472834968965</v>
      </c>
      <c r="L1045" s="8">
        <f t="shared" si="252"/>
        <v>-8.7731585906869647</v>
      </c>
      <c r="M1045" s="8">
        <f t="shared" si="249"/>
        <v>119.68323485165482</v>
      </c>
      <c r="N1045" s="8">
        <f t="shared" si="253"/>
        <v>25.000000000000025</v>
      </c>
      <c r="O1045" s="8">
        <f t="shared" si="254"/>
        <v>26.832578848984415</v>
      </c>
    </row>
    <row r="1046" spans="1:15" x14ac:dyDescent="0.3">
      <c r="A1046" s="5">
        <f t="shared" si="240"/>
        <v>10.379999999999823</v>
      </c>
      <c r="B1046" s="5">
        <f t="shared" si="250"/>
        <v>128.40223814239926</v>
      </c>
      <c r="C1046" s="6">
        <f t="shared" si="248"/>
        <v>4952.657756921114</v>
      </c>
      <c r="D1046" s="6">
        <f t="shared" si="241"/>
        <v>24528818.857190881</v>
      </c>
      <c r="E1046" s="7">
        <f t="shared" si="242"/>
        <v>6248571.4285714282</v>
      </c>
      <c r="F1046" s="7">
        <f t="shared" si="243"/>
        <v>124.97142857142855</v>
      </c>
      <c r="G1046" s="7">
        <f t="shared" si="244"/>
        <v>18280247.428619452</v>
      </c>
      <c r="H1046" s="6">
        <f t="shared" si="245"/>
        <v>4275.5406007450629</v>
      </c>
      <c r="I1046" s="7">
        <f t="shared" si="246"/>
        <v>-5.4181756895660254</v>
      </c>
      <c r="J1046" s="7">
        <f t="shared" si="247"/>
        <v>-73.8424651390755</v>
      </c>
      <c r="K1046" s="8">
        <f t="shared" si="251"/>
        <v>208.98677659754668</v>
      </c>
      <c r="L1046" s="8">
        <f t="shared" si="252"/>
        <v>-8.7774446170969593</v>
      </c>
      <c r="M1046" s="8">
        <f t="shared" si="249"/>
        <v>119.62479352530229</v>
      </c>
      <c r="N1046" s="8">
        <f t="shared" si="253"/>
        <v>25</v>
      </c>
      <c r="O1046" s="8">
        <f t="shared" si="254"/>
        <v>26.834369857290582</v>
      </c>
    </row>
    <row r="1047" spans="1:15" x14ac:dyDescent="0.3">
      <c r="A1047" s="5">
        <f t="shared" si="240"/>
        <v>10.389999999999823</v>
      </c>
      <c r="B1047" s="5">
        <f t="shared" si="250"/>
        <v>128.34805638550358</v>
      </c>
      <c r="C1047" s="6">
        <f t="shared" si="248"/>
        <v>4950.5678891551379</v>
      </c>
      <c r="D1047" s="6">
        <f t="shared" si="241"/>
        <v>24508122.425133958</v>
      </c>
      <c r="E1047" s="7">
        <f t="shared" si="242"/>
        <v>6248571.4285714282</v>
      </c>
      <c r="F1047" s="7">
        <f t="shared" si="243"/>
        <v>124.97142857142855</v>
      </c>
      <c r="G1047" s="7">
        <f t="shared" si="244"/>
        <v>18259550.996562529</v>
      </c>
      <c r="H1047" s="6">
        <f t="shared" si="245"/>
        <v>4273.119586035772</v>
      </c>
      <c r="I1047" s="7">
        <f t="shared" si="246"/>
        <v>-5.42082547077682</v>
      </c>
      <c r="J1047" s="7">
        <f t="shared" si="247"/>
        <v>-73.806369828916758</v>
      </c>
      <c r="K1047" s="8">
        <f t="shared" si="251"/>
        <v>209.08898244424876</v>
      </c>
      <c r="L1047" s="8">
        <f t="shared" si="252"/>
        <v>-8.7817372626584476</v>
      </c>
      <c r="M1047" s="8">
        <f t="shared" si="249"/>
        <v>119.56631912284513</v>
      </c>
      <c r="N1047" s="8">
        <f t="shared" si="253"/>
        <v>25.000000000000011</v>
      </c>
      <c r="O1047" s="8">
        <f t="shared" si="254"/>
        <v>26.836164508342009</v>
      </c>
    </row>
    <row r="1048" spans="1:15" x14ac:dyDescent="0.3">
      <c r="A1048" s="5">
        <f t="shared" si="240"/>
        <v>10.399999999999823</v>
      </c>
      <c r="B1048" s="5">
        <f t="shared" si="250"/>
        <v>128.29384813079582</v>
      </c>
      <c r="C1048" s="6">
        <f t="shared" si="248"/>
        <v>4948.4769993306954</v>
      </c>
      <c r="D1048" s="6">
        <f t="shared" si="241"/>
        <v>24487424.612904925</v>
      </c>
      <c r="E1048" s="7">
        <f t="shared" si="242"/>
        <v>6248571.4285714282</v>
      </c>
      <c r="F1048" s="7">
        <f t="shared" si="243"/>
        <v>124.97142857142855</v>
      </c>
      <c r="G1048" s="7">
        <f t="shared" si="244"/>
        <v>18238853.184333496</v>
      </c>
      <c r="H1048" s="6">
        <f t="shared" si="245"/>
        <v>4270.6970372918631</v>
      </c>
      <c r="I1048" s="7">
        <f t="shared" si="246"/>
        <v>-5.4234793487332276</v>
      </c>
      <c r="J1048" s="7">
        <f t="shared" si="247"/>
        <v>-73.770254065338278</v>
      </c>
      <c r="K1048" s="8">
        <f t="shared" si="251"/>
        <v>209.19134630828162</v>
      </c>
      <c r="L1048" s="8">
        <f t="shared" si="252"/>
        <v>-8.7860365449478266</v>
      </c>
      <c r="M1048" s="8">
        <f t="shared" si="249"/>
        <v>119.507811585848</v>
      </c>
      <c r="N1048" s="8">
        <f t="shared" si="253"/>
        <v>25</v>
      </c>
      <c r="O1048" s="8">
        <f t="shared" si="254"/>
        <v>26.8379628135514</v>
      </c>
    </row>
    <row r="1049" spans="1:15" x14ac:dyDescent="0.3">
      <c r="A1049" s="5">
        <f t="shared" si="240"/>
        <v>10.409999999999823</v>
      </c>
      <c r="B1049" s="5">
        <f t="shared" si="250"/>
        <v>128.2396133373085</v>
      </c>
      <c r="C1049" s="6">
        <f t="shared" si="248"/>
        <v>4946.3850858676133</v>
      </c>
      <c r="D1049" s="6">
        <f t="shared" si="241"/>
        <v>24466725.417693555</v>
      </c>
      <c r="E1049" s="7">
        <f t="shared" si="242"/>
        <v>6248571.4285714282</v>
      </c>
      <c r="F1049" s="7">
        <f t="shared" si="243"/>
        <v>124.97142857142855</v>
      </c>
      <c r="G1049" s="7">
        <f t="shared" si="244"/>
        <v>18218153.989122126</v>
      </c>
      <c r="H1049" s="6">
        <f t="shared" si="245"/>
        <v>4268.2729515721139</v>
      </c>
      <c r="I1049" s="7">
        <f t="shared" si="246"/>
        <v>-5.4261373343261274</v>
      </c>
      <c r="J1049" s="7">
        <f t="shared" si="247"/>
        <v>-73.734117812160605</v>
      </c>
      <c r="K1049" s="8">
        <f t="shared" si="251"/>
        <v>209.29386860972204</v>
      </c>
      <c r="L1049" s="8">
        <f t="shared" si="252"/>
        <v>-8.7903424816083255</v>
      </c>
      <c r="M1049" s="8">
        <f t="shared" si="249"/>
        <v>119.44927085570018</v>
      </c>
      <c r="N1049" s="8">
        <f t="shared" si="253"/>
        <v>25.000000000000014</v>
      </c>
      <c r="O1049" s="8">
        <f t="shared" si="254"/>
        <v>26.839764784380204</v>
      </c>
    </row>
    <row r="1050" spans="1:15" x14ac:dyDescent="0.3">
      <c r="A1050" s="5">
        <f t="shared" si="240"/>
        <v>10.419999999999822</v>
      </c>
      <c r="B1050" s="5">
        <f t="shared" si="250"/>
        <v>128.18535196396525</v>
      </c>
      <c r="C1050" s="6">
        <f t="shared" si="248"/>
        <v>4944.2921471815162</v>
      </c>
      <c r="D1050" s="6">
        <f t="shared" si="241"/>
        <v>24446024.836680807</v>
      </c>
      <c r="E1050" s="7">
        <f t="shared" si="242"/>
        <v>6248571.4285714282</v>
      </c>
      <c r="F1050" s="7">
        <f t="shared" si="243"/>
        <v>124.97142857142855</v>
      </c>
      <c r="G1050" s="7">
        <f t="shared" si="244"/>
        <v>18197453.408109378</v>
      </c>
      <c r="H1050" s="6">
        <f t="shared" si="245"/>
        <v>4265.8473259259263</v>
      </c>
      <c r="I1050" s="7">
        <f t="shared" si="246"/>
        <v>-5.4287994384878031</v>
      </c>
      <c r="J1050" s="7">
        <f t="shared" si="247"/>
        <v>-73.697961033095694</v>
      </c>
      <c r="K1050" s="8">
        <f t="shared" si="251"/>
        <v>209.39654977024384</v>
      </c>
      <c r="L1050" s="8">
        <f t="shared" si="252"/>
        <v>-8.7946550903502398</v>
      </c>
      <c r="M1050" s="8">
        <f t="shared" si="249"/>
        <v>119.39069687361501</v>
      </c>
      <c r="N1050" s="8">
        <f t="shared" si="253"/>
        <v>25.000000000000021</v>
      </c>
      <c r="O1050" s="8">
        <f t="shared" si="254"/>
        <v>26.841570432338671</v>
      </c>
    </row>
    <row r="1051" spans="1:15" x14ac:dyDescent="0.3">
      <c r="A1051" s="5">
        <f t="shared" si="240"/>
        <v>10.429999999999822</v>
      </c>
      <c r="B1051" s="5">
        <f t="shared" si="250"/>
        <v>128.13106396958037</v>
      </c>
      <c r="C1051" s="6">
        <f t="shared" si="248"/>
        <v>4942.1981816838143</v>
      </c>
      <c r="D1051" s="6">
        <f t="shared" si="241"/>
        <v>24425322.867038801</v>
      </c>
      <c r="E1051" s="7">
        <f t="shared" si="242"/>
        <v>6248571.4285714282</v>
      </c>
      <c r="F1051" s="7">
        <f t="shared" si="243"/>
        <v>124.97142857142855</v>
      </c>
      <c r="G1051" s="7">
        <f t="shared" si="244"/>
        <v>18176751.438467372</v>
      </c>
      <c r="H1051" s="6">
        <f t="shared" si="245"/>
        <v>4263.4201573932842</v>
      </c>
      <c r="I1051" s="7">
        <f t="shared" si="246"/>
        <v>-5.4314656721921715</v>
      </c>
      <c r="J1051" s="7">
        <f t="shared" si="247"/>
        <v>-73.661783691746351</v>
      </c>
      <c r="K1051" s="8">
        <f t="shared" si="251"/>
        <v>209.49939021312662</v>
      </c>
      <c r="L1051" s="8">
        <f t="shared" si="252"/>
        <v>-8.7989743889513168</v>
      </c>
      <c r="M1051" s="8">
        <f t="shared" si="249"/>
        <v>119.33208958062905</v>
      </c>
      <c r="N1051" s="8">
        <f t="shared" si="253"/>
        <v>24.999999999999986</v>
      </c>
      <c r="O1051" s="8">
        <f t="shared" si="254"/>
        <v>26.843379768986203</v>
      </c>
    </row>
    <row r="1052" spans="1:15" x14ac:dyDescent="0.3">
      <c r="A1052" s="5">
        <f t="shared" si="240"/>
        <v>10.439999999999822</v>
      </c>
      <c r="B1052" s="5">
        <f t="shared" si="250"/>
        <v>128.07674931285845</v>
      </c>
      <c r="C1052" s="6">
        <f t="shared" si="248"/>
        <v>4940.1031877816831</v>
      </c>
      <c r="D1052" s="6">
        <f t="shared" si="241"/>
        <v>24404619.505930748</v>
      </c>
      <c r="E1052" s="7">
        <f t="shared" si="242"/>
        <v>6248571.4285714282</v>
      </c>
      <c r="F1052" s="7">
        <f t="shared" si="243"/>
        <v>124.97142857142855</v>
      </c>
      <c r="G1052" s="7">
        <f t="shared" si="244"/>
        <v>18156048.077359319</v>
      </c>
      <c r="H1052" s="6">
        <f t="shared" si="245"/>
        <v>4260.9914430047047</v>
      </c>
      <c r="I1052" s="7">
        <f t="shared" si="246"/>
        <v>-5.4341360464550181</v>
      </c>
      <c r="J1052" s="7">
        <f t="shared" si="247"/>
        <v>-73.625585751605783</v>
      </c>
      <c r="K1052" s="8">
        <f t="shared" si="251"/>
        <v>209.60239036326499</v>
      </c>
      <c r="L1052" s="8">
        <f t="shared" si="252"/>
        <v>-8.8033003952571285</v>
      </c>
      <c r="M1052" s="8">
        <f t="shared" si="249"/>
        <v>119.27344891760133</v>
      </c>
      <c r="N1052" s="8">
        <f t="shared" si="253"/>
        <v>25.000000000000018</v>
      </c>
      <c r="O1052" s="8">
        <f t="shared" si="254"/>
        <v>26.845192805931788</v>
      </c>
    </row>
    <row r="1053" spans="1:15" x14ac:dyDescent="0.3">
      <c r="A1053" s="5">
        <f t="shared" si="240"/>
        <v>10.449999999999822</v>
      </c>
      <c r="B1053" s="5">
        <f t="shared" si="250"/>
        <v>128.02240795239391</v>
      </c>
      <c r="C1053" s="6">
        <f t="shared" si="248"/>
        <v>4938.0071638780501</v>
      </c>
      <c r="D1053" s="6">
        <f t="shared" si="241"/>
        <v>24383914.750510942</v>
      </c>
      <c r="E1053" s="7">
        <f t="shared" si="242"/>
        <v>6248571.4285714282</v>
      </c>
      <c r="F1053" s="7">
        <f t="shared" si="243"/>
        <v>124.97142857142855</v>
      </c>
      <c r="G1053" s="7">
        <f t="shared" si="244"/>
        <v>18135343.321939513</v>
      </c>
      <c r="H1053" s="6">
        <f t="shared" si="245"/>
        <v>4258.561179781208</v>
      </c>
      <c r="I1053" s="7">
        <f t="shared" si="246"/>
        <v>-5.436810572334128</v>
      </c>
      <c r="J1053" s="7">
        <f t="shared" si="247"/>
        <v>-73.589367176057181</v>
      </c>
      <c r="K1053" s="8">
        <f t="shared" si="251"/>
        <v>209.70555064717351</v>
      </c>
      <c r="L1053" s="8">
        <f t="shared" si="252"/>
        <v>-8.8076331271812869</v>
      </c>
      <c r="M1053" s="8">
        <f t="shared" si="249"/>
        <v>119.21477482521261</v>
      </c>
      <c r="N1053" s="8">
        <f t="shared" si="253"/>
        <v>25.000000000000011</v>
      </c>
      <c r="O1053" s="8">
        <f t="shared" si="254"/>
        <v>26.84700955483385</v>
      </c>
    </row>
    <row r="1054" spans="1:15" x14ac:dyDescent="0.3">
      <c r="A1054" s="5">
        <f t="shared" si="240"/>
        <v>10.459999999999821</v>
      </c>
      <c r="B1054" s="5">
        <f t="shared" si="250"/>
        <v>127.96803984667056</v>
      </c>
      <c r="C1054" s="6">
        <f t="shared" si="248"/>
        <v>4935.9101083715786</v>
      </c>
      <c r="D1054" s="6">
        <f t="shared" si="241"/>
        <v>24363208.597924728</v>
      </c>
      <c r="E1054" s="7">
        <f t="shared" si="242"/>
        <v>6248571.4285714282</v>
      </c>
      <c r="F1054" s="7">
        <f t="shared" si="243"/>
        <v>124.97142857142855</v>
      </c>
      <c r="G1054" s="7">
        <f t="shared" si="244"/>
        <v>18114637.169353299</v>
      </c>
      <c r="H1054" s="6">
        <f t="shared" si="245"/>
        <v>4256.1293647342654</v>
      </c>
      <c r="I1054" s="7">
        <f t="shared" si="246"/>
        <v>-5.4394892609295766</v>
      </c>
      <c r="J1054" s="7">
        <f t="shared" si="247"/>
        <v>-73.553127928373257</v>
      </c>
      <c r="K1054" s="8">
        <f t="shared" si="251"/>
        <v>209.80887149299795</v>
      </c>
      <c r="L1054" s="8">
        <f t="shared" si="252"/>
        <v>-8.8119726027059126</v>
      </c>
      <c r="M1054" s="8">
        <f t="shared" si="249"/>
        <v>119.15606724396466</v>
      </c>
      <c r="N1054" s="8">
        <f t="shared" si="253"/>
        <v>25.000000000000004</v>
      </c>
      <c r="O1054" s="8">
        <f t="shared" si="254"/>
        <v>26.848830027400947</v>
      </c>
    </row>
    <row r="1055" spans="1:15" x14ac:dyDescent="0.3">
      <c r="A1055" s="5">
        <f t="shared" si="240"/>
        <v>10.469999999999821</v>
      </c>
      <c r="B1055" s="5">
        <f t="shared" si="250"/>
        <v>127.91364495406127</v>
      </c>
      <c r="C1055" s="6">
        <f t="shared" si="248"/>
        <v>4933.8120196566488</v>
      </c>
      <c r="D1055" s="6">
        <f t="shared" si="241"/>
        <v>24342501.045308419</v>
      </c>
      <c r="E1055" s="7">
        <f t="shared" si="242"/>
        <v>6248571.4285714282</v>
      </c>
      <c r="F1055" s="7">
        <f t="shared" si="243"/>
        <v>124.97142857142855</v>
      </c>
      <c r="G1055" s="7">
        <f t="shared" si="244"/>
        <v>18093929.616736989</v>
      </c>
      <c r="H1055" s="6">
        <f t="shared" si="245"/>
        <v>4253.6959948657577</v>
      </c>
      <c r="I1055" s="7">
        <f t="shared" si="246"/>
        <v>-5.4421721233839033</v>
      </c>
      <c r="J1055" s="7">
        <f t="shared" si="247"/>
        <v>-73.516867971715655</v>
      </c>
      <c r="K1055" s="8">
        <f t="shared" si="251"/>
        <v>209.91235333052197</v>
      </c>
      <c r="L1055" s="8">
        <f t="shared" si="252"/>
        <v>-8.8163188398819212</v>
      </c>
      <c r="M1055" s="8">
        <f t="shared" si="249"/>
        <v>119.09732611417935</v>
      </c>
      <c r="N1055" s="8">
        <f t="shared" si="253"/>
        <v>25.000000000000018</v>
      </c>
      <c r="O1055" s="8">
        <f t="shared" si="254"/>
        <v>26.850654235391847</v>
      </c>
    </row>
    <row r="1056" spans="1:15" x14ac:dyDescent="0.3">
      <c r="A1056" s="5">
        <f t="shared" si="240"/>
        <v>10.479999999999821</v>
      </c>
      <c r="B1056" s="5">
        <f t="shared" si="250"/>
        <v>127.85922323282743</v>
      </c>
      <c r="C1056" s="6">
        <f t="shared" si="248"/>
        <v>4931.7128961233439</v>
      </c>
      <c r="D1056" s="6">
        <f t="shared" si="241"/>
        <v>24321792.089789301</v>
      </c>
      <c r="E1056" s="7">
        <f t="shared" si="242"/>
        <v>6248571.4285714282</v>
      </c>
      <c r="F1056" s="7">
        <f t="shared" si="243"/>
        <v>124.97142857142855</v>
      </c>
      <c r="G1056" s="7">
        <f t="shared" si="244"/>
        <v>18073220.661217872</v>
      </c>
      <c r="H1056" s="6">
        <f t="shared" si="245"/>
        <v>4251.2610671679377</v>
      </c>
      <c r="I1056" s="7">
        <f t="shared" si="246"/>
        <v>-5.4448591708823093</v>
      </c>
      <c r="J1056" s="7">
        <f t="shared" si="247"/>
        <v>-73.480587269134645</v>
      </c>
      <c r="K1056" s="8">
        <f t="shared" si="251"/>
        <v>210.01599659117477</v>
      </c>
      <c r="L1056" s="8">
        <f t="shared" si="252"/>
        <v>-8.820671856829339</v>
      </c>
      <c r="M1056" s="8">
        <f t="shared" si="249"/>
        <v>119.0385513759981</v>
      </c>
      <c r="N1056" s="8">
        <f t="shared" si="253"/>
        <v>25</v>
      </c>
      <c r="O1056" s="8">
        <f t="shared" si="254"/>
        <v>26.852482190615742</v>
      </c>
    </row>
    <row r="1057" spans="1:15" x14ac:dyDescent="0.3">
      <c r="A1057" s="5">
        <f t="shared" si="240"/>
        <v>10.489999999999821</v>
      </c>
      <c r="B1057" s="5">
        <f t="shared" si="250"/>
        <v>127.80477464111861</v>
      </c>
      <c r="C1057" s="6">
        <f t="shared" si="248"/>
        <v>4929.6127361574318</v>
      </c>
      <c r="D1057" s="6">
        <f t="shared" si="241"/>
        <v>24301081.728485562</v>
      </c>
      <c r="E1057" s="7">
        <f t="shared" si="242"/>
        <v>6248571.4285714282</v>
      </c>
      <c r="F1057" s="7">
        <f t="shared" si="243"/>
        <v>124.97142857142855</v>
      </c>
      <c r="G1057" s="7">
        <f t="shared" si="244"/>
        <v>18052510.299914133</v>
      </c>
      <c r="H1057" s="6">
        <f t="shared" si="245"/>
        <v>4248.8245786233792</v>
      </c>
      <c r="I1057" s="7">
        <f t="shared" si="246"/>
        <v>-5.4475504146529135</v>
      </c>
      <c r="J1057" s="7">
        <f t="shared" si="247"/>
        <v>-73.444285783568461</v>
      </c>
      <c r="K1057" s="8">
        <f t="shared" si="251"/>
        <v>210.11980170804094</v>
      </c>
      <c r="L1057" s="8">
        <f t="shared" si="252"/>
        <v>-8.8250316717377189</v>
      </c>
      <c r="M1057" s="8">
        <f t="shared" si="249"/>
        <v>118.97974296938089</v>
      </c>
      <c r="N1057" s="8">
        <f t="shared" si="253"/>
        <v>24.999999999999993</v>
      </c>
      <c r="O1057" s="8">
        <f t="shared" si="254"/>
        <v>26.854313904932699</v>
      </c>
    </row>
    <row r="1058" spans="1:15" x14ac:dyDescent="0.3">
      <c r="A1058" s="5">
        <f t="shared" si="240"/>
        <v>10.499999999999821</v>
      </c>
      <c r="B1058" s="5">
        <f t="shared" si="250"/>
        <v>127.75029913697209</v>
      </c>
      <c r="C1058" s="6">
        <f t="shared" si="248"/>
        <v>4927.5115381403521</v>
      </c>
      <c r="D1058" s="6">
        <f t="shared" si="241"/>
        <v>24280369.958506297</v>
      </c>
      <c r="E1058" s="7">
        <f t="shared" si="242"/>
        <v>6248571.4285714282</v>
      </c>
      <c r="F1058" s="7">
        <f t="shared" si="243"/>
        <v>124.97142857142855</v>
      </c>
      <c r="G1058" s="7">
        <f t="shared" si="244"/>
        <v>18031798.529934868</v>
      </c>
      <c r="H1058" s="6">
        <f t="shared" si="245"/>
        <v>4246.3865262049412</v>
      </c>
      <c r="I1058" s="7">
        <f t="shared" si="246"/>
        <v>-5.4502458659669371</v>
      </c>
      <c r="J1058" s="7">
        <f t="shared" si="247"/>
        <v>-73.407963477842998</v>
      </c>
      <c r="K1058" s="8">
        <f t="shared" si="251"/>
        <v>210.22376911586755</v>
      </c>
      <c r="L1058" s="8">
        <f t="shared" si="252"/>
        <v>-8.8293983028664371</v>
      </c>
      <c r="M1058" s="8">
        <f t="shared" si="249"/>
        <v>118.92090083410565</v>
      </c>
      <c r="N1058" s="8">
        <f t="shared" si="253"/>
        <v>25.000000000000007</v>
      </c>
      <c r="O1058" s="8">
        <f t="shared" si="254"/>
        <v>26.856149390253837</v>
      </c>
    </row>
    <row r="1059" spans="1:15" x14ac:dyDescent="0.3">
      <c r="A1059" s="5">
        <f t="shared" si="240"/>
        <v>10.50999999999982</v>
      </c>
      <c r="B1059" s="5">
        <f t="shared" si="250"/>
        <v>127.69579667831242</v>
      </c>
      <c r="C1059" s="6">
        <f t="shared" si="248"/>
        <v>4925.4093004491933</v>
      </c>
      <c r="D1059" s="6">
        <f t="shared" si="241"/>
        <v>24259656.776951414</v>
      </c>
      <c r="E1059" s="7">
        <f t="shared" si="242"/>
        <v>6248571.4285714282</v>
      </c>
      <c r="F1059" s="7">
        <f t="shared" si="243"/>
        <v>124.97142857142855</v>
      </c>
      <c r="G1059" s="7">
        <f t="shared" si="244"/>
        <v>18011085.348379984</v>
      </c>
      <c r="H1059" s="6">
        <f t="shared" si="245"/>
        <v>4243.9469068757189</v>
      </c>
      <c r="I1059" s="7">
        <f t="shared" si="246"/>
        <v>-5.4529455361389134</v>
      </c>
      <c r="J1059" s="7">
        <f t="shared" si="247"/>
        <v>-73.371620314671233</v>
      </c>
      <c r="K1059" s="8">
        <f t="shared" si="251"/>
        <v>210.32789925107235</v>
      </c>
      <c r="L1059" s="8">
        <f t="shared" si="252"/>
        <v>-8.8337717685450379</v>
      </c>
      <c r="M1059" s="8">
        <f t="shared" si="249"/>
        <v>118.86202490976738</v>
      </c>
      <c r="N1059" s="8">
        <f t="shared" si="253"/>
        <v>25.000000000000007</v>
      </c>
      <c r="O1059" s="8">
        <f t="shared" si="254"/>
        <v>26.857988658541515</v>
      </c>
    </row>
    <row r="1060" spans="1:15" x14ac:dyDescent="0.3">
      <c r="A1060" s="5">
        <f t="shared" si="240"/>
        <v>10.51999999999982</v>
      </c>
      <c r="B1060" s="5">
        <f t="shared" si="250"/>
        <v>127.64126722295103</v>
      </c>
      <c r="C1060" s="6">
        <f t="shared" si="248"/>
        <v>4923.3060214566822</v>
      </c>
      <c r="D1060" s="6">
        <f t="shared" si="241"/>
        <v>24238942.180911623</v>
      </c>
      <c r="E1060" s="7">
        <f t="shared" si="242"/>
        <v>6248571.4285714282</v>
      </c>
      <c r="F1060" s="7">
        <f t="shared" si="243"/>
        <v>124.97142857142855</v>
      </c>
      <c r="G1060" s="7">
        <f t="shared" si="244"/>
        <v>17990370.752340194</v>
      </c>
      <c r="H1060" s="6">
        <f t="shared" si="245"/>
        <v>4241.5057175890015</v>
      </c>
      <c r="I1060" s="7">
        <f t="shared" si="246"/>
        <v>-5.4556494365269383</v>
      </c>
      <c r="J1060" s="7">
        <f t="shared" si="247"/>
        <v>-73.335256256652713</v>
      </c>
      <c r="K1060" s="8">
        <f t="shared" si="251"/>
        <v>210.43219255175333</v>
      </c>
      <c r="L1060" s="8">
        <f t="shared" si="252"/>
        <v>-8.8381520871736399</v>
      </c>
      <c r="M1060" s="8">
        <f t="shared" si="249"/>
        <v>118.80311513577739</v>
      </c>
      <c r="N1060" s="8">
        <f t="shared" si="253"/>
        <v>25.000000000000028</v>
      </c>
      <c r="O1060" s="8">
        <f t="shared" si="254"/>
        <v>26.859831721809829</v>
      </c>
    </row>
    <row r="1061" spans="1:15" x14ac:dyDescent="0.3">
      <c r="A1061" s="5">
        <f t="shared" si="240"/>
        <v>10.52999999999982</v>
      </c>
      <c r="B1061" s="5">
        <f t="shared" si="250"/>
        <v>127.58671072858576</v>
      </c>
      <c r="C1061" s="6">
        <f t="shared" si="248"/>
        <v>4921.2016995311651</v>
      </c>
      <c r="D1061" s="6">
        <f t="shared" si="241"/>
        <v>24218226.167468429</v>
      </c>
      <c r="E1061" s="7">
        <f t="shared" si="242"/>
        <v>6248571.4285714282</v>
      </c>
      <c r="F1061" s="7">
        <f t="shared" si="243"/>
        <v>124.97142857142855</v>
      </c>
      <c r="G1061" s="7">
        <f t="shared" si="244"/>
        <v>17969654.738897</v>
      </c>
      <c r="H1061" s="6">
        <f t="shared" si="245"/>
        <v>4239.0629552882319</v>
      </c>
      <c r="I1061" s="7">
        <f t="shared" si="246"/>
        <v>-5.4583575785328451</v>
      </c>
      <c r="J1061" s="7">
        <f t="shared" si="247"/>
        <v>-73.298871266273196</v>
      </c>
      <c r="K1061" s="8">
        <f t="shared" si="251"/>
        <v>210.53664945769543</v>
      </c>
      <c r="L1061" s="8">
        <f t="shared" si="252"/>
        <v>-8.8425392772232065</v>
      </c>
      <c r="M1061" s="8">
        <f t="shared" si="249"/>
        <v>118.74417145136255</v>
      </c>
      <c r="N1061" s="8">
        <f t="shared" si="253"/>
        <v>25.000000000000004</v>
      </c>
      <c r="O1061" s="8">
        <f t="shared" si="254"/>
        <v>26.861678592124647</v>
      </c>
    </row>
    <row r="1062" spans="1:15" x14ac:dyDescent="0.3">
      <c r="A1062" s="5">
        <f t="shared" si="240"/>
        <v>10.53999999999982</v>
      </c>
      <c r="B1062" s="5">
        <f t="shared" si="250"/>
        <v>127.53212715280043</v>
      </c>
      <c r="C1062" s="6">
        <f t="shared" si="248"/>
        <v>4919.0963330365876</v>
      </c>
      <c r="D1062" s="6">
        <f t="shared" si="241"/>
        <v>24197508.733694002</v>
      </c>
      <c r="E1062" s="7">
        <f t="shared" si="242"/>
        <v>6248571.4285714282</v>
      </c>
      <c r="F1062" s="7">
        <f t="shared" si="243"/>
        <v>124.97142857142855</v>
      </c>
      <c r="G1062" s="7">
        <f t="shared" si="244"/>
        <v>17948937.305122573</v>
      </c>
      <c r="H1062" s="6">
        <f t="shared" si="245"/>
        <v>4236.6186169069515</v>
      </c>
      <c r="I1062" s="7">
        <f t="shared" si="246"/>
        <v>-5.4610699736024841</v>
      </c>
      <c r="J1062" s="7">
        <f t="shared" si="247"/>
        <v>-73.262465305903973</v>
      </c>
      <c r="K1062" s="8">
        <f t="shared" si="251"/>
        <v>210.64127041038151</v>
      </c>
      <c r="L1062" s="8">
        <f t="shared" si="252"/>
        <v>-8.846933357236022</v>
      </c>
      <c r="M1062" s="8">
        <f t="shared" si="249"/>
        <v>118.6851937955644</v>
      </c>
      <c r="N1062" s="8">
        <f t="shared" si="253"/>
        <v>25.000000000000014</v>
      </c>
      <c r="O1062" s="8">
        <f t="shared" si="254"/>
        <v>26.86352928160419</v>
      </c>
    </row>
    <row r="1063" spans="1:15" x14ac:dyDescent="0.3">
      <c r="A1063" s="5">
        <f t="shared" si="240"/>
        <v>10.54999999999982</v>
      </c>
      <c r="B1063" s="5">
        <f t="shared" si="250"/>
        <v>127.4775164530644</v>
      </c>
      <c r="C1063" s="6">
        <f t="shared" si="248"/>
        <v>4916.989920332484</v>
      </c>
      <c r="D1063" s="6">
        <f t="shared" si="241"/>
        <v>24176789.876651246</v>
      </c>
      <c r="E1063" s="7">
        <f t="shared" si="242"/>
        <v>6248571.4285714282</v>
      </c>
      <c r="F1063" s="7">
        <f t="shared" si="243"/>
        <v>124.97142857142855</v>
      </c>
      <c r="G1063" s="7">
        <f t="shared" si="244"/>
        <v>17928218.448079817</v>
      </c>
      <c r="H1063" s="6">
        <f t="shared" si="245"/>
        <v>4234.1726993687698</v>
      </c>
      <c r="I1063" s="7">
        <f t="shared" si="246"/>
        <v>-5.4637866332258804</v>
      </c>
      <c r="J1063" s="7">
        <f t="shared" si="247"/>
        <v>-73.22603833780154</v>
      </c>
      <c r="K1063" s="8">
        <f t="shared" si="251"/>
        <v>210.74605585299824</v>
      </c>
      <c r="L1063" s="8">
        <f t="shared" si="252"/>
        <v>-8.8513343458259257</v>
      </c>
      <c r="M1063" s="8">
        <f t="shared" si="249"/>
        <v>118.62618210723846</v>
      </c>
      <c r="N1063" s="8">
        <f t="shared" si="253"/>
        <v>25.000000000000018</v>
      </c>
      <c r="O1063" s="8">
        <f t="shared" si="254"/>
        <v>26.865383802419011</v>
      </c>
    </row>
    <row r="1064" spans="1:15" x14ac:dyDescent="0.3">
      <c r="A1064" s="5">
        <f t="shared" si="240"/>
        <v>10.559999999999819</v>
      </c>
      <c r="B1064" s="5">
        <f t="shared" si="250"/>
        <v>127.42287858673214</v>
      </c>
      <c r="C1064" s="6">
        <f t="shared" si="248"/>
        <v>4914.882459773954</v>
      </c>
      <c r="D1064" s="6">
        <f t="shared" si="241"/>
        <v>24156069.593393672</v>
      </c>
      <c r="E1064" s="7">
        <f t="shared" si="242"/>
        <v>6248571.4285714282</v>
      </c>
      <c r="F1064" s="7">
        <f t="shared" si="243"/>
        <v>124.97142857142855</v>
      </c>
      <c r="G1064" s="7">
        <f t="shared" si="244"/>
        <v>17907498.164822243</v>
      </c>
      <c r="H1064" s="6">
        <f t="shared" si="245"/>
        <v>4231.7251995873085</v>
      </c>
      <c r="I1064" s="7">
        <f t="shared" si="246"/>
        <v>-5.4665075689374936</v>
      </c>
      <c r="J1064" s="7">
        <f t="shared" si="247"/>
        <v>-73.189590324107058</v>
      </c>
      <c r="K1064" s="8">
        <f t="shared" si="251"/>
        <v>210.85100623044616</v>
      </c>
      <c r="L1064" s="8">
        <f t="shared" si="252"/>
        <v>-8.8557422616787385</v>
      </c>
      <c r="M1064" s="8">
        <f t="shared" si="249"/>
        <v>118.5671363250534</v>
      </c>
      <c r="N1064" s="8">
        <f t="shared" si="253"/>
        <v>24.999999999999993</v>
      </c>
      <c r="O1064" s="8">
        <f t="shared" si="254"/>
        <v>26.867242166792444</v>
      </c>
    </row>
    <row r="1065" spans="1:15" x14ac:dyDescent="0.3">
      <c r="A1065" s="5">
        <f t="shared" si="240"/>
        <v>10.569999999999819</v>
      </c>
      <c r="B1065" s="5">
        <f t="shared" si="250"/>
        <v>127.36821351104277</v>
      </c>
      <c r="C1065" s="6">
        <f t="shared" si="248"/>
        <v>4912.773949711649</v>
      </c>
      <c r="D1065" s="6">
        <f t="shared" si="241"/>
        <v>24135347.880965397</v>
      </c>
      <c r="E1065" s="7">
        <f t="shared" si="242"/>
        <v>6248571.4285714282</v>
      </c>
      <c r="F1065" s="7">
        <f t="shared" si="243"/>
        <v>124.97142857142855</v>
      </c>
      <c r="G1065" s="7">
        <f t="shared" si="244"/>
        <v>17886776.452393968</v>
      </c>
      <c r="H1065" s="6">
        <f t="shared" si="245"/>
        <v>4229.276114466159</v>
      </c>
      <c r="I1065" s="7">
        <f t="shared" si="246"/>
        <v>-5.4692327923164505</v>
      </c>
      <c r="J1065" s="7">
        <f t="shared" si="247"/>
        <v>-73.153121226845769</v>
      </c>
      <c r="K1065" s="8">
        <f t="shared" si="251"/>
        <v>210.95612198934879</v>
      </c>
      <c r="L1065" s="8">
        <f t="shared" si="252"/>
        <v>-8.8601571235526482</v>
      </c>
      <c r="M1065" s="8">
        <f t="shared" si="249"/>
        <v>118.50805638749011</v>
      </c>
      <c r="N1065" s="8">
        <f t="shared" si="253"/>
        <v>24.999999999999989</v>
      </c>
      <c r="O1065" s="8">
        <f t="shared" si="254"/>
        <v>26.869104387000959</v>
      </c>
    </row>
    <row r="1066" spans="1:15" x14ac:dyDescent="0.3">
      <c r="A1066" s="5">
        <f t="shared" si="240"/>
        <v>10.579999999999819</v>
      </c>
      <c r="B1066" s="5">
        <f t="shared" si="250"/>
        <v>127.3135211831196</v>
      </c>
      <c r="C1066" s="6">
        <f t="shared" si="248"/>
        <v>4910.6643884917557</v>
      </c>
      <c r="D1066" s="6">
        <f t="shared" si="241"/>
        <v>24114624.736401111</v>
      </c>
      <c r="E1066" s="7">
        <f t="shared" si="242"/>
        <v>6248571.4285714282</v>
      </c>
      <c r="F1066" s="7">
        <f t="shared" si="243"/>
        <v>124.97142857142855</v>
      </c>
      <c r="G1066" s="7">
        <f t="shared" si="244"/>
        <v>17866053.307829682</v>
      </c>
      <c r="H1066" s="6">
        <f t="shared" si="245"/>
        <v>4226.8254408988414</v>
      </c>
      <c r="I1066" s="7">
        <f t="shared" si="246"/>
        <v>-5.4719623149867411</v>
      </c>
      <c r="J1066" s="7">
        <f t="shared" si="247"/>
        <v>-73.1166310079266</v>
      </c>
      <c r="K1066" s="8">
        <f t="shared" si="251"/>
        <v>211.06140357806001</v>
      </c>
      <c r="L1066" s="8">
        <f t="shared" si="252"/>
        <v>-8.8645789502785188</v>
      </c>
      <c r="M1066" s="8">
        <f t="shared" si="249"/>
        <v>118.44894223284109</v>
      </c>
      <c r="N1066" s="8">
        <f t="shared" si="253"/>
        <v>24.999999999999989</v>
      </c>
      <c r="O1066" s="8">
        <f t="shared" si="254"/>
        <v>26.8709704753743</v>
      </c>
    </row>
    <row r="1067" spans="1:15" x14ac:dyDescent="0.3">
      <c r="A1067" s="5">
        <f t="shared" si="240"/>
        <v>10.589999999999819</v>
      </c>
      <c r="B1067" s="5">
        <f t="shared" si="250"/>
        <v>127.25880155996974</v>
      </c>
      <c r="C1067" s="6">
        <f t="shared" si="248"/>
        <v>4908.5537744559751</v>
      </c>
      <c r="D1067" s="6">
        <f t="shared" si="241"/>
        <v>24093900.156725999</v>
      </c>
      <c r="E1067" s="7">
        <f t="shared" si="242"/>
        <v>6248571.4285714282</v>
      </c>
      <c r="F1067" s="7">
        <f t="shared" si="243"/>
        <v>124.97142857142855</v>
      </c>
      <c r="G1067" s="7">
        <f t="shared" si="244"/>
        <v>17845328.72815457</v>
      </c>
      <c r="H1067" s="6">
        <f t="shared" si="245"/>
        <v>4224.3731757687519</v>
      </c>
      <c r="I1067" s="7">
        <f t="shared" si="246"/>
        <v>-5.474696148617471</v>
      </c>
      <c r="J1067" s="7">
        <f t="shared" si="247"/>
        <v>-73.080119629141635</v>
      </c>
      <c r="K1067" s="8">
        <f t="shared" si="251"/>
        <v>211.16685144667386</v>
      </c>
      <c r="L1067" s="8">
        <f t="shared" si="252"/>
        <v>-8.8690077607603008</v>
      </c>
      <c r="M1067" s="8">
        <f t="shared" si="249"/>
        <v>118.38979379920944</v>
      </c>
      <c r="N1067" s="8">
        <f t="shared" si="253"/>
        <v>25.000000000000011</v>
      </c>
      <c r="O1067" s="8">
        <f t="shared" si="254"/>
        <v>26.872840444295878</v>
      </c>
    </row>
    <row r="1068" spans="1:15" x14ac:dyDescent="0.3">
      <c r="A1068" s="5">
        <f t="shared" si="240"/>
        <v>10.599999999999818</v>
      </c>
      <c r="B1068" s="5">
        <f t="shared" si="250"/>
        <v>127.20405459848357</v>
      </c>
      <c r="C1068" s="6">
        <f t="shared" si="248"/>
        <v>4906.442105941509</v>
      </c>
      <c r="D1068" s="6">
        <f t="shared" si="241"/>
        <v>24073174.13895575</v>
      </c>
      <c r="E1068" s="7">
        <f t="shared" si="242"/>
        <v>6248571.4285714282</v>
      </c>
      <c r="F1068" s="7">
        <f t="shared" si="243"/>
        <v>124.97142857142855</v>
      </c>
      <c r="G1068" s="7">
        <f t="shared" si="244"/>
        <v>17824602.71038432</v>
      </c>
      <c r="H1068" s="6">
        <f t="shared" si="245"/>
        <v>4221.9193159491242</v>
      </c>
      <c r="I1068" s="7">
        <f t="shared" si="246"/>
        <v>-5.4774343049230616</v>
      </c>
      <c r="J1068" s="7">
        <f t="shared" si="247"/>
        <v>-73.043587052165577</v>
      </c>
      <c r="K1068" s="8">
        <f t="shared" si="251"/>
        <v>211.27246604703237</v>
      </c>
      <c r="L1068" s="8">
        <f t="shared" si="252"/>
        <v>-8.8734435739753579</v>
      </c>
      <c r="M1068" s="8">
        <f t="shared" si="249"/>
        <v>118.33061102450822</v>
      </c>
      <c r="N1068" s="8">
        <f t="shared" si="253"/>
        <v>25.000000000000007</v>
      </c>
      <c r="O1068" s="8">
        <f t="shared" si="254"/>
        <v>26.874714306202971</v>
      </c>
    </row>
    <row r="1069" spans="1:15" x14ac:dyDescent="0.3">
      <c r="A1069" s="5">
        <f t="shared" si="240"/>
        <v>10.609999999999818</v>
      </c>
      <c r="B1069" s="5">
        <f t="shared" si="250"/>
        <v>127.14928025543433</v>
      </c>
      <c r="C1069" s="6">
        <f t="shared" si="248"/>
        <v>4904.329381281038</v>
      </c>
      <c r="D1069" s="6">
        <f t="shared" si="241"/>
        <v>24052446.680096447</v>
      </c>
      <c r="E1069" s="7">
        <f t="shared" si="242"/>
        <v>6248571.4285714282</v>
      </c>
      <c r="F1069" s="7">
        <f t="shared" si="243"/>
        <v>124.97142857142855</v>
      </c>
      <c r="G1069" s="7">
        <f t="shared" si="244"/>
        <v>17803875.251525018</v>
      </c>
      <c r="H1069" s="6">
        <f t="shared" si="245"/>
        <v>4219.4638583029737</v>
      </c>
      <c r="I1069" s="7">
        <f t="shared" si="246"/>
        <v>-5.4801767956635246</v>
      </c>
      <c r="J1069" s="7">
        <f t="shared" si="247"/>
        <v>-73.007033238555195</v>
      </c>
      <c r="K1069" s="8">
        <f t="shared" si="251"/>
        <v>211.37824783273592</v>
      </c>
      <c r="L1069" s="8">
        <f t="shared" si="252"/>
        <v>-8.8778864089749074</v>
      </c>
      <c r="M1069" s="8">
        <f t="shared" si="249"/>
        <v>118.27139384645943</v>
      </c>
      <c r="N1069" s="8">
        <f t="shared" si="253"/>
        <v>25.000000000000021</v>
      </c>
      <c r="O1069" s="8">
        <f t="shared" si="254"/>
        <v>26.876592073587194</v>
      </c>
    </row>
    <row r="1070" spans="1:15" x14ac:dyDescent="0.3">
      <c r="A1070" s="5">
        <f t="shared" si="240"/>
        <v>10.619999999999818</v>
      </c>
      <c r="B1070" s="5">
        <f t="shared" si="250"/>
        <v>127.0944784874777</v>
      </c>
      <c r="C1070" s="6">
        <f t="shared" si="248"/>
        <v>4902.2155988027107</v>
      </c>
      <c r="D1070" s="6">
        <f t="shared" si="241"/>
        <v>24031717.777144618</v>
      </c>
      <c r="E1070" s="7">
        <f t="shared" si="242"/>
        <v>6248571.4285714282</v>
      </c>
      <c r="F1070" s="7">
        <f t="shared" si="243"/>
        <v>124.97142857142855</v>
      </c>
      <c r="G1070" s="7">
        <f t="shared" si="244"/>
        <v>17783146.348573189</v>
      </c>
      <c r="H1070" s="6">
        <f t="shared" si="245"/>
        <v>4217.006799683063</v>
      </c>
      <c r="I1070" s="7">
        <f t="shared" si="246"/>
        <v>-5.4829236326446438</v>
      </c>
      <c r="J1070" s="7">
        <f t="shared" si="247"/>
        <v>-72.970458149749007</v>
      </c>
      <c r="K1070" s="8">
        <f t="shared" si="251"/>
        <v>211.48419725915053</v>
      </c>
      <c r="L1070" s="8">
        <f t="shared" si="252"/>
        <v>-8.882336284884321</v>
      </c>
      <c r="M1070" s="8">
        <f t="shared" si="249"/>
        <v>118.21214220259338</v>
      </c>
      <c r="N1070" s="8">
        <f t="shared" si="253"/>
        <v>25.000000000000014</v>
      </c>
      <c r="O1070" s="8">
        <f t="shared" si="254"/>
        <v>26.878473758994598</v>
      </c>
    </row>
    <row r="1071" spans="1:15" x14ac:dyDescent="0.3">
      <c r="A1071" s="5">
        <f t="shared" si="240"/>
        <v>10.629999999999818</v>
      </c>
      <c r="B1071" s="5">
        <f t="shared" si="250"/>
        <v>127.03964925115126</v>
      </c>
      <c r="C1071" s="6">
        <f t="shared" si="248"/>
        <v>4900.1007568301202</v>
      </c>
      <c r="D1071" s="6">
        <f t="shared" si="241"/>
        <v>24010987.427087117</v>
      </c>
      <c r="E1071" s="7">
        <f t="shared" si="242"/>
        <v>6248571.4285714282</v>
      </c>
      <c r="F1071" s="7">
        <f t="shared" si="243"/>
        <v>124.97142857142855</v>
      </c>
      <c r="G1071" s="7">
        <f t="shared" si="244"/>
        <v>17762415.998515688</v>
      </c>
      <c r="H1071" s="6">
        <f t="shared" si="245"/>
        <v>4214.548136931845</v>
      </c>
      <c r="I1071" s="7">
        <f t="shared" si="246"/>
        <v>-5.4856748277182525</v>
      </c>
      <c r="J1071" s="7">
        <f t="shared" si="247"/>
        <v>-72.933861747066487</v>
      </c>
      <c r="K1071" s="8">
        <f t="shared" si="251"/>
        <v>211.59031478341831</v>
      </c>
      <c r="L1071" s="8">
        <f t="shared" si="252"/>
        <v>-8.8867932209035683</v>
      </c>
      <c r="M1071" s="8">
        <f t="shared" si="249"/>
        <v>118.15285603024769</v>
      </c>
      <c r="N1071" s="8">
        <f t="shared" si="253"/>
        <v>25.000000000000014</v>
      </c>
      <c r="O1071" s="8">
        <f t="shared" si="254"/>
        <v>26.880359375026146</v>
      </c>
    </row>
    <row r="1072" spans="1:15" x14ac:dyDescent="0.3">
      <c r="A1072" s="5">
        <f t="shared" si="240"/>
        <v>10.639999999999818</v>
      </c>
      <c r="B1072" s="5">
        <f t="shared" si="250"/>
        <v>126.98479250287407</v>
      </c>
      <c r="C1072" s="6">
        <f t="shared" si="248"/>
        <v>4897.9848536822856</v>
      </c>
      <c r="D1072" s="6">
        <f t="shared" si="241"/>
        <v>23990255.626901079</v>
      </c>
      <c r="E1072" s="7">
        <f t="shared" si="242"/>
        <v>6248571.4285714282</v>
      </c>
      <c r="F1072" s="7">
        <f t="shared" si="243"/>
        <v>124.97142857142855</v>
      </c>
      <c r="G1072" s="7">
        <f t="shared" si="244"/>
        <v>17741684.19832965</v>
      </c>
      <c r="H1072" s="6">
        <f t="shared" si="245"/>
        <v>4212.0878668814175</v>
      </c>
      <c r="I1072" s="7">
        <f t="shared" si="246"/>
        <v>-5.4884303927824387</v>
      </c>
      <c r="J1072" s="7">
        <f t="shared" si="247"/>
        <v>-72.897243991707739</v>
      </c>
      <c r="K1072" s="8">
        <f t="shared" si="251"/>
        <v>211.69660086446549</v>
      </c>
      <c r="L1072" s="8">
        <f t="shared" si="252"/>
        <v>-8.8912572363075491</v>
      </c>
      <c r="M1072" s="8">
        <f t="shared" si="249"/>
        <v>118.09353526656652</v>
      </c>
      <c r="N1072" s="8">
        <f t="shared" si="253"/>
        <v>25.000000000000011</v>
      </c>
      <c r="O1072" s="8">
        <f t="shared" si="254"/>
        <v>26.882248934337902</v>
      </c>
    </row>
    <row r="1073" spans="1:15" x14ac:dyDescent="0.3">
      <c r="A1073" s="5">
        <f t="shared" si="240"/>
        <v>10.649999999999817</v>
      </c>
      <c r="B1073" s="5">
        <f t="shared" si="250"/>
        <v>126.92990819894625</v>
      </c>
      <c r="C1073" s="6">
        <f t="shared" si="248"/>
        <v>4895.8678876736412</v>
      </c>
      <c r="D1073" s="6">
        <f t="shared" si="241"/>
        <v>23969522.373553962</v>
      </c>
      <c r="E1073" s="7">
        <f t="shared" si="242"/>
        <v>6248571.4285714282</v>
      </c>
      <c r="F1073" s="7">
        <f t="shared" si="243"/>
        <v>124.97142857142855</v>
      </c>
      <c r="G1073" s="7">
        <f t="shared" si="244"/>
        <v>17720950.944982532</v>
      </c>
      <c r="H1073" s="6">
        <f t="shared" si="245"/>
        <v>4209.6259863534824</v>
      </c>
      <c r="I1073" s="7">
        <f t="shared" si="246"/>
        <v>-5.4911903397817934</v>
      </c>
      <c r="J1073" s="7">
        <f t="shared" si="247"/>
        <v>-72.860604844752956</v>
      </c>
      <c r="K1073" s="8">
        <f t="shared" si="251"/>
        <v>211.80305596301201</v>
      </c>
      <c r="L1073" s="8">
        <f t="shared" si="252"/>
        <v>-8.8957283504465039</v>
      </c>
      <c r="M1073" s="8">
        <f t="shared" si="249"/>
        <v>118.03417984849975</v>
      </c>
      <c r="N1073" s="8">
        <f t="shared" si="253"/>
        <v>25.000000000000018</v>
      </c>
      <c r="O1073" s="8">
        <f t="shared" si="254"/>
        <v>26.884142449641388</v>
      </c>
    </row>
    <row r="1074" spans="1:15" x14ac:dyDescent="0.3">
      <c r="A1074" s="5">
        <f t="shared" si="240"/>
        <v>10.659999999999817</v>
      </c>
      <c r="B1074" s="5">
        <f t="shared" si="250"/>
        <v>126.87499629554843</v>
      </c>
      <c r="C1074" s="6">
        <f t="shared" si="248"/>
        <v>4893.7498571140104</v>
      </c>
      <c r="D1074" s="6">
        <f t="shared" si="241"/>
        <v>23948787.664003398</v>
      </c>
      <c r="E1074" s="7">
        <f t="shared" si="242"/>
        <v>6248571.4285714282</v>
      </c>
      <c r="F1074" s="7">
        <f t="shared" si="243"/>
        <v>124.97142857142855</v>
      </c>
      <c r="G1074" s="7">
        <f t="shared" si="244"/>
        <v>17700216.235431969</v>
      </c>
      <c r="H1074" s="6">
        <f t="shared" si="245"/>
        <v>4207.1624921592902</v>
      </c>
      <c r="I1074" s="7">
        <f t="shared" si="246"/>
        <v>-5.4939546807076391</v>
      </c>
      <c r="J1074" s="7">
        <f t="shared" si="247"/>
        <v>-72.823944267161778</v>
      </c>
      <c r="K1074" s="8">
        <f t="shared" si="251"/>
        <v>211.90968054158034</v>
      </c>
      <c r="L1074" s="8">
        <f t="shared" si="252"/>
        <v>-8.9002065827463728</v>
      </c>
      <c r="M1074" s="8">
        <f t="shared" si="249"/>
        <v>117.97478971280205</v>
      </c>
      <c r="N1074" s="8">
        <f t="shared" si="253"/>
        <v>25</v>
      </c>
      <c r="O1074" s="8">
        <f t="shared" si="254"/>
        <v>26.886039933703859</v>
      </c>
    </row>
    <row r="1075" spans="1:15" x14ac:dyDescent="0.3">
      <c r="A1075" s="5">
        <f t="shared" si="240"/>
        <v>10.669999999999817</v>
      </c>
      <c r="B1075" s="5">
        <f t="shared" si="250"/>
        <v>126.82005674874135</v>
      </c>
      <c r="C1075" s="6">
        <f t="shared" si="248"/>
        <v>4891.6307603085943</v>
      </c>
      <c r="D1075" s="6">
        <f t="shared" si="241"/>
        <v>23928051.495197237</v>
      </c>
      <c r="E1075" s="7">
        <f t="shared" si="242"/>
        <v>6248571.4285714282</v>
      </c>
      <c r="F1075" s="7">
        <f t="shared" si="243"/>
        <v>124.97142857142855</v>
      </c>
      <c r="G1075" s="7">
        <f t="shared" si="244"/>
        <v>17679480.066625807</v>
      </c>
      <c r="H1075" s="6">
        <f t="shared" si="245"/>
        <v>4204.6973810995969</v>
      </c>
      <c r="I1075" s="7">
        <f t="shared" si="246"/>
        <v>-5.4967234275982886</v>
      </c>
      <c r="J1075" s="7">
        <f t="shared" si="247"/>
        <v>-72.787262219772913</v>
      </c>
      <c r="K1075" s="8">
        <f t="shared" si="251"/>
        <v>212.01647506450541</v>
      </c>
      <c r="L1075" s="8">
        <f t="shared" si="252"/>
        <v>-8.9046919527092268</v>
      </c>
      <c r="M1075" s="8">
        <f t="shared" si="249"/>
        <v>117.91536479603212</v>
      </c>
      <c r="N1075" s="8">
        <f t="shared" si="253"/>
        <v>25.000000000000004</v>
      </c>
      <c r="O1075" s="8">
        <f t="shared" si="254"/>
        <v>26.88794139934868</v>
      </c>
    </row>
    <row r="1076" spans="1:15" x14ac:dyDescent="0.3">
      <c r="A1076" s="5">
        <f t="shared" si="240"/>
        <v>10.679999999999817</v>
      </c>
      <c r="B1076" s="5">
        <f t="shared" si="250"/>
        <v>126.76508951446537</v>
      </c>
      <c r="C1076" s="6">
        <f t="shared" si="248"/>
        <v>4889.5105955579502</v>
      </c>
      <c r="D1076" s="6">
        <f t="shared" si="241"/>
        <v>23907313.864073459</v>
      </c>
      <c r="E1076" s="7">
        <f t="shared" si="242"/>
        <v>6248571.4285714282</v>
      </c>
      <c r="F1076" s="7">
        <f t="shared" si="243"/>
        <v>124.97142857142855</v>
      </c>
      <c r="G1076" s="7">
        <f t="shared" si="244"/>
        <v>17658742.43550203</v>
      </c>
      <c r="H1076" s="6">
        <f t="shared" si="245"/>
        <v>4202.2306499646147</v>
      </c>
      <c r="I1076" s="7">
        <f t="shared" si="246"/>
        <v>-5.4994965925392654</v>
      </c>
      <c r="J1076" s="7">
        <f t="shared" si="247"/>
        <v>-72.750558663303565</v>
      </c>
      <c r="K1076" s="8">
        <f t="shared" si="251"/>
        <v>212.12343999794308</v>
      </c>
      <c r="L1076" s="8">
        <f t="shared" si="252"/>
        <v>-8.9091844799136091</v>
      </c>
      <c r="M1076" s="8">
        <f t="shared" si="249"/>
        <v>117.85590503455177</v>
      </c>
      <c r="N1076" s="8">
        <f t="shared" si="253"/>
        <v>25.000000000000018</v>
      </c>
      <c r="O1076" s="8">
        <f t="shared" si="254"/>
        <v>26.889846859455577</v>
      </c>
    </row>
    <row r="1077" spans="1:15" x14ac:dyDescent="0.3">
      <c r="A1077" s="5">
        <f t="shared" ref="A1077:A1140" si="255">A1076+$B$5</f>
        <v>10.689999999999817</v>
      </c>
      <c r="B1077" s="5">
        <f t="shared" si="250"/>
        <v>126.71009454853998</v>
      </c>
      <c r="C1077" s="6">
        <f t="shared" si="248"/>
        <v>4887.3893611579706</v>
      </c>
      <c r="D1077" s="6">
        <f t="shared" ref="D1077:D1140" si="256">POWER(C1077,2)</f>
        <v>23886574.767560117</v>
      </c>
      <c r="E1077" s="7">
        <f t="shared" ref="E1077:E1140" si="257">4*$B$2*$B$3*POWER($B$1,2)</f>
        <v>6248571.4285714282</v>
      </c>
      <c r="F1077" s="7">
        <f t="shared" ref="F1077:F1140" si="258">POWER($B$1,2)*2*$B$2</f>
        <v>124.97142857142855</v>
      </c>
      <c r="G1077" s="7">
        <f t="shared" ref="G1077:G1140" si="259">D1077-E1077</f>
        <v>17638003.338988688</v>
      </c>
      <c r="H1077" s="6">
        <f t="shared" ref="H1077:H1140" si="260">SQRT(G1077)</f>
        <v>4199.7622955339612</v>
      </c>
      <c r="I1077" s="7">
        <f t="shared" ref="I1077:I1140" si="261">(-C1077+H1077)/F1077</f>
        <v>-5.5022741876635424</v>
      </c>
      <c r="J1077" s="7">
        <f t="shared" ref="J1077:J1140" si="262">(-C1077-H1077)/F1077</f>
        <v>-72.713833558348796</v>
      </c>
      <c r="K1077" s="8">
        <f t="shared" si="251"/>
        <v>212.23057580987947</v>
      </c>
      <c r="L1077" s="8">
        <f t="shared" si="252"/>
        <v>-8.9136841840149366</v>
      </c>
      <c r="M1077" s="8">
        <f t="shared" si="249"/>
        <v>117.79641036452504</v>
      </c>
      <c r="N1077" s="8">
        <f t="shared" si="253"/>
        <v>25.000000000000004</v>
      </c>
      <c r="O1077" s="8">
        <f t="shared" si="254"/>
        <v>26.891756326960909</v>
      </c>
    </row>
    <row r="1078" spans="1:15" x14ac:dyDescent="0.3">
      <c r="A1078" s="5">
        <f t="shared" si="255"/>
        <v>10.699999999999816</v>
      </c>
      <c r="B1078" s="5">
        <f t="shared" si="250"/>
        <v>126.65507180666334</v>
      </c>
      <c r="C1078" s="6">
        <f t="shared" si="248"/>
        <v>4885.2670553998714</v>
      </c>
      <c r="D1078" s="6">
        <f t="shared" si="256"/>
        <v>23865834.20257533</v>
      </c>
      <c r="E1078" s="7">
        <f t="shared" si="257"/>
        <v>6248571.4285714282</v>
      </c>
      <c r="F1078" s="7">
        <f t="shared" si="258"/>
        <v>124.97142857142855</v>
      </c>
      <c r="G1078" s="7">
        <f t="shared" si="259"/>
        <v>17617262.774003901</v>
      </c>
      <c r="H1078" s="6">
        <f t="shared" si="260"/>
        <v>4197.2923145766126</v>
      </c>
      <c r="I1078" s="7">
        <f t="shared" si="261"/>
        <v>-5.5050562251518205</v>
      </c>
      <c r="J1078" s="7">
        <f t="shared" si="262"/>
        <v>-72.677086865381114</v>
      </c>
      <c r="K1078" s="8">
        <f t="shared" si="251"/>
        <v>212.33788297014164</v>
      </c>
      <c r="L1078" s="8">
        <f t="shared" si="252"/>
        <v>-8.9181910847459474</v>
      </c>
      <c r="M1078" s="8">
        <f t="shared" si="249"/>
        <v>117.7368807219174</v>
      </c>
      <c r="N1078" s="8">
        <f t="shared" si="253"/>
        <v>25.000000000000021</v>
      </c>
      <c r="O1078" s="8">
        <f t="shared" si="254"/>
        <v>26.893669814858168</v>
      </c>
    </row>
    <row r="1079" spans="1:15" x14ac:dyDescent="0.3">
      <c r="A1079" s="5">
        <f t="shared" si="255"/>
        <v>10.709999999999816</v>
      </c>
      <c r="B1079" s="5">
        <f t="shared" si="250"/>
        <v>126.60002124441182</v>
      </c>
      <c r="C1079" s="6">
        <f t="shared" si="248"/>
        <v>4883.1436765701701</v>
      </c>
      <c r="D1079" s="6">
        <f t="shared" si="256"/>
        <v>23845092.166027237</v>
      </c>
      <c r="E1079" s="7">
        <f t="shared" si="257"/>
        <v>6248571.4285714282</v>
      </c>
      <c r="F1079" s="7">
        <f t="shared" si="258"/>
        <v>124.97142857142855</v>
      </c>
      <c r="G1079" s="7">
        <f t="shared" si="259"/>
        <v>17596520.737455808</v>
      </c>
      <c r="H1079" s="6">
        <f t="shared" si="260"/>
        <v>4194.8207038508581</v>
      </c>
      <c r="I1079" s="7">
        <f t="shared" si="261"/>
        <v>-5.5078427172327222</v>
      </c>
      <c r="J1079" s="7">
        <f t="shared" si="262"/>
        <v>-72.640318544749903</v>
      </c>
      <c r="K1079" s="8">
        <f t="shared" si="251"/>
        <v>212.44536195040499</v>
      </c>
      <c r="L1079" s="8">
        <f t="shared" si="252"/>
        <v>-8.9227052019170081</v>
      </c>
      <c r="M1079" s="8">
        <f t="shared" si="249"/>
        <v>117.67731604249481</v>
      </c>
      <c r="N1079" s="8">
        <f t="shared" si="253"/>
        <v>25.000000000000007</v>
      </c>
      <c r="O1079" s="8">
        <f t="shared" si="254"/>
        <v>26.89558733619803</v>
      </c>
    </row>
    <row r="1080" spans="1:15" x14ac:dyDescent="0.3">
      <c r="A1080" s="5">
        <f t="shared" si="255"/>
        <v>10.719999999999816</v>
      </c>
      <c r="B1080" s="5">
        <f t="shared" si="250"/>
        <v>126.54494281723949</v>
      </c>
      <c r="C1080" s="6">
        <f t="shared" si="248"/>
        <v>4881.0192229506656</v>
      </c>
      <c r="D1080" s="6">
        <f t="shared" si="256"/>
        <v>23824348.654813919</v>
      </c>
      <c r="E1080" s="7">
        <f t="shared" si="257"/>
        <v>6248571.4285714282</v>
      </c>
      <c r="F1080" s="7">
        <f t="shared" si="258"/>
        <v>124.97142857142855</v>
      </c>
      <c r="G1080" s="7">
        <f t="shared" si="259"/>
        <v>17575777.22624249</v>
      </c>
      <c r="H1080" s="6">
        <f t="shared" si="260"/>
        <v>4192.3474601042417</v>
      </c>
      <c r="I1080" s="7">
        <f t="shared" si="261"/>
        <v>-5.5106336761830912</v>
      </c>
      <c r="J1080" s="7">
        <f t="shared" si="262"/>
        <v>-72.603528556680814</v>
      </c>
      <c r="K1080" s="8">
        <f t="shared" si="251"/>
        <v>212.55301322420493</v>
      </c>
      <c r="L1080" s="8">
        <f t="shared" si="252"/>
        <v>-8.9272265554166061</v>
      </c>
      <c r="M1080" s="8">
        <f t="shared" si="249"/>
        <v>117.61771626182288</v>
      </c>
      <c r="N1080" s="8">
        <f t="shared" si="253"/>
        <v>25.000000000000021</v>
      </c>
      <c r="O1080" s="8">
        <f t="shared" si="254"/>
        <v>26.897508904088962</v>
      </c>
    </row>
    <row r="1081" spans="1:15" x14ac:dyDescent="0.3">
      <c r="A1081" s="5">
        <f t="shared" si="255"/>
        <v>10.729999999999816</v>
      </c>
      <c r="B1081" s="5">
        <f t="shared" si="250"/>
        <v>126.48983648047766</v>
      </c>
      <c r="C1081" s="6">
        <f t="shared" si="248"/>
        <v>4878.8936928184239</v>
      </c>
      <c r="D1081" s="6">
        <f t="shared" si="256"/>
        <v>23803603.665823396</v>
      </c>
      <c r="E1081" s="7">
        <f t="shared" si="257"/>
        <v>6248571.4285714282</v>
      </c>
      <c r="F1081" s="7">
        <f t="shared" si="258"/>
        <v>124.97142857142855</v>
      </c>
      <c r="G1081" s="7">
        <f t="shared" si="259"/>
        <v>17555032.237251967</v>
      </c>
      <c r="H1081" s="6">
        <f t="shared" si="260"/>
        <v>4189.8725800735237</v>
      </c>
      <c r="I1081" s="7">
        <f t="shared" si="261"/>
        <v>-5.5134291143281917</v>
      </c>
      <c r="J1081" s="7">
        <f t="shared" si="262"/>
        <v>-72.56671686127531</v>
      </c>
      <c r="K1081" s="8">
        <f t="shared" si="251"/>
        <v>212.66083726694453</v>
      </c>
      <c r="L1081" s="8">
        <f t="shared" si="252"/>
        <v>-8.9317551652116691</v>
      </c>
      <c r="M1081" s="8">
        <f t="shared" si="249"/>
        <v>117.55808131526599</v>
      </c>
      <c r="N1081" s="8">
        <f t="shared" si="253"/>
        <v>25.000000000000014</v>
      </c>
      <c r="O1081" s="8">
        <f t="shared" si="254"/>
        <v>26.899434531697285</v>
      </c>
    </row>
    <row r="1082" spans="1:15" x14ac:dyDescent="0.3">
      <c r="A1082" s="5">
        <f t="shared" si="255"/>
        <v>10.739999999999815</v>
      </c>
      <c r="B1082" s="5">
        <f t="shared" si="250"/>
        <v>126.43470218933439</v>
      </c>
      <c r="C1082" s="6">
        <f t="shared" si="248"/>
        <v>4876.7670844457543</v>
      </c>
      <c r="D1082" s="6">
        <f t="shared" si="256"/>
        <v>23782857.195933543</v>
      </c>
      <c r="E1082" s="7">
        <f t="shared" si="257"/>
        <v>6248571.4285714282</v>
      </c>
      <c r="F1082" s="7">
        <f t="shared" si="258"/>
        <v>124.97142857142855</v>
      </c>
      <c r="G1082" s="7">
        <f t="shared" si="259"/>
        <v>17534285.767362114</v>
      </c>
      <c r="H1082" s="6">
        <f t="shared" si="260"/>
        <v>4187.3960604846197</v>
      </c>
      <c r="I1082" s="7">
        <f t="shared" si="261"/>
        <v>-5.5162290440420021</v>
      </c>
      <c r="J1082" s="7">
        <f t="shared" si="262"/>
        <v>-72.529883418510096</v>
      </c>
      <c r="K1082" s="8">
        <f t="shared" si="251"/>
        <v>212.76883455590578</v>
      </c>
      <c r="L1082" s="8">
        <f t="shared" si="252"/>
        <v>-8.9362910513480411</v>
      </c>
      <c r="M1082" s="8">
        <f t="shared" si="249"/>
        <v>117.49841113798635</v>
      </c>
      <c r="N1082" s="8">
        <f t="shared" si="253"/>
        <v>25.000000000000014</v>
      </c>
      <c r="O1082" s="8">
        <f t="shared" si="254"/>
        <v>26.901364232247705</v>
      </c>
    </row>
    <row r="1083" spans="1:15" x14ac:dyDescent="0.3">
      <c r="A1083" s="5">
        <f t="shared" si="255"/>
        <v>10.749999999999815</v>
      </c>
      <c r="B1083" s="5">
        <f t="shared" si="250"/>
        <v>126.37953989889397</v>
      </c>
      <c r="C1083" s="6">
        <f t="shared" si="248"/>
        <v>4874.6393961001959</v>
      </c>
      <c r="D1083" s="6">
        <f t="shared" si="256"/>
        <v>23762109.242012084</v>
      </c>
      <c r="E1083" s="7">
        <f t="shared" si="257"/>
        <v>6248571.4285714282</v>
      </c>
      <c r="F1083" s="7">
        <f t="shared" si="258"/>
        <v>124.97142857142855</v>
      </c>
      <c r="G1083" s="7">
        <f t="shared" si="259"/>
        <v>17513537.813440654</v>
      </c>
      <c r="H1083" s="6">
        <f t="shared" si="260"/>
        <v>4184.9178980525594</v>
      </c>
      <c r="I1083" s="7">
        <f t="shared" si="261"/>
        <v>-5.5190334777474357</v>
      </c>
      <c r="J1083" s="7">
        <f t="shared" si="262"/>
        <v>-72.493028188236508</v>
      </c>
      <c r="K1083" s="8">
        <f t="shared" si="251"/>
        <v>212.87700557025823</v>
      </c>
      <c r="L1083" s="8">
        <f t="shared" si="252"/>
        <v>-8.9408342339508451</v>
      </c>
      <c r="M1083" s="8">
        <f t="shared" si="249"/>
        <v>117.43870566494311</v>
      </c>
      <c r="N1083" s="8">
        <f t="shared" si="253"/>
        <v>25.000000000000011</v>
      </c>
      <c r="O1083" s="8">
        <f t="shared" si="254"/>
        <v>26.903298019023524</v>
      </c>
    </row>
    <row r="1084" spans="1:15" x14ac:dyDescent="0.3">
      <c r="A1084" s="5">
        <f t="shared" si="255"/>
        <v>10.759999999999815</v>
      </c>
      <c r="B1084" s="5">
        <f t="shared" si="250"/>
        <v>126.32434956411649</v>
      </c>
      <c r="C1084" s="6">
        <f t="shared" si="248"/>
        <v>4872.5106260444927</v>
      </c>
      <c r="D1084" s="6">
        <f t="shared" si="256"/>
        <v>23741359.800916493</v>
      </c>
      <c r="E1084" s="7">
        <f t="shared" si="257"/>
        <v>6248571.4285714282</v>
      </c>
      <c r="F1084" s="7">
        <f t="shared" si="258"/>
        <v>124.97142857142855</v>
      </c>
      <c r="G1084" s="7">
        <f t="shared" si="259"/>
        <v>17492788.372345064</v>
      </c>
      <c r="H1084" s="6">
        <f t="shared" si="260"/>
        <v>4182.4380894814285</v>
      </c>
      <c r="I1084" s="7">
        <f t="shared" si="261"/>
        <v>-5.5218424279166101</v>
      </c>
      <c r="J1084" s="7">
        <f t="shared" si="262"/>
        <v>-72.45615113017999</v>
      </c>
      <c r="K1084" s="8">
        <f t="shared" si="251"/>
        <v>212.98535079106924</v>
      </c>
      <c r="L1084" s="8">
        <f t="shared" si="252"/>
        <v>-8.9453847332249072</v>
      </c>
      <c r="M1084" s="8">
        <f t="shared" si="249"/>
        <v>117.37896483089158</v>
      </c>
      <c r="N1084" s="8">
        <f t="shared" si="253"/>
        <v>25.000000000000021</v>
      </c>
      <c r="O1084" s="8">
        <f t="shared" si="254"/>
        <v>26.905235905367004</v>
      </c>
    </row>
    <row r="1085" spans="1:15" x14ac:dyDescent="0.3">
      <c r="A1085" s="5">
        <f t="shared" si="255"/>
        <v>10.769999999999815</v>
      </c>
      <c r="B1085" s="5">
        <f t="shared" si="250"/>
        <v>126.26913113983733</v>
      </c>
      <c r="C1085" s="6">
        <f t="shared" si="248"/>
        <v>4870.3807725365823</v>
      </c>
      <c r="D1085" s="6">
        <f t="shared" si="256"/>
        <v>23720608.869494036</v>
      </c>
      <c r="E1085" s="7">
        <f t="shared" si="257"/>
        <v>6248571.4285714282</v>
      </c>
      <c r="F1085" s="7">
        <f t="shared" si="258"/>
        <v>124.97142857142855</v>
      </c>
      <c r="G1085" s="7">
        <f t="shared" si="259"/>
        <v>17472037.440922607</v>
      </c>
      <c r="H1085" s="6">
        <f t="shared" si="260"/>
        <v>4179.9566314643271</v>
      </c>
      <c r="I1085" s="7">
        <f t="shared" si="261"/>
        <v>-5.5246559070710877</v>
      </c>
      <c r="J1085" s="7">
        <f t="shared" si="262"/>
        <v>-72.419252203939621</v>
      </c>
      <c r="K1085" s="8">
        <f t="shared" si="251"/>
        <v>213.09387070131336</v>
      </c>
      <c r="L1085" s="8">
        <f t="shared" si="252"/>
        <v>-8.9499425694551604</v>
      </c>
      <c r="M1085" s="8">
        <f t="shared" si="249"/>
        <v>117.31918857038217</v>
      </c>
      <c r="N1085" s="8">
        <f t="shared" si="253"/>
        <v>25.000000000000018</v>
      </c>
      <c r="O1085" s="8">
        <f t="shared" si="254"/>
        <v>26.907177904679678</v>
      </c>
    </row>
    <row r="1086" spans="1:15" x14ac:dyDescent="0.3">
      <c r="A1086" s="5">
        <f t="shared" si="255"/>
        <v>10.779999999999815</v>
      </c>
      <c r="B1086" s="5">
        <f t="shared" si="250"/>
        <v>126.21388458076662</v>
      </c>
      <c r="C1086" s="6">
        <f t="shared" si="248"/>
        <v>4868.2498338295691</v>
      </c>
      <c r="D1086" s="6">
        <f t="shared" si="256"/>
        <v>23699856.444581628</v>
      </c>
      <c r="E1086" s="7">
        <f t="shared" si="257"/>
        <v>6248571.4285714282</v>
      </c>
      <c r="F1086" s="7">
        <f t="shared" si="258"/>
        <v>124.97142857142855</v>
      </c>
      <c r="G1086" s="7">
        <f t="shared" si="259"/>
        <v>17451285.016010199</v>
      </c>
      <c r="H1086" s="6">
        <f t="shared" si="260"/>
        <v>4177.4735206833084</v>
      </c>
      <c r="I1086" s="7">
        <f t="shared" si="261"/>
        <v>-5.5274739277821512</v>
      </c>
      <c r="J1086" s="7">
        <f t="shared" si="262"/>
        <v>-72.382331368987366</v>
      </c>
      <c r="K1086" s="8">
        <f t="shared" si="251"/>
        <v>213.20256578588297</v>
      </c>
      <c r="L1086" s="8">
        <f t="shared" si="252"/>
        <v>-8.9545077630070828</v>
      </c>
      <c r="M1086" s="8">
        <f t="shared" si="249"/>
        <v>117.25937681775953</v>
      </c>
      <c r="N1086" s="8">
        <f t="shared" si="253"/>
        <v>25.000000000000018</v>
      </c>
      <c r="O1086" s="8">
        <f t="shared" si="254"/>
        <v>26.909124030422735</v>
      </c>
    </row>
    <row r="1087" spans="1:15" x14ac:dyDescent="0.3">
      <c r="A1087" s="5">
        <f t="shared" si="255"/>
        <v>10.789999999999814</v>
      </c>
      <c r="B1087" s="5">
        <f t="shared" si="250"/>
        <v>126.1586098414888</v>
      </c>
      <c r="C1087" s="6">
        <f t="shared" si="248"/>
        <v>4866.1178081717107</v>
      </c>
      <c r="D1087" s="6">
        <f t="shared" si="256"/>
        <v>23679102.523005854</v>
      </c>
      <c r="E1087" s="7">
        <f t="shared" si="257"/>
        <v>6248571.4285714282</v>
      </c>
      <c r="F1087" s="7">
        <f t="shared" si="258"/>
        <v>124.97142857142855</v>
      </c>
      <c r="G1087" s="7">
        <f t="shared" si="259"/>
        <v>17430531.094434425</v>
      </c>
      <c r="H1087" s="6">
        <f t="shared" si="260"/>
        <v>4174.9887538093353</v>
      </c>
      <c r="I1087" s="7">
        <f t="shared" si="261"/>
        <v>-5.5302965026710433</v>
      </c>
      <c r="J1087" s="7">
        <f t="shared" si="262"/>
        <v>-72.345388584667745</v>
      </c>
      <c r="K1087" s="8">
        <f t="shared" si="251"/>
        <v>213.31143653159737</v>
      </c>
      <c r="L1087" s="8">
        <f t="shared" si="252"/>
        <v>-8.9590803343270888</v>
      </c>
      <c r="M1087" s="8">
        <f t="shared" si="249"/>
        <v>117.19952950716171</v>
      </c>
      <c r="N1087" s="8">
        <f t="shared" si="253"/>
        <v>25</v>
      </c>
      <c r="O1087" s="8">
        <f t="shared" si="254"/>
        <v>26.911074296117292</v>
      </c>
    </row>
    <row r="1088" spans="1:15" x14ac:dyDescent="0.3">
      <c r="A1088" s="5">
        <f t="shared" si="255"/>
        <v>10.799999999999814</v>
      </c>
      <c r="B1088" s="5">
        <f t="shared" si="250"/>
        <v>126.10330687646209</v>
      </c>
      <c r="C1088" s="6">
        <f t="shared" si="248"/>
        <v>4863.9846938063947</v>
      </c>
      <c r="D1088" s="6">
        <f t="shared" si="256"/>
        <v>23658347.101582889</v>
      </c>
      <c r="E1088" s="7">
        <f t="shared" si="257"/>
        <v>6248571.4285714282</v>
      </c>
      <c r="F1088" s="7">
        <f t="shared" si="258"/>
        <v>124.97142857142855</v>
      </c>
      <c r="G1088" s="7">
        <f t="shared" si="259"/>
        <v>17409775.673011459</v>
      </c>
      <c r="H1088" s="6">
        <f t="shared" si="260"/>
        <v>4172.5023275022222</v>
      </c>
      <c r="I1088" s="7">
        <f t="shared" si="261"/>
        <v>-5.5331236444092458</v>
      </c>
      <c r="J1088" s="7">
        <f t="shared" si="262"/>
        <v>-72.308423810196999</v>
      </c>
      <c r="K1088" s="8">
        <f t="shared" si="251"/>
        <v>213.42048342721375</v>
      </c>
      <c r="L1088" s="8">
        <f t="shared" si="252"/>
        <v>-8.9636603039429765</v>
      </c>
      <c r="M1088" s="8">
        <f t="shared" si="249"/>
        <v>117.13964657251911</v>
      </c>
      <c r="N1088" s="8">
        <f t="shared" si="253"/>
        <v>24.999999999999993</v>
      </c>
      <c r="O1088" s="8">
        <f t="shared" si="254"/>
        <v>26.913028715344826</v>
      </c>
    </row>
    <row r="1089" spans="1:15" x14ac:dyDescent="0.3">
      <c r="A1089" s="5">
        <f t="shared" si="255"/>
        <v>10.809999999999814</v>
      </c>
      <c r="B1089" s="5">
        <f t="shared" si="250"/>
        <v>126.047975640018</v>
      </c>
      <c r="C1089" s="6">
        <f t="shared" si="248"/>
        <v>4861.8504889721225</v>
      </c>
      <c r="D1089" s="6">
        <f t="shared" si="256"/>
        <v>23637590.177118465</v>
      </c>
      <c r="E1089" s="7">
        <f t="shared" si="257"/>
        <v>6248571.4285714282</v>
      </c>
      <c r="F1089" s="7">
        <f t="shared" si="258"/>
        <v>124.97142857142855</v>
      </c>
      <c r="G1089" s="7">
        <f t="shared" si="259"/>
        <v>17389018.748547036</v>
      </c>
      <c r="H1089" s="6">
        <f t="shared" si="260"/>
        <v>4170.0142384105884</v>
      </c>
      <c r="I1089" s="7">
        <f t="shared" si="261"/>
        <v>-5.5359553657187242</v>
      </c>
      <c r="J1089" s="7">
        <f t="shared" si="262"/>
        <v>-72.271437004662772</v>
      </c>
      <c r="K1089" s="8">
        <f t="shared" si="251"/>
        <v>213.5297069634365</v>
      </c>
      <c r="L1089" s="8">
        <f t="shared" si="252"/>
        <v>-8.9682476924643311</v>
      </c>
      <c r="M1089" s="8">
        <f t="shared" si="249"/>
        <v>117.07972794755366</v>
      </c>
      <c r="N1089" s="8">
        <f t="shared" si="253"/>
        <v>25</v>
      </c>
      <c r="O1089" s="8">
        <f t="shared" si="254"/>
        <v>26.914987301747423</v>
      </c>
    </row>
    <row r="1090" spans="1:15" x14ac:dyDescent="0.3">
      <c r="A1090" s="5">
        <f t="shared" si="255"/>
        <v>10.819999999999814</v>
      </c>
      <c r="B1090" s="5">
        <f t="shared" si="250"/>
        <v>125.99261608636081</v>
      </c>
      <c r="C1090" s="6">
        <f t="shared" si="248"/>
        <v>4859.7151919024882</v>
      </c>
      <c r="D1090" s="6">
        <f t="shared" si="256"/>
        <v>23616831.746407837</v>
      </c>
      <c r="E1090" s="7">
        <f t="shared" si="257"/>
        <v>6248571.4285714282</v>
      </c>
      <c r="F1090" s="7">
        <f t="shared" si="258"/>
        <v>124.97142857142855</v>
      </c>
      <c r="G1090" s="7">
        <f t="shared" si="259"/>
        <v>17368260.317836408</v>
      </c>
      <c r="H1090" s="6">
        <f t="shared" si="260"/>
        <v>4167.5244831718037</v>
      </c>
      <c r="I1090" s="7">
        <f t="shared" si="261"/>
        <v>-5.5387916793721903</v>
      </c>
      <c r="J1090" s="7">
        <f t="shared" si="262"/>
        <v>-72.234428127023378</v>
      </c>
      <c r="K1090" s="8">
        <f t="shared" si="251"/>
        <v>213.63910763292733</v>
      </c>
      <c r="L1090" s="8">
        <f t="shared" si="252"/>
        <v>-8.9728425205829474</v>
      </c>
      <c r="M1090" s="8">
        <f t="shared" si="249"/>
        <v>117.01977356577787</v>
      </c>
      <c r="N1090" s="8">
        <f t="shared" si="253"/>
        <v>25.000000000000004</v>
      </c>
      <c r="O1090" s="8">
        <f t="shared" si="254"/>
        <v>26.916950069028132</v>
      </c>
    </row>
    <row r="1091" spans="1:15" x14ac:dyDescent="0.3">
      <c r="A1091" s="5">
        <f t="shared" si="255"/>
        <v>10.829999999999814</v>
      </c>
      <c r="B1091" s="5">
        <f t="shared" si="250"/>
        <v>125.93722816956709</v>
      </c>
      <c r="C1091" s="6">
        <f t="shared" si="248"/>
        <v>4857.5788008261588</v>
      </c>
      <c r="D1091" s="6">
        <f t="shared" si="256"/>
        <v>23596071.806235705</v>
      </c>
      <c r="E1091" s="7">
        <f t="shared" si="257"/>
        <v>6248571.4285714282</v>
      </c>
      <c r="F1091" s="7">
        <f t="shared" si="258"/>
        <v>124.97142857142855</v>
      </c>
      <c r="G1091" s="7">
        <f t="shared" si="259"/>
        <v>17347500.377664275</v>
      </c>
      <c r="H1091" s="6">
        <f t="shared" si="260"/>
        <v>4165.0330584119347</v>
      </c>
      <c r="I1091" s="7">
        <f t="shared" si="261"/>
        <v>-5.5416325981933809</v>
      </c>
      <c r="J1091" s="7">
        <f t="shared" si="262"/>
        <v>-72.197397136107298</v>
      </c>
      <c r="K1091" s="8">
        <f t="shared" si="251"/>
        <v>213.7486859303161</v>
      </c>
      <c r="L1091" s="8">
        <f t="shared" si="252"/>
        <v>-8.9774448090732761</v>
      </c>
      <c r="M1091" s="8">
        <f t="shared" si="249"/>
        <v>116.95978336049382</v>
      </c>
      <c r="N1091" s="8">
        <f t="shared" si="253"/>
        <v>25.000000000000004</v>
      </c>
      <c r="O1091" s="8">
        <f t="shared" si="254"/>
        <v>26.918917030951352</v>
      </c>
    </row>
    <row r="1092" spans="1:15" x14ac:dyDescent="0.3">
      <c r="A1092" s="5">
        <f t="shared" si="255"/>
        <v>10.839999999999813</v>
      </c>
      <c r="B1092" s="5">
        <f t="shared" si="250"/>
        <v>125.88181184358515</v>
      </c>
      <c r="C1092" s="6">
        <f t="shared" si="248"/>
        <v>4855.4413139668559</v>
      </c>
      <c r="D1092" s="6">
        <f t="shared" si="256"/>
        <v>23575310.353376187</v>
      </c>
      <c r="E1092" s="7">
        <f t="shared" si="257"/>
        <v>6248571.4285714282</v>
      </c>
      <c r="F1092" s="7">
        <f t="shared" si="258"/>
        <v>124.97142857142855</v>
      </c>
      <c r="G1092" s="7">
        <f t="shared" si="259"/>
        <v>17326738.924804758</v>
      </c>
      <c r="H1092" s="6">
        <f t="shared" si="260"/>
        <v>4162.539960745693</v>
      </c>
      <c r="I1092" s="7">
        <f t="shared" si="261"/>
        <v>-5.544478135057318</v>
      </c>
      <c r="J1092" s="7">
        <f t="shared" si="262"/>
        <v>-72.160343990612546</v>
      </c>
      <c r="K1092" s="8">
        <f t="shared" si="251"/>
        <v>213.85844235221083</v>
      </c>
      <c r="L1092" s="8">
        <f t="shared" si="252"/>
        <v>-8.9820545787928534</v>
      </c>
      <c r="M1092" s="8">
        <f t="shared" si="249"/>
        <v>116.8997572647923</v>
      </c>
      <c r="N1092" s="8">
        <f t="shared" si="253"/>
        <v>25.000000000000021</v>
      </c>
      <c r="O1092" s="8">
        <f t="shared" si="254"/>
        <v>26.920888201343203</v>
      </c>
    </row>
    <row r="1093" spans="1:15" x14ac:dyDescent="0.3">
      <c r="A1093" s="5">
        <f t="shared" si="255"/>
        <v>10.849999999999813</v>
      </c>
      <c r="B1093" s="5">
        <f t="shared" si="250"/>
        <v>125.82636706223458</v>
      </c>
      <c r="C1093" s="6">
        <f t="shared" si="248"/>
        <v>4853.302729543334</v>
      </c>
      <c r="D1093" s="6">
        <f t="shared" si="256"/>
        <v>23554547.384592775</v>
      </c>
      <c r="E1093" s="7">
        <f t="shared" si="257"/>
        <v>6248571.4285714282</v>
      </c>
      <c r="F1093" s="7">
        <f t="shared" si="258"/>
        <v>124.97142857142855</v>
      </c>
      <c r="G1093" s="7">
        <f t="shared" si="259"/>
        <v>17305975.956021346</v>
      </c>
      <c r="H1093" s="6">
        <f t="shared" si="260"/>
        <v>4160.0451867763823</v>
      </c>
      <c r="I1093" s="7">
        <f t="shared" si="261"/>
        <v>-5.5473283028905609</v>
      </c>
      <c r="J1093" s="7">
        <f t="shared" si="262"/>
        <v>-72.123268649106109</v>
      </c>
      <c r="K1093" s="8">
        <f t="shared" si="251"/>
        <v>213.96837739720735</v>
      </c>
      <c r="L1093" s="8">
        <f t="shared" si="252"/>
        <v>-8.9866718506827077</v>
      </c>
      <c r="M1093" s="8">
        <f t="shared" si="249"/>
        <v>116.83969521155187</v>
      </c>
      <c r="N1093" s="8">
        <f t="shared" si="253"/>
        <v>25.000000000000011</v>
      </c>
      <c r="O1093" s="8">
        <f t="shared" si="254"/>
        <v>26.922863594091748</v>
      </c>
    </row>
    <row r="1094" spans="1:15" x14ac:dyDescent="0.3">
      <c r="A1094" s="5">
        <f t="shared" si="255"/>
        <v>10.859999999999813</v>
      </c>
      <c r="B1094" s="5">
        <f t="shared" si="250"/>
        <v>125.77089377920568</v>
      </c>
      <c r="C1094" s="6">
        <f t="shared" si="248"/>
        <v>4851.1630457693618</v>
      </c>
      <c r="D1094" s="6">
        <f t="shared" si="256"/>
        <v>23533782.89663827</v>
      </c>
      <c r="E1094" s="7">
        <f t="shared" si="257"/>
        <v>6248571.4285714282</v>
      </c>
      <c r="F1094" s="7">
        <f t="shared" si="258"/>
        <v>124.97142857142855</v>
      </c>
      <c r="G1094" s="7">
        <f t="shared" si="259"/>
        <v>17285211.468066841</v>
      </c>
      <c r="H1094" s="6">
        <f t="shared" si="260"/>
        <v>4157.5487330958422</v>
      </c>
      <c r="I1094" s="7">
        <f t="shared" si="261"/>
        <v>-5.5501831146715119</v>
      </c>
      <c r="J1094" s="7">
        <f t="shared" si="262"/>
        <v>-72.086171070023354</v>
      </c>
      <c r="K1094" s="8">
        <f t="shared" si="251"/>
        <v>214.07849156590117</v>
      </c>
      <c r="L1094" s="8">
        <f t="shared" si="252"/>
        <v>-8.9912966457678483</v>
      </c>
      <c r="M1094" s="8">
        <f t="shared" si="249"/>
        <v>116.77959713343783</v>
      </c>
      <c r="N1094" s="8">
        <f t="shared" si="253"/>
        <v>25.000000000000007</v>
      </c>
      <c r="O1094" s="8">
        <f t="shared" si="254"/>
        <v>26.924843223147533</v>
      </c>
    </row>
    <row r="1095" spans="1:15" x14ac:dyDescent="0.3">
      <c r="A1095" s="5">
        <f t="shared" si="255"/>
        <v>10.869999999999813</v>
      </c>
      <c r="B1095" s="5">
        <f t="shared" si="250"/>
        <v>125.71539194805896</v>
      </c>
      <c r="C1095" s="6">
        <f t="shared" si="248"/>
        <v>4849.0222608537024</v>
      </c>
      <c r="D1095" s="6">
        <f t="shared" si="256"/>
        <v>23513016.88625475</v>
      </c>
      <c r="E1095" s="7">
        <f t="shared" si="257"/>
        <v>6248571.4285714282</v>
      </c>
      <c r="F1095" s="7">
        <f t="shared" si="258"/>
        <v>124.97142857142855</v>
      </c>
      <c r="G1095" s="7">
        <f t="shared" si="259"/>
        <v>17264445.457683321</v>
      </c>
      <c r="H1095" s="6">
        <f t="shared" si="260"/>
        <v>4155.0505962843972</v>
      </c>
      <c r="I1095" s="7">
        <f t="shared" si="261"/>
        <v>-5.5530425834306554</v>
      </c>
      <c r="J1095" s="7">
        <f t="shared" si="262"/>
        <v>-72.049051211667489</v>
      </c>
      <c r="K1095" s="8">
        <f t="shared" si="251"/>
        <v>214.1887853608967</v>
      </c>
      <c r="L1095" s="8">
        <f t="shared" si="252"/>
        <v>-8.9959289851576614</v>
      </c>
      <c r="M1095" s="8">
        <f t="shared" si="249"/>
        <v>116.7194629629013</v>
      </c>
      <c r="N1095" s="8">
        <f t="shared" si="253"/>
        <v>25</v>
      </c>
      <c r="O1095" s="8">
        <f t="shared" si="254"/>
        <v>26.926827102523802</v>
      </c>
    </row>
    <row r="1096" spans="1:15" x14ac:dyDescent="0.3">
      <c r="A1096" s="5">
        <f t="shared" si="255"/>
        <v>10.879999999999812</v>
      </c>
      <c r="B1096" s="5">
        <f t="shared" si="250"/>
        <v>125.65986152222466</v>
      </c>
      <c r="C1096" s="6">
        <f t="shared" ref="C1096:C1159" si="263">$B$1*B1096</f>
        <v>4846.8803730000936</v>
      </c>
      <c r="D1096" s="6">
        <f t="shared" si="256"/>
        <v>23492249.350173526</v>
      </c>
      <c r="E1096" s="7">
        <f t="shared" si="257"/>
        <v>6248571.4285714282</v>
      </c>
      <c r="F1096" s="7">
        <f t="shared" si="258"/>
        <v>124.97142857142855</v>
      </c>
      <c r="G1096" s="7">
        <f t="shared" si="259"/>
        <v>17243677.921602096</v>
      </c>
      <c r="H1096" s="6">
        <f t="shared" si="260"/>
        <v>4152.5507729108012</v>
      </c>
      <c r="I1096" s="7">
        <f t="shared" si="261"/>
        <v>-5.5559067222508549</v>
      </c>
      <c r="J1096" s="7">
        <f t="shared" si="262"/>
        <v>-72.01190903220882</v>
      </c>
      <c r="K1096" s="8">
        <f t="shared" si="251"/>
        <v>214.29925928681868</v>
      </c>
      <c r="L1096" s="8">
        <f t="shared" si="252"/>
        <v>-9.0005688900463845</v>
      </c>
      <c r="M1096" s="8">
        <f t="shared" ref="M1096:M1159" si="264">B1096+L1096</f>
        <v>116.65929263217828</v>
      </c>
      <c r="N1096" s="8">
        <f t="shared" si="253"/>
        <v>25.000000000000028</v>
      </c>
      <c r="O1096" s="8">
        <f t="shared" si="254"/>
        <v>26.928815246296953</v>
      </c>
    </row>
    <row r="1097" spans="1:15" x14ac:dyDescent="0.3">
      <c r="A1097" s="5">
        <f t="shared" si="255"/>
        <v>10.889999999999812</v>
      </c>
      <c r="B1097" s="5">
        <f t="shared" ref="B1097:B1160" si="265">I1096*$B$5+B1096</f>
        <v>125.60430245500216</v>
      </c>
      <c r="C1097" s="6">
        <f t="shared" si="263"/>
        <v>4844.7373804072258</v>
      </c>
      <c r="D1097" s="6">
        <f t="shared" si="256"/>
        <v>23471480.285115071</v>
      </c>
      <c r="E1097" s="7">
        <f t="shared" si="257"/>
        <v>6248571.4285714282</v>
      </c>
      <c r="F1097" s="7">
        <f t="shared" si="258"/>
        <v>124.97142857142855</v>
      </c>
      <c r="G1097" s="7">
        <f t="shared" si="259"/>
        <v>17222908.856543642</v>
      </c>
      <c r="H1097" s="6">
        <f t="shared" si="260"/>
        <v>4150.0492595321857</v>
      </c>
      <c r="I1097" s="7">
        <f t="shared" si="261"/>
        <v>-5.5587755442675828</v>
      </c>
      <c r="J1097" s="7">
        <f t="shared" si="262"/>
        <v>-71.974744489684383</v>
      </c>
      <c r="K1097" s="8">
        <f t="shared" ref="K1097:K1160" si="266">-$B$1*I1097</f>
        <v>214.40991385032103</v>
      </c>
      <c r="L1097" s="8">
        <f t="shared" ref="L1097:L1160" si="267">-$B$2*K1097</f>
        <v>-9.0052163817134829</v>
      </c>
      <c r="M1097" s="8">
        <f t="shared" si="264"/>
        <v>116.59908607328867</v>
      </c>
      <c r="N1097" s="8">
        <f t="shared" ref="N1097:N1160" si="268">K1097*M1097/1000</f>
        <v>24.999999999999993</v>
      </c>
      <c r="O1097" s="8">
        <f t="shared" ref="O1097:O1160" si="269">B1097*K1097/1000</f>
        <v>26.930807668606679</v>
      </c>
    </row>
    <row r="1098" spans="1:15" x14ac:dyDescent="0.3">
      <c r="A1098" s="5">
        <f t="shared" si="255"/>
        <v>10.899999999999812</v>
      </c>
      <c r="B1098" s="5">
        <f t="shared" si="265"/>
        <v>125.54871469955948</v>
      </c>
      <c r="C1098" s="6">
        <f t="shared" si="263"/>
        <v>4842.5932812687224</v>
      </c>
      <c r="D1098" s="6">
        <f t="shared" si="256"/>
        <v>23450709.687788971</v>
      </c>
      <c r="E1098" s="7">
        <f t="shared" si="257"/>
        <v>6248571.4285714282</v>
      </c>
      <c r="F1098" s="7">
        <f t="shared" si="258"/>
        <v>124.97142857142855</v>
      </c>
      <c r="G1098" s="7">
        <f t="shared" si="259"/>
        <v>17202138.259217542</v>
      </c>
      <c r="H1098" s="6">
        <f t="shared" si="260"/>
        <v>4147.5460526939951</v>
      </c>
      <c r="I1098" s="7">
        <f t="shared" si="261"/>
        <v>-5.5616490626692867</v>
      </c>
      <c r="J1098" s="7">
        <f t="shared" si="262"/>
        <v>-71.937557541997066</v>
      </c>
      <c r="K1098" s="8">
        <f t="shared" si="266"/>
        <v>214.52074956010105</v>
      </c>
      <c r="L1098" s="8">
        <f t="shared" si="267"/>
        <v>-9.0098714815242431</v>
      </c>
      <c r="M1098" s="8">
        <f t="shared" si="264"/>
        <v>116.53884321803524</v>
      </c>
      <c r="N1098" s="8">
        <f t="shared" si="268"/>
        <v>25.000000000000018</v>
      </c>
      <c r="O1098" s="8">
        <f t="shared" si="269"/>
        <v>26.932804383656777</v>
      </c>
    </row>
    <row r="1099" spans="1:15" x14ac:dyDescent="0.3">
      <c r="A1099" s="5">
        <f t="shared" si="255"/>
        <v>10.909999999999812</v>
      </c>
      <c r="B1099" s="5">
        <f t="shared" si="265"/>
        <v>125.49309820893279</v>
      </c>
      <c r="C1099" s="6">
        <f t="shared" si="263"/>
        <v>4840.4480737731219</v>
      </c>
      <c r="D1099" s="6">
        <f t="shared" si="256"/>
        <v>23429937.554893926</v>
      </c>
      <c r="E1099" s="7">
        <f t="shared" si="257"/>
        <v>6248571.4285714282</v>
      </c>
      <c r="F1099" s="7">
        <f t="shared" si="258"/>
        <v>124.97142857142855</v>
      </c>
      <c r="G1099" s="7">
        <f t="shared" si="259"/>
        <v>17181366.126322497</v>
      </c>
      <c r="H1099" s="6">
        <f t="shared" si="260"/>
        <v>4145.0411489299468</v>
      </c>
      <c r="I1099" s="7">
        <f t="shared" si="261"/>
        <v>-5.564527290697562</v>
      </c>
      <c r="J1099" s="7">
        <f t="shared" si="262"/>
        <v>-71.900348146915292</v>
      </c>
      <c r="K1099" s="8">
        <f t="shared" si="266"/>
        <v>214.63176692690595</v>
      </c>
      <c r="L1099" s="8">
        <f t="shared" si="267"/>
        <v>-9.0145342109300497</v>
      </c>
      <c r="M1099" s="8">
        <f t="shared" si="264"/>
        <v>116.47856399800274</v>
      </c>
      <c r="N1099" s="8">
        <f t="shared" si="268"/>
        <v>25.000000000000021</v>
      </c>
      <c r="O1099" s="8">
        <f t="shared" si="269"/>
        <v>26.934805405714982</v>
      </c>
    </row>
    <row r="1100" spans="1:15" x14ac:dyDescent="0.3">
      <c r="A1100" s="5">
        <f t="shared" si="255"/>
        <v>10.919999999999812</v>
      </c>
      <c r="B1100" s="5">
        <f t="shared" si="265"/>
        <v>125.43745293602582</v>
      </c>
      <c r="C1100" s="6">
        <f t="shared" si="263"/>
        <v>4838.3017561038532</v>
      </c>
      <c r="D1100" s="6">
        <f t="shared" si="256"/>
        <v>23409163.883117631</v>
      </c>
      <c r="E1100" s="7">
        <f t="shared" si="257"/>
        <v>6248571.4285714282</v>
      </c>
      <c r="F1100" s="7">
        <f t="shared" si="258"/>
        <v>124.97142857142855</v>
      </c>
      <c r="G1100" s="7">
        <f t="shared" si="259"/>
        <v>17160592.454546202</v>
      </c>
      <c r="H1100" s="6">
        <f t="shared" si="260"/>
        <v>4142.5345447619629</v>
      </c>
      <c r="I1100" s="7">
        <f t="shared" si="261"/>
        <v>-5.5674102416475</v>
      </c>
      <c r="J1100" s="7">
        <f t="shared" si="262"/>
        <v>-71.863116262072154</v>
      </c>
      <c r="K1100" s="8">
        <f t="shared" si="266"/>
        <v>214.74296646354642</v>
      </c>
      <c r="L1100" s="8">
        <f t="shared" si="267"/>
        <v>-9.0192045914689487</v>
      </c>
      <c r="M1100" s="8">
        <f t="shared" si="264"/>
        <v>116.41824834455687</v>
      </c>
      <c r="N1100" s="8">
        <f t="shared" si="268"/>
        <v>24.999999999999996</v>
      </c>
      <c r="O1100" s="8">
        <f t="shared" si="269"/>
        <v>26.936810749113675</v>
      </c>
    </row>
    <row r="1101" spans="1:15" x14ac:dyDescent="0.3">
      <c r="A1101" s="5">
        <f t="shared" si="255"/>
        <v>10.929999999999811</v>
      </c>
      <c r="B1101" s="5">
        <f t="shared" si="265"/>
        <v>125.38177883360935</v>
      </c>
      <c r="C1101" s="6">
        <f t="shared" si="263"/>
        <v>4836.1543264392176</v>
      </c>
      <c r="D1101" s="6">
        <f t="shared" si="256"/>
        <v>23388388.669136763</v>
      </c>
      <c r="E1101" s="7">
        <f t="shared" si="257"/>
        <v>6248571.4285714282</v>
      </c>
      <c r="F1101" s="7">
        <f t="shared" si="258"/>
        <v>124.97142857142855</v>
      </c>
      <c r="G1101" s="7">
        <f t="shared" si="259"/>
        <v>17139817.240565334</v>
      </c>
      <c r="H1101" s="6">
        <f t="shared" si="260"/>
        <v>4140.0262367001169</v>
      </c>
      <c r="I1101" s="7">
        <f t="shared" si="261"/>
        <v>-5.5702979288679764</v>
      </c>
      <c r="J1101" s="7">
        <f t="shared" si="262"/>
        <v>-71.825861844964962</v>
      </c>
      <c r="K1101" s="8">
        <f t="shared" si="266"/>
        <v>214.85434868490765</v>
      </c>
      <c r="L1101" s="8">
        <f t="shared" si="267"/>
        <v>-9.02388264476612</v>
      </c>
      <c r="M1101" s="8">
        <f t="shared" si="264"/>
        <v>116.35789618884323</v>
      </c>
      <c r="N1101" s="8">
        <f t="shared" si="268"/>
        <v>25.000000000000011</v>
      </c>
      <c r="O1101" s="8">
        <f t="shared" si="269"/>
        <v>26.938820428250278</v>
      </c>
    </row>
    <row r="1102" spans="1:15" x14ac:dyDescent="0.3">
      <c r="A1102" s="5">
        <f t="shared" si="255"/>
        <v>10.939999999999811</v>
      </c>
      <c r="B1102" s="5">
        <f t="shared" si="265"/>
        <v>125.32607585432066</v>
      </c>
      <c r="C1102" s="6">
        <f t="shared" si="263"/>
        <v>4834.0057829523685</v>
      </c>
      <c r="D1102" s="6">
        <f t="shared" si="256"/>
        <v>23367611.90961694</v>
      </c>
      <c r="E1102" s="7">
        <f t="shared" si="257"/>
        <v>6248571.4285714282</v>
      </c>
      <c r="F1102" s="7">
        <f t="shared" si="258"/>
        <v>124.97142857142855</v>
      </c>
      <c r="G1102" s="7">
        <f t="shared" si="259"/>
        <v>17119040.481045511</v>
      </c>
      <c r="H1102" s="6">
        <f t="shared" si="260"/>
        <v>4137.5162212425839</v>
      </c>
      <c r="I1102" s="7">
        <f t="shared" si="261"/>
        <v>-5.5731903657618798</v>
      </c>
      <c r="J1102" s="7">
        <f t="shared" si="262"/>
        <v>-71.7885848529546</v>
      </c>
      <c r="K1102" s="8">
        <f t="shared" si="266"/>
        <v>214.96591410795821</v>
      </c>
      <c r="L1102" s="8">
        <f t="shared" si="267"/>
        <v>-9.0285683925342433</v>
      </c>
      <c r="M1102" s="8">
        <f t="shared" si="264"/>
        <v>116.29750746178642</v>
      </c>
      <c r="N1102" s="8">
        <f t="shared" si="268"/>
        <v>25.000000000000011</v>
      </c>
      <c r="O1102" s="8">
        <f t="shared" si="269"/>
        <v>26.940834457587354</v>
      </c>
    </row>
    <row r="1103" spans="1:15" x14ac:dyDescent="0.3">
      <c r="A1103" s="5">
        <f t="shared" si="255"/>
        <v>10.949999999999811</v>
      </c>
      <c r="B1103" s="5">
        <f t="shared" si="265"/>
        <v>125.27034395066305</v>
      </c>
      <c r="C1103" s="6">
        <f t="shared" si="263"/>
        <v>4831.8561238112889</v>
      </c>
      <c r="D1103" s="6">
        <f t="shared" si="256"/>
        <v>23346833.601212654</v>
      </c>
      <c r="E1103" s="7">
        <f t="shared" si="257"/>
        <v>6248571.4285714282</v>
      </c>
      <c r="F1103" s="7">
        <f t="shared" si="258"/>
        <v>124.97142857142855</v>
      </c>
      <c r="G1103" s="7">
        <f t="shared" si="259"/>
        <v>17098262.172641225</v>
      </c>
      <c r="H1103" s="6">
        <f t="shared" si="260"/>
        <v>4135.0044948755767</v>
      </c>
      <c r="I1103" s="7">
        <f t="shared" si="261"/>
        <v>-5.576087565786449</v>
      </c>
      <c r="J1103" s="7">
        <f t="shared" si="262"/>
        <v>-71.751285243264832</v>
      </c>
      <c r="K1103" s="8">
        <f t="shared" si="266"/>
        <v>215.07766325176303</v>
      </c>
      <c r="L1103" s="8">
        <f t="shared" si="267"/>
        <v>-9.0332618565740468</v>
      </c>
      <c r="M1103" s="8">
        <f t="shared" si="264"/>
        <v>116.237082094089</v>
      </c>
      <c r="N1103" s="8">
        <f t="shared" si="268"/>
        <v>25.000000000000007</v>
      </c>
      <c r="O1103" s="8">
        <f t="shared" si="269"/>
        <v>26.942852851653235</v>
      </c>
    </row>
    <row r="1104" spans="1:15" x14ac:dyDescent="0.3">
      <c r="A1104" s="5">
        <f t="shared" si="255"/>
        <v>10.959999999999811</v>
      </c>
      <c r="B1104" s="5">
        <f t="shared" si="265"/>
        <v>125.21458307500518</v>
      </c>
      <c r="C1104" s="6">
        <f t="shared" si="263"/>
        <v>4829.7053471787713</v>
      </c>
      <c r="D1104" s="6">
        <f t="shared" si="256"/>
        <v>23326053.740567215</v>
      </c>
      <c r="E1104" s="7">
        <f t="shared" si="257"/>
        <v>6248571.4285714282</v>
      </c>
      <c r="F1104" s="7">
        <f t="shared" si="258"/>
        <v>124.97142857142855</v>
      </c>
      <c r="G1104" s="7">
        <f t="shared" si="259"/>
        <v>17077482.311995786</v>
      </c>
      <c r="H1104" s="6">
        <f t="shared" si="260"/>
        <v>4132.4910540732917</v>
      </c>
      <c r="I1104" s="7">
        <f t="shared" si="261"/>
        <v>-5.5789895424535416</v>
      </c>
      <c r="J1104" s="7">
        <f t="shared" si="262"/>
        <v>-71.713962972981761</v>
      </c>
      <c r="K1104" s="8">
        <f t="shared" si="266"/>
        <v>215.18959663749374</v>
      </c>
      <c r="L1104" s="8">
        <f t="shared" si="267"/>
        <v>-9.0379630587747357</v>
      </c>
      <c r="M1104" s="8">
        <f t="shared" si="264"/>
        <v>116.17662001623044</v>
      </c>
      <c r="N1104" s="8">
        <f t="shared" si="268"/>
        <v>25.000000000000011</v>
      </c>
      <c r="O1104" s="8">
        <f t="shared" si="269"/>
        <v>26.944875625042314</v>
      </c>
    </row>
    <row r="1105" spans="1:15" x14ac:dyDescent="0.3">
      <c r="A1105" s="5">
        <f t="shared" si="255"/>
        <v>10.969999999999811</v>
      </c>
      <c r="B1105" s="5">
        <f t="shared" si="265"/>
        <v>125.15879317958064</v>
      </c>
      <c r="C1105" s="6">
        <f t="shared" si="263"/>
        <v>4827.5534512123959</v>
      </c>
      <c r="D1105" s="6">
        <f t="shared" si="256"/>
        <v>23305272.324312713</v>
      </c>
      <c r="E1105" s="7">
        <f t="shared" si="257"/>
        <v>6248571.4285714282</v>
      </c>
      <c r="F1105" s="7">
        <f t="shared" si="258"/>
        <v>124.97142857142855</v>
      </c>
      <c r="G1105" s="7">
        <f t="shared" si="259"/>
        <v>17056700.895741284</v>
      </c>
      <c r="H1105" s="6">
        <f t="shared" si="260"/>
        <v>4129.9758952978509</v>
      </c>
      <c r="I1105" s="7">
        <f t="shared" si="261"/>
        <v>-5.5818963093299221</v>
      </c>
      <c r="J1105" s="7">
        <f t="shared" si="262"/>
        <v>-71.676617999053207</v>
      </c>
      <c r="K1105" s="8">
        <f t="shared" si="266"/>
        <v>215.30171478843985</v>
      </c>
      <c r="L1105" s="8">
        <f t="shared" si="267"/>
        <v>-9.0426720211144733</v>
      </c>
      <c r="M1105" s="8">
        <f t="shared" si="264"/>
        <v>116.11612115846617</v>
      </c>
      <c r="N1105" s="8">
        <f t="shared" si="268"/>
        <v>25.000000000000011</v>
      </c>
      <c r="O1105" s="8">
        <f t="shared" si="269"/>
        <v>26.946902792415404</v>
      </c>
    </row>
    <row r="1106" spans="1:15" x14ac:dyDescent="0.3">
      <c r="A1106" s="5">
        <f t="shared" si="255"/>
        <v>10.97999999999981</v>
      </c>
      <c r="B1106" s="5">
        <f t="shared" si="265"/>
        <v>125.10297421648734</v>
      </c>
      <c r="C1106" s="6">
        <f t="shared" si="263"/>
        <v>4825.4004340645115</v>
      </c>
      <c r="D1106" s="6">
        <f t="shared" si="256"/>
        <v>23284489.349069975</v>
      </c>
      <c r="E1106" s="7">
        <f t="shared" si="257"/>
        <v>6248571.4285714282</v>
      </c>
      <c r="F1106" s="7">
        <f t="shared" si="258"/>
        <v>124.97142857142855</v>
      </c>
      <c r="G1106" s="7">
        <f t="shared" si="259"/>
        <v>17035917.920498546</v>
      </c>
      <c r="H1106" s="6">
        <f t="shared" si="260"/>
        <v>4127.4590149992464</v>
      </c>
      <c r="I1106" s="7">
        <f t="shared" si="261"/>
        <v>-5.5848078800375589</v>
      </c>
      <c r="J1106" s="7">
        <f t="shared" si="262"/>
        <v>-71.639250278287975</v>
      </c>
      <c r="K1106" s="8">
        <f t="shared" si="266"/>
        <v>215.4140182300201</v>
      </c>
      <c r="L1106" s="8">
        <f t="shared" si="267"/>
        <v>-9.0473887656608429</v>
      </c>
      <c r="M1106" s="8">
        <f t="shared" si="264"/>
        <v>116.0555854508265</v>
      </c>
      <c r="N1106" s="8">
        <f t="shared" si="268"/>
        <v>24.999999999999996</v>
      </c>
      <c r="O1106" s="8">
        <f t="shared" si="269"/>
        <v>26.94893436850014</v>
      </c>
    </row>
    <row r="1107" spans="1:15" x14ac:dyDescent="0.3">
      <c r="A1107" s="5">
        <f t="shared" si="255"/>
        <v>10.98999999999981</v>
      </c>
      <c r="B1107" s="5">
        <f t="shared" si="265"/>
        <v>125.04712613768696</v>
      </c>
      <c r="C1107" s="6">
        <f t="shared" si="263"/>
        <v>4823.2462938822109</v>
      </c>
      <c r="D1107" s="6">
        <f t="shared" si="256"/>
        <v>23263704.811448485</v>
      </c>
      <c r="E1107" s="7">
        <f t="shared" si="257"/>
        <v>6248571.4285714282</v>
      </c>
      <c r="F1107" s="7">
        <f t="shared" si="258"/>
        <v>124.97142857142855</v>
      </c>
      <c r="G1107" s="7">
        <f t="shared" si="259"/>
        <v>17015133.382877056</v>
      </c>
      <c r="H1107" s="6">
        <f t="shared" si="260"/>
        <v>4124.9404096152775</v>
      </c>
      <c r="I1107" s="7">
        <f t="shared" si="261"/>
        <v>-5.5877242682539263</v>
      </c>
      <c r="J1107" s="7">
        <f t="shared" si="262"/>
        <v>-71.601859767355322</v>
      </c>
      <c r="K1107" s="8">
        <f t="shared" si="266"/>
        <v>215.52650748979428</v>
      </c>
      <c r="L1107" s="8">
        <f t="shared" si="267"/>
        <v>-9.0521133145713595</v>
      </c>
      <c r="M1107" s="8">
        <f t="shared" si="264"/>
        <v>115.9950128231156</v>
      </c>
      <c r="N1107" s="8">
        <f t="shared" si="268"/>
        <v>25.000000000000007</v>
      </c>
      <c r="O1107" s="8">
        <f t="shared" si="269"/>
        <v>26.95097036809144</v>
      </c>
    </row>
    <row r="1108" spans="1:15" x14ac:dyDescent="0.3">
      <c r="A1108" s="5">
        <f t="shared" si="255"/>
        <v>10.99999999999981</v>
      </c>
      <c r="B1108" s="5">
        <f t="shared" si="265"/>
        <v>124.99124889500442</v>
      </c>
      <c r="C1108" s="6">
        <f t="shared" si="263"/>
        <v>4821.0910288073128</v>
      </c>
      <c r="D1108" s="6">
        <f t="shared" si="256"/>
        <v>23242918.708046354</v>
      </c>
      <c r="E1108" s="7">
        <f t="shared" si="257"/>
        <v>6248571.4285714282</v>
      </c>
      <c r="F1108" s="7">
        <f t="shared" si="258"/>
        <v>124.97142857142855</v>
      </c>
      <c r="G1108" s="7">
        <f t="shared" si="259"/>
        <v>16994347.279474925</v>
      </c>
      <c r="H1108" s="6">
        <f t="shared" si="260"/>
        <v>4122.4200755714992</v>
      </c>
      <c r="I1108" s="7">
        <f t="shared" si="261"/>
        <v>-5.5906454877122727</v>
      </c>
      <c r="J1108" s="7">
        <f t="shared" si="262"/>
        <v>-71.5644464227843</v>
      </c>
      <c r="K1108" s="8">
        <f t="shared" si="266"/>
        <v>215.63918309747336</v>
      </c>
      <c r="L1108" s="8">
        <f t="shared" si="267"/>
        <v>-9.0568456900938799</v>
      </c>
      <c r="M1108" s="8">
        <f t="shared" si="264"/>
        <v>115.93440320491054</v>
      </c>
      <c r="N1108" s="8">
        <f t="shared" si="268"/>
        <v>25.000000000000007</v>
      </c>
      <c r="O1108" s="8">
        <f t="shared" si="269"/>
        <v>26.953010806051722</v>
      </c>
    </row>
    <row r="1109" spans="1:15" x14ac:dyDescent="0.3">
      <c r="A1109" s="5">
        <f t="shared" si="255"/>
        <v>11.00999999999981</v>
      </c>
      <c r="B1109" s="5">
        <f t="shared" si="265"/>
        <v>124.9353424401273</v>
      </c>
      <c r="C1109" s="6">
        <f t="shared" si="263"/>
        <v>4818.9346369763389</v>
      </c>
      <c r="D1109" s="6">
        <f t="shared" si="256"/>
        <v>23222131.03545028</v>
      </c>
      <c r="E1109" s="7">
        <f t="shared" si="257"/>
        <v>6248571.4285714282</v>
      </c>
      <c r="F1109" s="7">
        <f t="shared" si="258"/>
        <v>124.97142857142855</v>
      </c>
      <c r="G1109" s="7">
        <f t="shared" si="259"/>
        <v>16973559.606878851</v>
      </c>
      <c r="H1109" s="6">
        <f t="shared" si="260"/>
        <v>4119.898009281158</v>
      </c>
      <c r="I1109" s="7">
        <f t="shared" si="261"/>
        <v>-5.5935715522019516</v>
      </c>
      <c r="J1109" s="7">
        <f t="shared" si="262"/>
        <v>-71.527010200963062</v>
      </c>
      <c r="K1109" s="8">
        <f t="shared" si="266"/>
        <v>215.7520455849324</v>
      </c>
      <c r="L1109" s="8">
        <f t="shared" si="267"/>
        <v>-9.0615859145671607</v>
      </c>
      <c r="M1109" s="8">
        <f t="shared" si="264"/>
        <v>115.87375652556014</v>
      </c>
      <c r="N1109" s="8">
        <f t="shared" si="268"/>
        <v>25.000000000000011</v>
      </c>
      <c r="O1109" s="8">
        <f t="shared" si="269"/>
        <v>26.955055697311483</v>
      </c>
    </row>
    <row r="1110" spans="1:15" x14ac:dyDescent="0.3">
      <c r="A1110" s="5">
        <f t="shared" si="255"/>
        <v>11.01999999999981</v>
      </c>
      <c r="B1110" s="5">
        <f t="shared" si="265"/>
        <v>124.87940672460527</v>
      </c>
      <c r="C1110" s="6">
        <f t="shared" si="263"/>
        <v>4816.7771165204886</v>
      </c>
      <c r="D1110" s="6">
        <f t="shared" si="256"/>
        <v>23201341.790235434</v>
      </c>
      <c r="E1110" s="7">
        <f t="shared" si="257"/>
        <v>6248571.4285714282</v>
      </c>
      <c r="F1110" s="7">
        <f t="shared" si="258"/>
        <v>124.97142857142855</v>
      </c>
      <c r="G1110" s="7">
        <f t="shared" si="259"/>
        <v>16952770.361664005</v>
      </c>
      <c r="H1110" s="6">
        <f t="shared" si="260"/>
        <v>4117.3742071451325</v>
      </c>
      <c r="I1110" s="7">
        <f t="shared" si="261"/>
        <v>-5.5965024755686938</v>
      </c>
      <c r="J1110" s="7">
        <f t="shared" si="262"/>
        <v>-71.489551058138275</v>
      </c>
      <c r="K1110" s="8">
        <f t="shared" si="266"/>
        <v>215.86509548622104</v>
      </c>
      <c r="L1110" s="8">
        <f t="shared" si="267"/>
        <v>-9.0663340104212828</v>
      </c>
      <c r="M1110" s="8">
        <f t="shared" si="264"/>
        <v>115.81307271418399</v>
      </c>
      <c r="N1110" s="8">
        <f t="shared" si="268"/>
        <v>24.999999999999986</v>
      </c>
      <c r="O1110" s="8">
        <f t="shared" si="269"/>
        <v>26.957105056869551</v>
      </c>
    </row>
    <row r="1111" spans="1:15" x14ac:dyDescent="0.3">
      <c r="A1111" s="5">
        <f t="shared" si="255"/>
        <v>11.029999999999809</v>
      </c>
      <c r="B1111" s="5">
        <f t="shared" si="265"/>
        <v>124.82344169984958</v>
      </c>
      <c r="C1111" s="6">
        <f t="shared" si="263"/>
        <v>4814.6184655656261</v>
      </c>
      <c r="D1111" s="6">
        <f t="shared" si="256"/>
        <v>23180550.968965504</v>
      </c>
      <c r="E1111" s="7">
        <f t="shared" si="257"/>
        <v>6248571.4285714282</v>
      </c>
      <c r="F1111" s="7">
        <f t="shared" si="258"/>
        <v>124.97142857142855</v>
      </c>
      <c r="G1111" s="7">
        <f t="shared" si="259"/>
        <v>16931979.540394075</v>
      </c>
      <c r="H1111" s="6">
        <f t="shared" si="260"/>
        <v>4114.8486655518782</v>
      </c>
      <c r="I1111" s="7">
        <f t="shared" si="261"/>
        <v>-5.5994382717149485</v>
      </c>
      <c r="J1111" s="7">
        <f t="shared" si="262"/>
        <v>-71.452068950414429</v>
      </c>
      <c r="K1111" s="8">
        <f t="shared" si="266"/>
        <v>215.97833333757657</v>
      </c>
      <c r="L1111" s="8">
        <f t="shared" si="267"/>
        <v>-9.0710900001782147</v>
      </c>
      <c r="M1111" s="8">
        <f t="shared" si="264"/>
        <v>115.75235169967137</v>
      </c>
      <c r="N1111" s="8">
        <f t="shared" si="268"/>
        <v>25.000000000000021</v>
      </c>
      <c r="O1111" s="8">
        <f t="shared" si="269"/>
        <v>26.959158899793668</v>
      </c>
    </row>
    <row r="1112" spans="1:15" x14ac:dyDescent="0.3">
      <c r="A1112" s="5">
        <f t="shared" si="255"/>
        <v>11.039999999999809</v>
      </c>
      <c r="B1112" s="5">
        <f t="shared" si="265"/>
        <v>124.76744731713244</v>
      </c>
      <c r="C1112" s="6">
        <f t="shared" si="263"/>
        <v>4812.4586822322508</v>
      </c>
      <c r="D1112" s="6">
        <f t="shared" si="256"/>
        <v>23159758.568192571</v>
      </c>
      <c r="E1112" s="7">
        <f t="shared" si="257"/>
        <v>6248571.4285714282</v>
      </c>
      <c r="F1112" s="7">
        <f t="shared" si="258"/>
        <v>124.97142857142855</v>
      </c>
      <c r="G1112" s="7">
        <f t="shared" si="259"/>
        <v>16911187.139621142</v>
      </c>
      <c r="H1112" s="6">
        <f t="shared" si="260"/>
        <v>4112.321380877368</v>
      </c>
      <c r="I1112" s="7">
        <f t="shared" si="261"/>
        <v>-5.6023789546001144</v>
      </c>
      <c r="J1112" s="7">
        <f t="shared" si="262"/>
        <v>-71.414563833753249</v>
      </c>
      <c r="K1112" s="8">
        <f t="shared" si="266"/>
        <v>216.09175967743298</v>
      </c>
      <c r="L1112" s="8">
        <f t="shared" si="267"/>
        <v>-9.0758539064521848</v>
      </c>
      <c r="M1112" s="8">
        <f t="shared" si="264"/>
        <v>115.69159341068026</v>
      </c>
      <c r="N1112" s="8">
        <f t="shared" si="268"/>
        <v>25.000000000000007</v>
      </c>
      <c r="O1112" s="8">
        <f t="shared" si="269"/>
        <v>26.961217241220563</v>
      </c>
    </row>
    <row r="1113" spans="1:15" x14ac:dyDescent="0.3">
      <c r="A1113" s="5">
        <f t="shared" si="255"/>
        <v>11.049999999999809</v>
      </c>
      <c r="B1113" s="5">
        <f t="shared" si="265"/>
        <v>124.71142352758643</v>
      </c>
      <c r="C1113" s="6">
        <f t="shared" si="263"/>
        <v>4810.2977646354766</v>
      </c>
      <c r="D1113" s="6">
        <f t="shared" si="256"/>
        <v>23138964.584457062</v>
      </c>
      <c r="E1113" s="7">
        <f t="shared" si="257"/>
        <v>6248571.4285714282</v>
      </c>
      <c r="F1113" s="7">
        <f t="shared" si="258"/>
        <v>124.97142857142855</v>
      </c>
      <c r="G1113" s="7">
        <f t="shared" si="259"/>
        <v>16890393.155885633</v>
      </c>
      <c r="H1113" s="6">
        <f t="shared" si="260"/>
        <v>4109.7923494850238</v>
      </c>
      <c r="I1113" s="7">
        <f t="shared" si="261"/>
        <v>-5.6053245382409358</v>
      </c>
      <c r="J1113" s="7">
        <f t="shared" si="262"/>
        <v>-71.377035663972919</v>
      </c>
      <c r="K1113" s="8">
        <f t="shared" si="266"/>
        <v>216.20537504643607</v>
      </c>
      <c r="L1113" s="8">
        <f t="shared" si="267"/>
        <v>-9.0806257519503149</v>
      </c>
      <c r="M1113" s="8">
        <f t="shared" si="264"/>
        <v>115.63079777563613</v>
      </c>
      <c r="N1113" s="8">
        <f t="shared" si="268"/>
        <v>25.000000000000014</v>
      </c>
      <c r="O1113" s="8">
        <f t="shared" si="269"/>
        <v>26.963280096356758</v>
      </c>
    </row>
    <row r="1114" spans="1:15" x14ac:dyDescent="0.3">
      <c r="A1114" s="5">
        <f t="shared" si="255"/>
        <v>11.059999999999809</v>
      </c>
      <c r="B1114" s="5">
        <f t="shared" si="265"/>
        <v>124.65537028220402</v>
      </c>
      <c r="C1114" s="6">
        <f t="shared" si="263"/>
        <v>4808.1357108850116</v>
      </c>
      <c r="D1114" s="6">
        <f t="shared" si="256"/>
        <v>23118169.014287714</v>
      </c>
      <c r="E1114" s="7">
        <f t="shared" si="257"/>
        <v>6248571.4285714282</v>
      </c>
      <c r="F1114" s="7">
        <f t="shared" si="258"/>
        <v>124.97142857142855</v>
      </c>
      <c r="G1114" s="7">
        <f t="shared" si="259"/>
        <v>16869597.585716285</v>
      </c>
      <c r="H1114" s="6">
        <f t="shared" si="260"/>
        <v>4107.2615677256645</v>
      </c>
      <c r="I1114" s="7">
        <f t="shared" si="261"/>
        <v>-5.6082750367117411</v>
      </c>
      <c r="J1114" s="7">
        <f t="shared" si="262"/>
        <v>-71.339484396747523</v>
      </c>
      <c r="K1114" s="8">
        <f t="shared" si="266"/>
        <v>216.31917998745286</v>
      </c>
      <c r="L1114" s="8">
        <f t="shared" si="267"/>
        <v>-9.0854055594730188</v>
      </c>
      <c r="M1114" s="8">
        <f t="shared" si="264"/>
        <v>115.569964722731</v>
      </c>
      <c r="N1114" s="8">
        <f t="shared" si="268"/>
        <v>25.000000000000025</v>
      </c>
      <c r="O1114" s="8">
        <f t="shared" si="269"/>
        <v>26.96534748047867</v>
      </c>
    </row>
    <row r="1115" spans="1:15" x14ac:dyDescent="0.3">
      <c r="A1115" s="5">
        <f t="shared" si="255"/>
        <v>11.069999999999808</v>
      </c>
      <c r="B1115" s="5">
        <f t="shared" si="265"/>
        <v>124.59928753183691</v>
      </c>
      <c r="C1115" s="6">
        <f t="shared" si="263"/>
        <v>4805.9725190851377</v>
      </c>
      <c r="D1115" s="6">
        <f t="shared" si="256"/>
        <v>23097371.854201544</v>
      </c>
      <c r="E1115" s="7">
        <f t="shared" si="257"/>
        <v>6248571.4285714282</v>
      </c>
      <c r="F1115" s="7">
        <f t="shared" si="258"/>
        <v>124.97142857142855</v>
      </c>
      <c r="G1115" s="7">
        <f t="shared" si="259"/>
        <v>16848800.425630115</v>
      </c>
      <c r="H1115" s="6">
        <f t="shared" si="260"/>
        <v>4104.7290319374451</v>
      </c>
      <c r="I1115" s="7">
        <f t="shared" si="261"/>
        <v>-5.611230464144775</v>
      </c>
      <c r="J1115" s="7">
        <f t="shared" si="262"/>
        <v>-71.301909987606422</v>
      </c>
      <c r="K1115" s="8">
        <f t="shared" si="266"/>
        <v>216.43317504558416</v>
      </c>
      <c r="L1115" s="8">
        <f t="shared" si="267"/>
        <v>-9.0901933519145341</v>
      </c>
      <c r="M1115" s="8">
        <f t="shared" si="264"/>
        <v>115.50909417992237</v>
      </c>
      <c r="N1115" s="8">
        <f t="shared" si="268"/>
        <v>25.000000000000007</v>
      </c>
      <c r="O1115" s="8">
        <f t="shared" si="269"/>
        <v>26.967419408933129</v>
      </c>
    </row>
    <row r="1116" spans="1:15" x14ac:dyDescent="0.3">
      <c r="A1116" s="5">
        <f t="shared" si="255"/>
        <v>11.079999999999808</v>
      </c>
      <c r="B1116" s="5">
        <f t="shared" si="265"/>
        <v>124.54317522719546</v>
      </c>
      <c r="C1116" s="6">
        <f t="shared" si="263"/>
        <v>4803.8081873346819</v>
      </c>
      <c r="D1116" s="6">
        <f t="shared" si="256"/>
        <v>23076573.100703724</v>
      </c>
      <c r="E1116" s="7">
        <f t="shared" si="257"/>
        <v>6248571.4285714282</v>
      </c>
      <c r="F1116" s="7">
        <f t="shared" si="258"/>
        <v>124.97142857142855</v>
      </c>
      <c r="G1116" s="7">
        <f t="shared" si="259"/>
        <v>16828001.672132295</v>
      </c>
      <c r="H1116" s="6">
        <f t="shared" si="260"/>
        <v>4102.1947384457862</v>
      </c>
      <c r="I1116" s="7">
        <f t="shared" si="261"/>
        <v>-5.6141908347305334</v>
      </c>
      <c r="J1116" s="7">
        <f t="shared" si="262"/>
        <v>-71.264312391933331</v>
      </c>
      <c r="K1116" s="8">
        <f t="shared" si="266"/>
        <v>216.5473607681777</v>
      </c>
      <c r="L1116" s="8">
        <f t="shared" si="267"/>
        <v>-9.0949891522634623</v>
      </c>
      <c r="M1116" s="8">
        <f t="shared" si="264"/>
        <v>115.448186074932</v>
      </c>
      <c r="N1116" s="8">
        <f t="shared" si="268"/>
        <v>25.000000000000007</v>
      </c>
      <c r="O1116" s="8">
        <f t="shared" si="269"/>
        <v>26.969495897137865</v>
      </c>
    </row>
    <row r="1117" spans="1:15" x14ac:dyDescent="0.3">
      <c r="A1117" s="5">
        <f t="shared" si="255"/>
        <v>11.089999999999808</v>
      </c>
      <c r="B1117" s="5">
        <f t="shared" si="265"/>
        <v>124.48703331884816</v>
      </c>
      <c r="C1117" s="6">
        <f t="shared" si="263"/>
        <v>4801.6427137270002</v>
      </c>
      <c r="D1117" s="6">
        <f t="shared" si="256"/>
        <v>23055772.750287592</v>
      </c>
      <c r="E1117" s="7">
        <f t="shared" si="257"/>
        <v>6248571.4285714282</v>
      </c>
      <c r="F1117" s="7">
        <f t="shared" si="258"/>
        <v>124.97142857142855</v>
      </c>
      <c r="G1117" s="7">
        <f t="shared" si="259"/>
        <v>16807201.321716163</v>
      </c>
      <c r="H1117" s="6">
        <f t="shared" si="260"/>
        <v>4099.6586835633234</v>
      </c>
      <c r="I1117" s="7">
        <f t="shared" si="261"/>
        <v>-5.6171561627180369</v>
      </c>
      <c r="J1117" s="7">
        <f t="shared" si="262"/>
        <v>-71.226691564966032</v>
      </c>
      <c r="K1117" s="8">
        <f t="shared" si="266"/>
        <v>216.66173770483854</v>
      </c>
      <c r="L1117" s="8">
        <f t="shared" si="267"/>
        <v>-9.0997929836032174</v>
      </c>
      <c r="M1117" s="8">
        <f t="shared" si="264"/>
        <v>115.38724033524494</v>
      </c>
      <c r="N1117" s="8">
        <f t="shared" si="268"/>
        <v>25.000000000000004</v>
      </c>
      <c r="O1117" s="8">
        <f t="shared" si="269"/>
        <v>26.971576960581778</v>
      </c>
    </row>
    <row r="1118" spans="1:15" x14ac:dyDescent="0.3">
      <c r="A1118" s="5">
        <f t="shared" si="255"/>
        <v>11.099999999999808</v>
      </c>
      <c r="B1118" s="5">
        <f t="shared" si="265"/>
        <v>124.43086175722098</v>
      </c>
      <c r="C1118" s="6">
        <f t="shared" si="263"/>
        <v>4799.4760963499521</v>
      </c>
      <c r="D1118" s="6">
        <f t="shared" si="256"/>
        <v>23034970.799434572</v>
      </c>
      <c r="E1118" s="7">
        <f t="shared" si="257"/>
        <v>6248571.4285714282</v>
      </c>
      <c r="F1118" s="7">
        <f t="shared" si="258"/>
        <v>124.97142857142855</v>
      </c>
      <c r="G1118" s="7">
        <f t="shared" si="259"/>
        <v>16786399.370863143</v>
      </c>
      <c r="H1118" s="6">
        <f t="shared" si="260"/>
        <v>4097.1208635898383</v>
      </c>
      <c r="I1118" s="7">
        <f t="shared" si="261"/>
        <v>-5.6201264624151772</v>
      </c>
      <c r="J1118" s="7">
        <f t="shared" si="262"/>
        <v>-71.189047461795326</v>
      </c>
      <c r="K1118" s="8">
        <f t="shared" si="266"/>
        <v>216.77630640744255</v>
      </c>
      <c r="L1118" s="8">
        <f t="shared" si="267"/>
        <v>-9.1046048691125865</v>
      </c>
      <c r="M1118" s="8">
        <f t="shared" si="264"/>
        <v>115.32625688810839</v>
      </c>
      <c r="N1118" s="8">
        <f t="shared" si="268"/>
        <v>25.000000000000014</v>
      </c>
      <c r="O1118" s="8">
        <f t="shared" si="269"/>
        <v>26.973662614825461</v>
      </c>
    </row>
    <row r="1119" spans="1:15" x14ac:dyDescent="0.3">
      <c r="A1119" s="5">
        <f t="shared" si="255"/>
        <v>11.109999999999808</v>
      </c>
      <c r="B1119" s="5">
        <f t="shared" si="265"/>
        <v>124.37466049259683</v>
      </c>
      <c r="C1119" s="6">
        <f t="shared" si="263"/>
        <v>4797.3083332858778</v>
      </c>
      <c r="D1119" s="6">
        <f t="shared" si="256"/>
        <v>23014167.244614128</v>
      </c>
      <c r="E1119" s="7">
        <f t="shared" si="257"/>
        <v>6248571.4285714282</v>
      </c>
      <c r="F1119" s="7">
        <f t="shared" si="258"/>
        <v>124.97142857142855</v>
      </c>
      <c r="G1119" s="7">
        <f t="shared" si="259"/>
        <v>16765595.816042699</v>
      </c>
      <c r="H1119" s="6">
        <f t="shared" si="260"/>
        <v>4094.5812748121998</v>
      </c>
      <c r="I1119" s="7">
        <f t="shared" si="261"/>
        <v>-5.6231017481890113</v>
      </c>
      <c r="J1119" s="7">
        <f t="shared" si="262"/>
        <v>-71.151380037364603</v>
      </c>
      <c r="K1119" s="8">
        <f t="shared" si="266"/>
        <v>216.89106743014756</v>
      </c>
      <c r="L1119" s="8">
        <f t="shared" si="267"/>
        <v>-9.1094248320661961</v>
      </c>
      <c r="M1119" s="8">
        <f t="shared" si="264"/>
        <v>115.26523566053064</v>
      </c>
      <c r="N1119" s="8">
        <f t="shared" si="268"/>
        <v>25</v>
      </c>
      <c r="O1119" s="8">
        <f t="shared" si="269"/>
        <v>26.975752875501531</v>
      </c>
    </row>
    <row r="1120" spans="1:15" x14ac:dyDescent="0.3">
      <c r="A1120" s="5">
        <f t="shared" si="255"/>
        <v>11.119999999999807</v>
      </c>
      <c r="B1120" s="5">
        <f t="shared" si="265"/>
        <v>124.31842947511494</v>
      </c>
      <c r="C1120" s="6">
        <f t="shared" si="263"/>
        <v>4795.1394226115763</v>
      </c>
      <c r="D1120" s="6">
        <f t="shared" si="256"/>
        <v>22993362.082283679</v>
      </c>
      <c r="E1120" s="7">
        <f t="shared" si="257"/>
        <v>6248571.4285714282</v>
      </c>
      <c r="F1120" s="7">
        <f t="shared" si="258"/>
        <v>124.97142857142855</v>
      </c>
      <c r="G1120" s="7">
        <f t="shared" si="259"/>
        <v>16744790.65371225</v>
      </c>
      <c r="H1120" s="6">
        <f t="shared" si="260"/>
        <v>4092.0399135042967</v>
      </c>
      <c r="I1120" s="7">
        <f t="shared" si="261"/>
        <v>-5.6260820344661155</v>
      </c>
      <c r="J1120" s="7">
        <f t="shared" si="262"/>
        <v>-71.11368924646905</v>
      </c>
      <c r="K1120" s="8">
        <f t="shared" si="266"/>
        <v>217.0060213294073</v>
      </c>
      <c r="L1120" s="8">
        <f t="shared" si="267"/>
        <v>-9.1142528958351061</v>
      </c>
      <c r="M1120" s="8">
        <f t="shared" si="264"/>
        <v>115.20417657927983</v>
      </c>
      <c r="N1120" s="8">
        <f t="shared" si="268"/>
        <v>25.000000000000004</v>
      </c>
      <c r="O1120" s="8">
        <f t="shared" si="269"/>
        <v>26.97784775831521</v>
      </c>
    </row>
    <row r="1121" spans="1:15" x14ac:dyDescent="0.3">
      <c r="A1121" s="5">
        <f t="shared" si="255"/>
        <v>11.129999999999807</v>
      </c>
      <c r="B1121" s="5">
        <f t="shared" si="265"/>
        <v>124.26216865477028</v>
      </c>
      <c r="C1121" s="6">
        <f t="shared" si="263"/>
        <v>4792.9693623982821</v>
      </c>
      <c r="D1121" s="6">
        <f t="shared" si="256"/>
        <v>22972555.308888596</v>
      </c>
      <c r="E1121" s="7">
        <f t="shared" si="257"/>
        <v>6248571.4285714282</v>
      </c>
      <c r="F1121" s="7">
        <f t="shared" si="258"/>
        <v>124.97142857142855</v>
      </c>
      <c r="G1121" s="7">
        <f t="shared" si="259"/>
        <v>16723983.880317166</v>
      </c>
      <c r="H1121" s="6">
        <f t="shared" si="260"/>
        <v>4089.4967759269803</v>
      </c>
      <c r="I1121" s="7">
        <f t="shared" si="261"/>
        <v>-5.6290673357328691</v>
      </c>
      <c r="J1121" s="7">
        <f t="shared" si="262"/>
        <v>-71.075975043754966</v>
      </c>
      <c r="K1121" s="8">
        <f t="shared" si="266"/>
        <v>217.12116866398208</v>
      </c>
      <c r="L1121" s="8">
        <f t="shared" si="267"/>
        <v>-9.1190890838872463</v>
      </c>
      <c r="M1121" s="8">
        <f t="shared" si="264"/>
        <v>115.14307957088303</v>
      </c>
      <c r="N1121" s="8">
        <f t="shared" si="268"/>
        <v>25.000000000000004</v>
      </c>
      <c r="O1121" s="8">
        <f t="shared" si="269"/>
        <v>26.979947279044566</v>
      </c>
    </row>
    <row r="1122" spans="1:15" x14ac:dyDescent="0.3">
      <c r="A1122" s="5">
        <f t="shared" si="255"/>
        <v>11.139999999999807</v>
      </c>
      <c r="B1122" s="5">
        <f t="shared" si="265"/>
        <v>124.20587798141295</v>
      </c>
      <c r="C1122" s="6">
        <f t="shared" si="263"/>
        <v>4790.7981507116419</v>
      </c>
      <c r="D1122" s="6">
        <f t="shared" si="256"/>
        <v>22951746.92086209</v>
      </c>
      <c r="E1122" s="7">
        <f t="shared" si="257"/>
        <v>6248571.4285714282</v>
      </c>
      <c r="F1122" s="7">
        <f t="shared" si="258"/>
        <v>124.97142857142855</v>
      </c>
      <c r="G1122" s="7">
        <f t="shared" si="259"/>
        <v>16703175.492290661</v>
      </c>
      <c r="H1122" s="6">
        <f t="shared" si="260"/>
        <v>4086.951858327996</v>
      </c>
      <c r="I1122" s="7">
        <f t="shared" si="261"/>
        <v>-5.6320576665358058</v>
      </c>
      <c r="J1122" s="7">
        <f t="shared" si="262"/>
        <v>-71.038237383719121</v>
      </c>
      <c r="K1122" s="8">
        <f t="shared" si="266"/>
        <v>217.23650999495248</v>
      </c>
      <c r="L1122" s="8">
        <f t="shared" si="267"/>
        <v>-9.1239334197880027</v>
      </c>
      <c r="M1122" s="8">
        <f t="shared" si="264"/>
        <v>115.08194456162495</v>
      </c>
      <c r="N1122" s="8">
        <f t="shared" si="268"/>
        <v>25.000000000000007</v>
      </c>
      <c r="O1122" s="8">
        <f t="shared" si="269"/>
        <v>26.982051453541061</v>
      </c>
    </row>
    <row r="1123" spans="1:15" x14ac:dyDescent="0.3">
      <c r="A1123" s="5">
        <f t="shared" si="255"/>
        <v>11.149999999999807</v>
      </c>
      <c r="B1123" s="5">
        <f t="shared" si="265"/>
        <v>124.1495574047476</v>
      </c>
      <c r="C1123" s="6">
        <f t="shared" si="263"/>
        <v>4788.6257856116927</v>
      </c>
      <c r="D1123" s="6">
        <f t="shared" si="256"/>
        <v>22930936.914625201</v>
      </c>
      <c r="E1123" s="7">
        <f t="shared" si="257"/>
        <v>6248571.4285714282</v>
      </c>
      <c r="F1123" s="7">
        <f t="shared" si="258"/>
        <v>124.97142857142855</v>
      </c>
      <c r="G1123" s="7">
        <f t="shared" si="259"/>
        <v>16682365.486053772</v>
      </c>
      <c r="H1123" s="6">
        <f t="shared" si="260"/>
        <v>4084.4051569419225</v>
      </c>
      <c r="I1123" s="7">
        <f t="shared" si="261"/>
        <v>-5.6350530414819291</v>
      </c>
      <c r="J1123" s="7">
        <f t="shared" si="262"/>
        <v>-71.000476220707952</v>
      </c>
      <c r="K1123" s="8">
        <f t="shared" si="266"/>
        <v>217.35204588573154</v>
      </c>
      <c r="L1123" s="8">
        <f t="shared" si="267"/>
        <v>-9.1287859272007239</v>
      </c>
      <c r="M1123" s="8">
        <f t="shared" si="264"/>
        <v>115.02077147754687</v>
      </c>
      <c r="N1123" s="8">
        <f t="shared" si="268"/>
        <v>25.000000000000011</v>
      </c>
      <c r="O1123" s="8">
        <f t="shared" si="269"/>
        <v>26.984160297729964</v>
      </c>
    </row>
    <row r="1124" spans="1:15" x14ac:dyDescent="0.3">
      <c r="A1124" s="5">
        <f t="shared" si="255"/>
        <v>11.159999999999807</v>
      </c>
      <c r="B1124" s="5">
        <f t="shared" si="265"/>
        <v>124.09320687433278</v>
      </c>
      <c r="C1124" s="6">
        <f t="shared" si="263"/>
        <v>4786.4522651528359</v>
      </c>
      <c r="D1124" s="6">
        <f t="shared" si="256"/>
        <v>22910125.286586713</v>
      </c>
      <c r="E1124" s="7">
        <f t="shared" si="257"/>
        <v>6248571.4285714282</v>
      </c>
      <c r="F1124" s="7">
        <f t="shared" si="258"/>
        <v>124.97142857142855</v>
      </c>
      <c r="G1124" s="7">
        <f t="shared" si="259"/>
        <v>16661553.858015284</v>
      </c>
      <c r="H1124" s="6">
        <f t="shared" si="260"/>
        <v>4081.8566679901051</v>
      </c>
      <c r="I1124" s="7">
        <f t="shared" si="261"/>
        <v>-5.6380534752390457</v>
      </c>
      <c r="J1124" s="7">
        <f t="shared" si="262"/>
        <v>-70.962691508917004</v>
      </c>
      <c r="K1124" s="8">
        <f t="shared" si="266"/>
        <v>217.46777690207747</v>
      </c>
      <c r="L1124" s="8">
        <f t="shared" si="267"/>
        <v>-9.1336466298872523</v>
      </c>
      <c r="M1124" s="8">
        <f t="shared" si="264"/>
        <v>114.95956024444553</v>
      </c>
      <c r="N1124" s="8">
        <f t="shared" si="268"/>
        <v>25.000000000000014</v>
      </c>
      <c r="O1124" s="8">
        <f t="shared" si="269"/>
        <v>26.986273827610749</v>
      </c>
    </row>
    <row r="1125" spans="1:15" x14ac:dyDescent="0.3">
      <c r="A1125" s="5">
        <f t="shared" si="255"/>
        <v>11.169999999999806</v>
      </c>
      <c r="B1125" s="5">
        <f t="shared" si="265"/>
        <v>124.03682633958039</v>
      </c>
      <c r="C1125" s="6">
        <f t="shared" si="263"/>
        <v>4784.2775873838145</v>
      </c>
      <c r="D1125" s="6">
        <f t="shared" si="256"/>
        <v>22889312.033143092</v>
      </c>
      <c r="E1125" s="7">
        <f t="shared" si="257"/>
        <v>6248571.4285714282</v>
      </c>
      <c r="F1125" s="7">
        <f t="shared" si="258"/>
        <v>124.97142857142855</v>
      </c>
      <c r="G1125" s="7">
        <f t="shared" si="259"/>
        <v>16640740.604571663</v>
      </c>
      <c r="H1125" s="6">
        <f t="shared" si="260"/>
        <v>4079.30638768059</v>
      </c>
      <c r="I1125" s="7">
        <f t="shared" si="261"/>
        <v>-5.6410589825360917</v>
      </c>
      <c r="J1125" s="7">
        <f t="shared" si="262"/>
        <v>-70.924883202390077</v>
      </c>
      <c r="K1125" s="8">
        <f t="shared" si="266"/>
        <v>217.58370361210638</v>
      </c>
      <c r="L1125" s="8">
        <f t="shared" si="267"/>
        <v>-9.1385155517084673</v>
      </c>
      <c r="M1125" s="8">
        <f t="shared" si="264"/>
        <v>114.89831078787192</v>
      </c>
      <c r="N1125" s="8">
        <f t="shared" si="268"/>
        <v>25.000000000000007</v>
      </c>
      <c r="O1125" s="8">
        <f t="shared" si="269"/>
        <v>26.988392059257567</v>
      </c>
    </row>
    <row r="1126" spans="1:15" x14ac:dyDescent="0.3">
      <c r="A1126" s="5">
        <f t="shared" si="255"/>
        <v>11.179999999999806</v>
      </c>
      <c r="B1126" s="5">
        <f t="shared" si="265"/>
        <v>123.98041574975502</v>
      </c>
      <c r="C1126" s="6">
        <f t="shared" si="263"/>
        <v>4782.1017503476933</v>
      </c>
      <c r="D1126" s="6">
        <f t="shared" si="256"/>
        <v>22868497.150678471</v>
      </c>
      <c r="E1126" s="7">
        <f t="shared" si="257"/>
        <v>6248571.4285714282</v>
      </c>
      <c r="F1126" s="7">
        <f t="shared" si="258"/>
        <v>124.97142857142855</v>
      </c>
      <c r="G1126" s="7">
        <f t="shared" si="259"/>
        <v>16619925.722107042</v>
      </c>
      <c r="H1126" s="6">
        <f t="shared" si="260"/>
        <v>4076.7543122080638</v>
      </c>
      <c r="I1126" s="7">
        <f t="shared" si="261"/>
        <v>-5.6440695781634744</v>
      </c>
      <c r="J1126" s="7">
        <f t="shared" si="262"/>
        <v>-70.887051255018648</v>
      </c>
      <c r="K1126" s="8">
        <f t="shared" si="266"/>
        <v>217.69982658630542</v>
      </c>
      <c r="L1126" s="8">
        <f t="shared" si="267"/>
        <v>-9.1433927166248274</v>
      </c>
      <c r="M1126" s="8">
        <f t="shared" si="264"/>
        <v>114.83702303313019</v>
      </c>
      <c r="N1126" s="8">
        <f t="shared" si="268"/>
        <v>25.000000000000004</v>
      </c>
      <c r="O1126" s="8">
        <f t="shared" si="269"/>
        <v>26.99051500881972</v>
      </c>
    </row>
    <row r="1127" spans="1:15" x14ac:dyDescent="0.3">
      <c r="A1127" s="5">
        <f t="shared" si="255"/>
        <v>11.189999999999806</v>
      </c>
      <c r="B1127" s="5">
        <f t="shared" si="265"/>
        <v>123.92397505397339</v>
      </c>
      <c r="C1127" s="6">
        <f t="shared" si="263"/>
        <v>4779.9247520818308</v>
      </c>
      <c r="D1127" s="6">
        <f t="shared" si="256"/>
        <v>22847680.635564551</v>
      </c>
      <c r="E1127" s="7">
        <f t="shared" si="257"/>
        <v>6248571.4285714282</v>
      </c>
      <c r="F1127" s="7">
        <f t="shared" si="258"/>
        <v>124.97142857142855</v>
      </c>
      <c r="G1127" s="7">
        <f t="shared" si="259"/>
        <v>16599109.206993122</v>
      </c>
      <c r="H1127" s="6">
        <f t="shared" si="260"/>
        <v>4074.2004377537837</v>
      </c>
      <c r="I1127" s="7">
        <f t="shared" si="261"/>
        <v>-5.6470852769734003</v>
      </c>
      <c r="J1127" s="7">
        <f t="shared" si="262"/>
        <v>-70.849195620541053</v>
      </c>
      <c r="K1127" s="8">
        <f t="shared" si="266"/>
        <v>217.81614639754542</v>
      </c>
      <c r="L1127" s="8">
        <f t="shared" si="267"/>
        <v>-9.1482781486969067</v>
      </c>
      <c r="M1127" s="8">
        <f t="shared" si="264"/>
        <v>114.77569690527649</v>
      </c>
      <c r="N1127" s="8">
        <f t="shared" si="268"/>
        <v>25.000000000000004</v>
      </c>
      <c r="O1127" s="8">
        <f t="shared" si="269"/>
        <v>26.992642692522036</v>
      </c>
    </row>
    <row r="1128" spans="1:15" x14ac:dyDescent="0.3">
      <c r="A1128" s="5">
        <f t="shared" si="255"/>
        <v>11.199999999999806</v>
      </c>
      <c r="B1128" s="5">
        <f t="shared" si="265"/>
        <v>123.86750420120366</v>
      </c>
      <c r="C1128" s="6">
        <f t="shared" si="263"/>
        <v>4777.746590617855</v>
      </c>
      <c r="D1128" s="6">
        <f t="shared" si="256"/>
        <v>22826862.484160539</v>
      </c>
      <c r="E1128" s="7">
        <f t="shared" si="257"/>
        <v>6248571.4285714282</v>
      </c>
      <c r="F1128" s="7">
        <f t="shared" si="258"/>
        <v>124.97142857142855</v>
      </c>
      <c r="G1128" s="7">
        <f t="shared" si="259"/>
        <v>16578291.05558911</v>
      </c>
      <c r="H1128" s="6">
        <f t="shared" si="260"/>
        <v>4071.6447604855102</v>
      </c>
      <c r="I1128" s="7">
        <f t="shared" si="261"/>
        <v>-5.6501060938802175</v>
      </c>
      <c r="J1128" s="7">
        <f t="shared" si="262"/>
        <v>-70.811316252541801</v>
      </c>
      <c r="K1128" s="8">
        <f t="shared" si="266"/>
        <v>217.93266362109409</v>
      </c>
      <c r="L1128" s="8">
        <f t="shared" si="267"/>
        <v>-9.1531718720859505</v>
      </c>
      <c r="M1128" s="8">
        <f t="shared" si="264"/>
        <v>114.71433232911771</v>
      </c>
      <c r="N1128" s="8">
        <f t="shared" si="268"/>
        <v>25.000000000000011</v>
      </c>
      <c r="O1128" s="8">
        <f t="shared" si="269"/>
        <v>26.994775126665377</v>
      </c>
    </row>
    <row r="1129" spans="1:15" x14ac:dyDescent="0.3">
      <c r="A1129" s="5">
        <f t="shared" si="255"/>
        <v>11.209999999999805</v>
      </c>
      <c r="B1129" s="5">
        <f t="shared" si="265"/>
        <v>123.81100314026486</v>
      </c>
      <c r="C1129" s="6">
        <f t="shared" si="263"/>
        <v>4775.5672639816439</v>
      </c>
      <c r="D1129" s="6">
        <f t="shared" si="256"/>
        <v>22806042.692813125</v>
      </c>
      <c r="E1129" s="7">
        <f t="shared" si="257"/>
        <v>6248571.4285714282</v>
      </c>
      <c r="F1129" s="7">
        <f t="shared" si="258"/>
        <v>124.97142857142855</v>
      </c>
      <c r="G1129" s="7">
        <f t="shared" si="259"/>
        <v>16557471.264241695</v>
      </c>
      <c r="H1129" s="6">
        <f t="shared" si="260"/>
        <v>4069.0872765574463</v>
      </c>
      <c r="I1129" s="7">
        <f t="shared" si="261"/>
        <v>-5.65313204386075</v>
      </c>
      <c r="J1129" s="7">
        <f t="shared" si="262"/>
        <v>-70.773413104450896</v>
      </c>
      <c r="K1129" s="8">
        <f t="shared" si="266"/>
        <v>218.04937883462893</v>
      </c>
      <c r="L1129" s="8">
        <f t="shared" si="267"/>
        <v>-9.158073911054414</v>
      </c>
      <c r="M1129" s="8">
        <f t="shared" si="264"/>
        <v>114.65292922921044</v>
      </c>
      <c r="N1129" s="8">
        <f t="shared" si="268"/>
        <v>25.000000000000007</v>
      </c>
      <c r="O1129" s="8">
        <f t="shared" si="269"/>
        <v>26.996912327627044</v>
      </c>
    </row>
    <row r="1130" spans="1:15" x14ac:dyDescent="0.3">
      <c r="A1130" s="5">
        <f t="shared" si="255"/>
        <v>11.219999999999805</v>
      </c>
      <c r="B1130" s="5">
        <f t="shared" si="265"/>
        <v>123.75447181982625</v>
      </c>
      <c r="C1130" s="6">
        <f t="shared" si="263"/>
        <v>4773.3867701932977</v>
      </c>
      <c r="D1130" s="6">
        <f t="shared" si="256"/>
        <v>22785221.257856403</v>
      </c>
      <c r="E1130" s="7">
        <f t="shared" si="257"/>
        <v>6248571.4285714282</v>
      </c>
      <c r="F1130" s="7">
        <f t="shared" si="258"/>
        <v>124.97142857142855</v>
      </c>
      <c r="G1130" s="7">
        <f t="shared" si="259"/>
        <v>16536649.829284973</v>
      </c>
      <c r="H1130" s="6">
        <f t="shared" si="260"/>
        <v>4066.5279821101653</v>
      </c>
      <c r="I1130" s="7">
        <f t="shared" si="261"/>
        <v>-5.6561631419546501</v>
      </c>
      <c r="J1130" s="7">
        <f t="shared" si="262"/>
        <v>-70.735486129543034</v>
      </c>
      <c r="K1130" s="8">
        <f t="shared" si="266"/>
        <v>218.16629261825076</v>
      </c>
      <c r="L1130" s="8">
        <f t="shared" si="267"/>
        <v>-9.1629842899665306</v>
      </c>
      <c r="M1130" s="8">
        <f t="shared" si="264"/>
        <v>114.59148752985972</v>
      </c>
      <c r="N1130" s="8">
        <f t="shared" si="268"/>
        <v>25.000000000000007</v>
      </c>
      <c r="O1130" s="8">
        <f t="shared" si="269"/>
        <v>26.999054311861279</v>
      </c>
    </row>
    <row r="1131" spans="1:15" x14ac:dyDescent="0.3">
      <c r="A1131" s="5">
        <f t="shared" si="255"/>
        <v>11.229999999999805</v>
      </c>
      <c r="B1131" s="5">
        <f t="shared" si="265"/>
        <v>123.69791018840671</v>
      </c>
      <c r="C1131" s="6">
        <f t="shared" si="263"/>
        <v>4771.2051072671156</v>
      </c>
      <c r="D1131" s="6">
        <f t="shared" si="256"/>
        <v>22764398.175611809</v>
      </c>
      <c r="E1131" s="7">
        <f t="shared" si="257"/>
        <v>6248571.4285714282</v>
      </c>
      <c r="F1131" s="7">
        <f t="shared" si="258"/>
        <v>124.97142857142855</v>
      </c>
      <c r="G1131" s="7">
        <f t="shared" si="259"/>
        <v>16515826.74704038</v>
      </c>
      <c r="H1131" s="6">
        <f t="shared" si="260"/>
        <v>4063.9668732705463</v>
      </c>
      <c r="I1131" s="7">
        <f t="shared" si="261"/>
        <v>-5.6591994032647301</v>
      </c>
      <c r="J1131" s="7">
        <f t="shared" si="262"/>
        <v>-70.697535280936947</v>
      </c>
      <c r="K1131" s="8">
        <f t="shared" si="266"/>
        <v>218.28340555449671</v>
      </c>
      <c r="L1131" s="8">
        <f t="shared" si="267"/>
        <v>-9.1679030332888605</v>
      </c>
      <c r="M1131" s="8">
        <f t="shared" si="264"/>
        <v>114.53000715511784</v>
      </c>
      <c r="N1131" s="8">
        <f t="shared" si="268"/>
        <v>25</v>
      </c>
      <c r="O1131" s="8">
        <f t="shared" si="269"/>
        <v>27.001201095899692</v>
      </c>
    </row>
    <row r="1132" spans="1:15" x14ac:dyDescent="0.3">
      <c r="A1132" s="5">
        <f t="shared" si="255"/>
        <v>11.239999999999805</v>
      </c>
      <c r="B1132" s="5">
        <f t="shared" si="265"/>
        <v>123.64131819437407</v>
      </c>
      <c r="C1132" s="6">
        <f t="shared" si="263"/>
        <v>4769.0222732115708</v>
      </c>
      <c r="D1132" s="6">
        <f t="shared" si="256"/>
        <v>22743573.442388058</v>
      </c>
      <c r="E1132" s="7">
        <f t="shared" si="257"/>
        <v>6248571.4285714282</v>
      </c>
      <c r="F1132" s="7">
        <f t="shared" si="258"/>
        <v>124.97142857142855</v>
      </c>
      <c r="G1132" s="7">
        <f t="shared" si="259"/>
        <v>16495002.013816629</v>
      </c>
      <c r="H1132" s="6">
        <f t="shared" si="260"/>
        <v>4061.4039461517036</v>
      </c>
      <c r="I1132" s="7">
        <f t="shared" si="261"/>
        <v>-5.6622408429573285</v>
      </c>
      <c r="J1132" s="7">
        <f t="shared" si="262"/>
        <v>-70.659560511594577</v>
      </c>
      <c r="K1132" s="8">
        <f t="shared" si="266"/>
        <v>218.40071822835409</v>
      </c>
      <c r="L1132" s="8">
        <f t="shared" si="267"/>
        <v>-9.1728301655908702</v>
      </c>
      <c r="M1132" s="8">
        <f t="shared" si="264"/>
        <v>114.4684880287832</v>
      </c>
      <c r="N1132" s="8">
        <f t="shared" si="268"/>
        <v>25.000000000000004</v>
      </c>
      <c r="O1132" s="8">
        <f t="shared" si="269"/>
        <v>27.003352696351762</v>
      </c>
    </row>
    <row r="1133" spans="1:15" x14ac:dyDescent="0.3">
      <c r="A1133" s="5">
        <f t="shared" si="255"/>
        <v>11.249999999999805</v>
      </c>
      <c r="B1133" s="5">
        <f t="shared" si="265"/>
        <v>123.58469578594449</v>
      </c>
      <c r="C1133" s="6">
        <f t="shared" si="263"/>
        <v>4766.8382660292873</v>
      </c>
      <c r="D1133" s="6">
        <f t="shared" si="256"/>
        <v>22722747.054481104</v>
      </c>
      <c r="E1133" s="7">
        <f t="shared" si="257"/>
        <v>6248571.4285714282</v>
      </c>
      <c r="F1133" s="7">
        <f t="shared" si="258"/>
        <v>124.97142857142855</v>
      </c>
      <c r="G1133" s="7">
        <f t="shared" si="259"/>
        <v>16474175.625909675</v>
      </c>
      <c r="H1133" s="6">
        <f t="shared" si="260"/>
        <v>4058.8391968529222</v>
      </c>
      <c r="I1133" s="7">
        <f t="shared" si="261"/>
        <v>-5.6652874762626393</v>
      </c>
      <c r="J1133" s="7">
        <f t="shared" si="262"/>
        <v>-70.621561774320398</v>
      </c>
      <c r="K1133" s="8">
        <f t="shared" si="266"/>
        <v>218.51823122727322</v>
      </c>
      <c r="L1133" s="8">
        <f t="shared" si="267"/>
        <v>-9.177765711545474</v>
      </c>
      <c r="M1133" s="8">
        <f t="shared" si="264"/>
        <v>114.40693007439901</v>
      </c>
      <c r="N1133" s="8">
        <f t="shared" si="268"/>
        <v>25.000000000000004</v>
      </c>
      <c r="O1133" s="8">
        <f t="shared" si="269"/>
        <v>27.005509129905235</v>
      </c>
    </row>
    <row r="1134" spans="1:15" x14ac:dyDescent="0.3">
      <c r="A1134" s="5">
        <f t="shared" si="255"/>
        <v>11.259999999999804</v>
      </c>
      <c r="B1134" s="5">
        <f t="shared" si="265"/>
        <v>123.52804291118187</v>
      </c>
      <c r="C1134" s="6">
        <f t="shared" si="263"/>
        <v>4764.6530837170149</v>
      </c>
      <c r="D1134" s="6">
        <f t="shared" si="256"/>
        <v>22701919.008174058</v>
      </c>
      <c r="E1134" s="7">
        <f t="shared" si="257"/>
        <v>6248571.4285714282</v>
      </c>
      <c r="F1134" s="7">
        <f t="shared" si="258"/>
        <v>124.97142857142855</v>
      </c>
      <c r="G1134" s="7">
        <f t="shared" si="259"/>
        <v>16453347.579602629</v>
      </c>
      <c r="H1134" s="6">
        <f t="shared" si="260"/>
        <v>4056.2726214595868</v>
      </c>
      <c r="I1134" s="7">
        <f t="shared" si="261"/>
        <v>-5.668339318475077</v>
      </c>
      <c r="J1134" s="7">
        <f t="shared" si="262"/>
        <v>-70.583539021760657</v>
      </c>
      <c r="K1134" s="8">
        <f t="shared" si="266"/>
        <v>218.63594514118154</v>
      </c>
      <c r="L1134" s="8">
        <f t="shared" si="267"/>
        <v>-9.1827096959296242</v>
      </c>
      <c r="M1134" s="8">
        <f t="shared" si="264"/>
        <v>114.34533321525225</v>
      </c>
      <c r="N1134" s="8">
        <f t="shared" si="268"/>
        <v>25.000000000000014</v>
      </c>
      <c r="O1134" s="8">
        <f t="shared" si="269"/>
        <v>27.007670413326679</v>
      </c>
    </row>
    <row r="1135" spans="1:15" x14ac:dyDescent="0.3">
      <c r="A1135" s="5">
        <f t="shared" si="255"/>
        <v>11.269999999999804</v>
      </c>
      <c r="B1135" s="5">
        <f t="shared" si="265"/>
        <v>123.47135951799712</v>
      </c>
      <c r="C1135" s="6">
        <f t="shared" si="263"/>
        <v>4762.4667242656024</v>
      </c>
      <c r="D1135" s="6">
        <f t="shared" si="256"/>
        <v>22681089.299737137</v>
      </c>
      <c r="E1135" s="7">
        <f t="shared" si="257"/>
        <v>6248571.4285714282</v>
      </c>
      <c r="F1135" s="7">
        <f t="shared" si="258"/>
        <v>124.97142857142855</v>
      </c>
      <c r="G1135" s="7">
        <f t="shared" si="259"/>
        <v>16432517.871165708</v>
      </c>
      <c r="H1135" s="6">
        <f t="shared" si="260"/>
        <v>4053.7042160431129</v>
      </c>
      <c r="I1135" s="7">
        <f t="shared" si="261"/>
        <v>-5.6713963849536206</v>
      </c>
      <c r="J1135" s="7">
        <f t="shared" si="262"/>
        <v>-70.545492206402628</v>
      </c>
      <c r="K1135" s="8">
        <f t="shared" si="266"/>
        <v>218.75386056249678</v>
      </c>
      <c r="L1135" s="8">
        <f t="shared" si="267"/>
        <v>-9.1876621436248644</v>
      </c>
      <c r="M1135" s="8">
        <f t="shared" si="264"/>
        <v>114.28369737437225</v>
      </c>
      <c r="N1135" s="8">
        <f t="shared" si="268"/>
        <v>25.000000000000007</v>
      </c>
      <c r="O1135" s="8">
        <f t="shared" si="269"/>
        <v>27.00983656346185</v>
      </c>
    </row>
    <row r="1136" spans="1:15" x14ac:dyDescent="0.3">
      <c r="A1136" s="5">
        <f t="shared" si="255"/>
        <v>11.279999999999804</v>
      </c>
      <c r="B1136" s="5">
        <f t="shared" si="265"/>
        <v>123.41464555414758</v>
      </c>
      <c r="C1136" s="6">
        <f t="shared" si="263"/>
        <v>4760.2791856599779</v>
      </c>
      <c r="D1136" s="6">
        <f t="shared" si="256"/>
        <v>22660257.925427623</v>
      </c>
      <c r="E1136" s="7">
        <f t="shared" si="257"/>
        <v>6248571.4285714282</v>
      </c>
      <c r="F1136" s="7">
        <f t="shared" si="258"/>
        <v>124.97142857142855</v>
      </c>
      <c r="G1136" s="7">
        <f t="shared" si="259"/>
        <v>16411686.496856194</v>
      </c>
      <c r="H1136" s="6">
        <f t="shared" si="260"/>
        <v>4051.1339766608799</v>
      </c>
      <c r="I1136" s="7">
        <f t="shared" si="261"/>
        <v>-5.6744586911221848</v>
      </c>
      <c r="J1136" s="7">
        <f t="shared" si="262"/>
        <v>-70.507421280573865</v>
      </c>
      <c r="K1136" s="8">
        <f t="shared" si="266"/>
        <v>218.87197808614141</v>
      </c>
      <c r="L1136" s="8">
        <f t="shared" si="267"/>
        <v>-9.1926230796179382</v>
      </c>
      <c r="M1136" s="8">
        <f t="shared" si="264"/>
        <v>114.22202247452964</v>
      </c>
      <c r="N1136" s="8">
        <f t="shared" si="268"/>
        <v>25.000000000000004</v>
      </c>
      <c r="O1136" s="8">
        <f t="shared" si="269"/>
        <v>27.012007597236302</v>
      </c>
    </row>
    <row r="1137" spans="1:15" x14ac:dyDescent="0.3">
      <c r="A1137" s="5">
        <f t="shared" si="255"/>
        <v>11.289999999999804</v>
      </c>
      <c r="B1137" s="5">
        <f t="shared" si="265"/>
        <v>123.35790096723636</v>
      </c>
      <c r="C1137" s="6">
        <f t="shared" si="263"/>
        <v>4758.0904658791169</v>
      </c>
      <c r="D1137" s="6">
        <f t="shared" si="256"/>
        <v>22639424.88148975</v>
      </c>
      <c r="E1137" s="7">
        <f t="shared" si="257"/>
        <v>6248571.4285714282</v>
      </c>
      <c r="F1137" s="7">
        <f t="shared" si="258"/>
        <v>124.97142857142855</v>
      </c>
      <c r="G1137" s="7">
        <f t="shared" si="259"/>
        <v>16390853.452918321</v>
      </c>
      <c r="H1137" s="6">
        <f t="shared" si="260"/>
        <v>4048.5618993561557</v>
      </c>
      <c r="I1137" s="7">
        <f t="shared" si="261"/>
        <v>-5.6775262524699697</v>
      </c>
      <c r="J1137" s="7">
        <f t="shared" si="262"/>
        <v>-70.469326196441386</v>
      </c>
      <c r="K1137" s="8">
        <f t="shared" si="266"/>
        <v>218.99029830955595</v>
      </c>
      <c r="L1137" s="8">
        <f t="shared" si="267"/>
        <v>-9.1975925290013496</v>
      </c>
      <c r="M1137" s="8">
        <f t="shared" si="264"/>
        <v>114.16030843823501</v>
      </c>
      <c r="N1137" s="8">
        <f t="shared" si="268"/>
        <v>25</v>
      </c>
      <c r="O1137" s="8">
        <f t="shared" si="269"/>
        <v>27.014183531655753</v>
      </c>
    </row>
    <row r="1138" spans="1:15" x14ac:dyDescent="0.3">
      <c r="A1138" s="5">
        <f t="shared" si="255"/>
        <v>11.299999999999804</v>
      </c>
      <c r="B1138" s="5">
        <f t="shared" si="265"/>
        <v>123.30112570471167</v>
      </c>
      <c r="C1138" s="6">
        <f t="shared" si="263"/>
        <v>4755.9005628960213</v>
      </c>
      <c r="D1138" s="6">
        <f t="shared" si="256"/>
        <v>22618590.164154693</v>
      </c>
      <c r="E1138" s="7">
        <f t="shared" si="257"/>
        <v>6248571.4285714282</v>
      </c>
      <c r="F1138" s="7">
        <f t="shared" si="258"/>
        <v>124.97142857142855</v>
      </c>
      <c r="G1138" s="7">
        <f t="shared" si="259"/>
        <v>16370018.735583264</v>
      </c>
      <c r="H1138" s="6">
        <f t="shared" si="260"/>
        <v>4045.987980158031</v>
      </c>
      <c r="I1138" s="7">
        <f t="shared" si="261"/>
        <v>-5.6805990845518215</v>
      </c>
      <c r="J1138" s="7">
        <f t="shared" si="262"/>
        <v>-70.431206906010942</v>
      </c>
      <c r="K1138" s="8">
        <f t="shared" si="266"/>
        <v>219.10882183271309</v>
      </c>
      <c r="L1138" s="8">
        <f t="shared" si="267"/>
        <v>-9.2025705169739496</v>
      </c>
      <c r="M1138" s="8">
        <f t="shared" si="264"/>
        <v>114.09855518773772</v>
      </c>
      <c r="N1138" s="8">
        <f t="shared" si="268"/>
        <v>25.000000000000004</v>
      </c>
      <c r="O1138" s="8">
        <f t="shared" si="269"/>
        <v>27.016364383806629</v>
      </c>
    </row>
    <row r="1139" spans="1:15" x14ac:dyDescent="0.3">
      <c r="A1139" s="5">
        <f t="shared" si="255"/>
        <v>11.309999999999803</v>
      </c>
      <c r="B1139" s="5">
        <f t="shared" si="265"/>
        <v>123.24431971386615</v>
      </c>
      <c r="C1139" s="6">
        <f t="shared" si="263"/>
        <v>4753.7094746776938</v>
      </c>
      <c r="D1139" s="6">
        <f t="shared" si="256"/>
        <v>22597753.769640476</v>
      </c>
      <c r="E1139" s="7">
        <f t="shared" si="257"/>
        <v>6248571.4285714282</v>
      </c>
      <c r="F1139" s="7">
        <f t="shared" si="258"/>
        <v>124.97142857142855</v>
      </c>
      <c r="G1139" s="7">
        <f t="shared" si="259"/>
        <v>16349182.341069046</v>
      </c>
      <c r="H1139" s="6">
        <f t="shared" si="260"/>
        <v>4043.4122150813473</v>
      </c>
      <c r="I1139" s="7">
        <f t="shared" si="261"/>
        <v>-5.6836772029885996</v>
      </c>
      <c r="J1139" s="7">
        <f t="shared" si="262"/>
        <v>-70.393063361126323</v>
      </c>
      <c r="K1139" s="8">
        <f t="shared" si="266"/>
        <v>219.22754925813169</v>
      </c>
      <c r="L1139" s="8">
        <f t="shared" si="267"/>
        <v>-9.2075570688415294</v>
      </c>
      <c r="M1139" s="8">
        <f t="shared" si="264"/>
        <v>114.03676264502462</v>
      </c>
      <c r="N1139" s="8">
        <f t="shared" si="268"/>
        <v>25.000000000000007</v>
      </c>
      <c r="O1139" s="8">
        <f t="shared" si="269"/>
        <v>27.018550170856521</v>
      </c>
    </row>
    <row r="1140" spans="1:15" x14ac:dyDescent="0.3">
      <c r="A1140" s="5">
        <f t="shared" si="255"/>
        <v>11.319999999999803</v>
      </c>
      <c r="B1140" s="5">
        <f t="shared" si="265"/>
        <v>123.18748294183627</v>
      </c>
      <c r="C1140" s="6">
        <f t="shared" si="263"/>
        <v>4751.517199185113</v>
      </c>
      <c r="D1140" s="6">
        <f t="shared" si="256"/>
        <v>22576915.694151942</v>
      </c>
      <c r="E1140" s="7">
        <f t="shared" si="257"/>
        <v>6248571.4285714282</v>
      </c>
      <c r="F1140" s="7">
        <f t="shared" si="258"/>
        <v>124.97142857142855</v>
      </c>
      <c r="G1140" s="7">
        <f t="shared" si="259"/>
        <v>16328344.265580513</v>
      </c>
      <c r="H1140" s="6">
        <f t="shared" si="260"/>
        <v>4040.8346001266264</v>
      </c>
      <c r="I1140" s="7">
        <f t="shared" si="261"/>
        <v>-5.6867606234675439</v>
      </c>
      <c r="J1140" s="7">
        <f t="shared" si="262"/>
        <v>-70.354895513468435</v>
      </c>
      <c r="K1140" s="8">
        <f t="shared" si="266"/>
        <v>219.34648119089096</v>
      </c>
      <c r="L1140" s="8">
        <f t="shared" si="267"/>
        <v>-9.2125522100174191</v>
      </c>
      <c r="M1140" s="8">
        <f t="shared" si="264"/>
        <v>113.97493073181884</v>
      </c>
      <c r="N1140" s="8">
        <f t="shared" si="268"/>
        <v>25</v>
      </c>
      <c r="O1140" s="8">
        <f t="shared" si="269"/>
        <v>27.020740910054691</v>
      </c>
    </row>
    <row r="1141" spans="1:15" x14ac:dyDescent="0.3">
      <c r="A1141" s="5">
        <f t="shared" ref="A1141:A1204" si="270">A1140+$B$5</f>
        <v>11.329999999999803</v>
      </c>
      <c r="B1141" s="5">
        <f t="shared" si="265"/>
        <v>123.13061533560159</v>
      </c>
      <c r="C1141" s="6">
        <f t="shared" si="263"/>
        <v>4749.3237343732035</v>
      </c>
      <c r="D1141" s="6">
        <f t="shared" ref="D1141:D1204" si="271">POWER(C1141,2)</f>
        <v>22556075.933880631</v>
      </c>
      <c r="E1141" s="7">
        <f t="shared" ref="E1141:E1204" si="272">4*$B$2*$B$3*POWER($B$1,2)</f>
        <v>6248571.4285714282</v>
      </c>
      <c r="F1141" s="7">
        <f t="shared" ref="F1141:F1204" si="273">POWER($B$1,2)*2*$B$2</f>
        <v>124.97142857142855</v>
      </c>
      <c r="G1141" s="7">
        <f t="shared" ref="G1141:G1204" si="274">D1141-E1141</f>
        <v>16307504.505309202</v>
      </c>
      <c r="H1141" s="6">
        <f t="shared" ref="H1141:H1204" si="275">SQRT(G1141)</f>
        <v>4038.2551312799942</v>
      </c>
      <c r="I1141" s="7">
        <f t="shared" ref="I1141:I1204" si="276">(-C1141+H1141)/F1141</f>
        <v>-5.6898493617426453</v>
      </c>
      <c r="J1141" s="7">
        <f t="shared" ref="J1141:J1204" si="277">(-C1141-H1141)/F1141</f>
        <v>-70.316703314554644</v>
      </c>
      <c r="K1141" s="8">
        <f t="shared" si="266"/>
        <v>219.46561823864488</v>
      </c>
      <c r="L1141" s="8">
        <f t="shared" si="267"/>
        <v>-9.2175559660230846</v>
      </c>
      <c r="M1141" s="8">
        <f t="shared" si="264"/>
        <v>113.91305936957851</v>
      </c>
      <c r="N1141" s="8">
        <f t="shared" si="268"/>
        <v>25.000000000000004</v>
      </c>
      <c r="O1141" s="8">
        <f t="shared" si="269"/>
        <v>27.022936618732572</v>
      </c>
    </row>
    <row r="1142" spans="1:15" x14ac:dyDescent="0.3">
      <c r="A1142" s="5">
        <f t="shared" si="270"/>
        <v>11.339999999999803</v>
      </c>
      <c r="B1142" s="5">
        <f t="shared" si="265"/>
        <v>123.07371684198417</v>
      </c>
      <c r="C1142" s="6">
        <f t="shared" si="263"/>
        <v>4747.1290781908174</v>
      </c>
      <c r="D1142" s="6">
        <f t="shared" si="271"/>
        <v>22535234.485004801</v>
      </c>
      <c r="E1142" s="7">
        <f t="shared" si="272"/>
        <v>6248571.4285714282</v>
      </c>
      <c r="F1142" s="7">
        <f t="shared" si="273"/>
        <v>124.97142857142855</v>
      </c>
      <c r="G1142" s="7">
        <f t="shared" si="274"/>
        <v>16286663.056433372</v>
      </c>
      <c r="H1142" s="6">
        <f t="shared" si="275"/>
        <v>4035.6738045131165</v>
      </c>
      <c r="I1142" s="7">
        <f t="shared" si="276"/>
        <v>-5.6929434336350111</v>
      </c>
      <c r="J1142" s="7">
        <f t="shared" si="277"/>
        <v>-70.278486715737941</v>
      </c>
      <c r="K1142" s="8">
        <f t="shared" si="266"/>
        <v>219.58496101163612</v>
      </c>
      <c r="L1142" s="8">
        <f t="shared" si="267"/>
        <v>-9.2225683624887171</v>
      </c>
      <c r="M1142" s="8">
        <f t="shared" si="264"/>
        <v>113.85114847949545</v>
      </c>
      <c r="N1142" s="8">
        <f t="shared" si="268"/>
        <v>25.000000000000004</v>
      </c>
      <c r="O1142" s="8">
        <f t="shared" si="269"/>
        <v>27.025137314304235</v>
      </c>
    </row>
    <row r="1143" spans="1:15" x14ac:dyDescent="0.3">
      <c r="A1143" s="5">
        <f t="shared" si="270"/>
        <v>11.349999999999802</v>
      </c>
      <c r="B1143" s="5">
        <f t="shared" si="265"/>
        <v>123.01678740764781</v>
      </c>
      <c r="C1143" s="6">
        <f t="shared" si="263"/>
        <v>4744.9332285807013</v>
      </c>
      <c r="D1143" s="6">
        <f t="shared" si="271"/>
        <v>22514391.343689278</v>
      </c>
      <c r="E1143" s="7">
        <f t="shared" si="272"/>
        <v>6248571.4285714282</v>
      </c>
      <c r="F1143" s="7">
        <f t="shared" si="273"/>
        <v>124.97142857142855</v>
      </c>
      <c r="G1143" s="7">
        <f t="shared" si="274"/>
        <v>16265819.915117849</v>
      </c>
      <c r="H1143" s="6">
        <f t="shared" si="275"/>
        <v>4033.0906157831178</v>
      </c>
      <c r="I1143" s="7">
        <f t="shared" si="276"/>
        <v>-5.6960428550332489</v>
      </c>
      <c r="J1143" s="7">
        <f t="shared" si="277"/>
        <v>-70.240245668206157</v>
      </c>
      <c r="K1143" s="8">
        <f t="shared" si="266"/>
        <v>219.70451012271101</v>
      </c>
      <c r="L1143" s="8">
        <f t="shared" si="267"/>
        <v>-9.2275894251538624</v>
      </c>
      <c r="M1143" s="8">
        <f t="shared" si="264"/>
        <v>113.78919798249395</v>
      </c>
      <c r="N1143" s="8">
        <f t="shared" si="268"/>
        <v>25.000000000000007</v>
      </c>
      <c r="O1143" s="8">
        <f t="shared" si="269"/>
        <v>27.027343014266947</v>
      </c>
    </row>
    <row r="1144" spans="1:15" x14ac:dyDescent="0.3">
      <c r="A1144" s="5">
        <f t="shared" si="270"/>
        <v>11.359999999999802</v>
      </c>
      <c r="B1144" s="5">
        <f t="shared" si="265"/>
        <v>122.95982697909749</v>
      </c>
      <c r="C1144" s="6">
        <f t="shared" si="263"/>
        <v>4742.7361834794738</v>
      </c>
      <c r="D1144" s="6">
        <f t="shared" si="271"/>
        <v>22493546.506085444</v>
      </c>
      <c r="E1144" s="7">
        <f t="shared" si="272"/>
        <v>6248571.4285714282</v>
      </c>
      <c r="F1144" s="7">
        <f t="shared" si="273"/>
        <v>124.97142857142855</v>
      </c>
      <c r="G1144" s="7">
        <f t="shared" si="274"/>
        <v>16244975.077514015</v>
      </c>
      <c r="H1144" s="6">
        <f t="shared" si="275"/>
        <v>4030.5055610325135</v>
      </c>
      <c r="I1144" s="7">
        <f t="shared" si="276"/>
        <v>-5.6991476418938305</v>
      </c>
      <c r="J1144" s="7">
        <f t="shared" si="277"/>
        <v>-70.201980122981155</v>
      </c>
      <c r="K1144" s="8">
        <f t="shared" si="266"/>
        <v>219.82426618733345</v>
      </c>
      <c r="L1144" s="8">
        <f t="shared" si="267"/>
        <v>-9.2326191798680046</v>
      </c>
      <c r="M1144" s="8">
        <f t="shared" si="264"/>
        <v>113.72720779922948</v>
      </c>
      <c r="N1144" s="8">
        <f t="shared" si="268"/>
        <v>25.000000000000004</v>
      </c>
      <c r="O1144" s="8">
        <f t="shared" si="269"/>
        <v>27.029553736201589</v>
      </c>
    </row>
    <row r="1145" spans="1:15" x14ac:dyDescent="0.3">
      <c r="A1145" s="5">
        <f t="shared" si="270"/>
        <v>11.369999999999802</v>
      </c>
      <c r="B1145" s="5">
        <f t="shared" si="265"/>
        <v>122.90283550267854</v>
      </c>
      <c r="C1145" s="6">
        <f t="shared" si="263"/>
        <v>4740.5379408176004</v>
      </c>
      <c r="D1145" s="6">
        <f t="shared" si="271"/>
        <v>22472699.968331177</v>
      </c>
      <c r="E1145" s="7">
        <f t="shared" si="272"/>
        <v>6248571.4285714282</v>
      </c>
      <c r="F1145" s="7">
        <f t="shared" si="273"/>
        <v>124.97142857142855</v>
      </c>
      <c r="G1145" s="7">
        <f t="shared" si="274"/>
        <v>16224128.539759748</v>
      </c>
      <c r="H1145" s="6">
        <f t="shared" si="275"/>
        <v>4027.9186361891357</v>
      </c>
      <c r="I1145" s="7">
        <f t="shared" si="276"/>
        <v>-5.7022578102414885</v>
      </c>
      <c r="J1145" s="7">
        <f t="shared" si="277"/>
        <v>-70.163690030918119</v>
      </c>
      <c r="K1145" s="8">
        <f t="shared" si="266"/>
        <v>219.94422982360027</v>
      </c>
      <c r="L1145" s="8">
        <f t="shared" si="267"/>
        <v>-9.23765765259121</v>
      </c>
      <c r="M1145" s="8">
        <f t="shared" si="264"/>
        <v>113.66517785008733</v>
      </c>
      <c r="N1145" s="8">
        <f t="shared" si="268"/>
        <v>25.000000000000007</v>
      </c>
      <c r="O1145" s="8">
        <f t="shared" si="269"/>
        <v>27.031769497773269</v>
      </c>
    </row>
    <row r="1146" spans="1:15" x14ac:dyDescent="0.3">
      <c r="A1146" s="5">
        <f t="shared" si="270"/>
        <v>11.379999999999802</v>
      </c>
      <c r="B1146" s="5">
        <f t="shared" si="265"/>
        <v>122.84581292457612</v>
      </c>
      <c r="C1146" s="6">
        <f t="shared" si="263"/>
        <v>4738.3384985193643</v>
      </c>
      <c r="D1146" s="6">
        <f t="shared" si="271"/>
        <v>22451851.726550743</v>
      </c>
      <c r="E1146" s="7">
        <f t="shared" si="272"/>
        <v>6248571.4285714282</v>
      </c>
      <c r="F1146" s="7">
        <f t="shared" si="273"/>
        <v>124.97142857142855</v>
      </c>
      <c r="G1146" s="7">
        <f t="shared" si="274"/>
        <v>16203280.297979314</v>
      </c>
      <c r="H1146" s="6">
        <f t="shared" si="275"/>
        <v>4025.3298371660567</v>
      </c>
      <c r="I1146" s="7">
        <f t="shared" si="276"/>
        <v>-5.7053733761695868</v>
      </c>
      <c r="J1146" s="7">
        <f t="shared" si="277"/>
        <v>-70.125375342704572</v>
      </c>
      <c r="K1146" s="8">
        <f t="shared" si="266"/>
        <v>220.06440165225547</v>
      </c>
      <c r="L1146" s="8">
        <f t="shared" si="267"/>
        <v>-9.2427048693947285</v>
      </c>
      <c r="M1146" s="8">
        <f t="shared" si="264"/>
        <v>113.60310805518139</v>
      </c>
      <c r="N1146" s="8">
        <f t="shared" si="268"/>
        <v>25.000000000000018</v>
      </c>
      <c r="O1146" s="8">
        <f t="shared" si="269"/>
        <v>27.033990316731757</v>
      </c>
    </row>
    <row r="1147" spans="1:15" x14ac:dyDescent="0.3">
      <c r="A1147" s="5">
        <f t="shared" si="270"/>
        <v>11.389999999999802</v>
      </c>
      <c r="B1147" s="5">
        <f t="shared" si="265"/>
        <v>122.78875919081443</v>
      </c>
      <c r="C1147" s="6">
        <f t="shared" si="263"/>
        <v>4736.1378545028419</v>
      </c>
      <c r="D1147" s="6">
        <f t="shared" si="271"/>
        <v>22431001.776854783</v>
      </c>
      <c r="E1147" s="7">
        <f t="shared" si="272"/>
        <v>6248571.4285714282</v>
      </c>
      <c r="F1147" s="7">
        <f t="shared" si="273"/>
        <v>124.97142857142855</v>
      </c>
      <c r="G1147" s="7">
        <f t="shared" si="274"/>
        <v>16182430.348283354</v>
      </c>
      <c r="H1147" s="6">
        <f t="shared" si="275"/>
        <v>4022.7391598615181</v>
      </c>
      <c r="I1147" s="7">
        <f t="shared" si="276"/>
        <v>-5.7084943558404984</v>
      </c>
      <c r="J1147" s="7">
        <f t="shared" si="277"/>
        <v>-70.087036008859769</v>
      </c>
      <c r="K1147" s="8">
        <f t="shared" si="266"/>
        <v>220.18478229670492</v>
      </c>
      <c r="L1147" s="8">
        <f t="shared" si="267"/>
        <v>-9.2477608564616052</v>
      </c>
      <c r="M1147" s="8">
        <f t="shared" si="264"/>
        <v>113.54099833435282</v>
      </c>
      <c r="N1147" s="8">
        <f t="shared" si="268"/>
        <v>25.000000000000011</v>
      </c>
      <c r="O1147" s="8">
        <f t="shared" si="269"/>
        <v>27.036216210911999</v>
      </c>
    </row>
    <row r="1148" spans="1:15" x14ac:dyDescent="0.3">
      <c r="A1148" s="5">
        <f t="shared" si="270"/>
        <v>11.399999999999801</v>
      </c>
      <c r="B1148" s="5">
        <f t="shared" si="265"/>
        <v>122.73167424725602</v>
      </c>
      <c r="C1148" s="6">
        <f t="shared" si="263"/>
        <v>4733.9360066798754</v>
      </c>
      <c r="D1148" s="6">
        <f t="shared" si="271"/>
        <v>22410150.115340207</v>
      </c>
      <c r="E1148" s="7">
        <f t="shared" si="272"/>
        <v>6248571.4285714282</v>
      </c>
      <c r="F1148" s="7">
        <f t="shared" si="273"/>
        <v>124.97142857142855</v>
      </c>
      <c r="G1148" s="7">
        <f t="shared" si="274"/>
        <v>16161578.686768778</v>
      </c>
      <c r="H1148" s="6">
        <f t="shared" si="275"/>
        <v>4020.1466001588519</v>
      </c>
      <c r="I1148" s="7">
        <f t="shared" si="276"/>
        <v>-5.7116207654860141</v>
      </c>
      <c r="J1148" s="7">
        <f t="shared" si="277"/>
        <v>-70.048671979733768</v>
      </c>
      <c r="K1148" s="8">
        <f t="shared" si="266"/>
        <v>220.30537238303197</v>
      </c>
      <c r="L1148" s="8">
        <f t="shared" si="267"/>
        <v>-9.252825640087341</v>
      </c>
      <c r="M1148" s="8">
        <f t="shared" si="264"/>
        <v>113.47884860716869</v>
      </c>
      <c r="N1148" s="8">
        <f t="shared" si="268"/>
        <v>25.000000000000007</v>
      </c>
      <c r="O1148" s="8">
        <f t="shared" si="269"/>
        <v>27.038447198234714</v>
      </c>
    </row>
    <row r="1149" spans="1:15" x14ac:dyDescent="0.3">
      <c r="A1149" s="5">
        <f t="shared" si="270"/>
        <v>11.409999999999801</v>
      </c>
      <c r="B1149" s="5">
        <f t="shared" si="265"/>
        <v>122.67455803960117</v>
      </c>
      <c r="C1149" s="6">
        <f t="shared" si="263"/>
        <v>4731.7329529560448</v>
      </c>
      <c r="D1149" s="6">
        <f t="shared" si="271"/>
        <v>22389296.738090131</v>
      </c>
      <c r="E1149" s="7">
        <f t="shared" si="272"/>
        <v>6248571.4285714282</v>
      </c>
      <c r="F1149" s="7">
        <f t="shared" si="273"/>
        <v>124.97142857142855</v>
      </c>
      <c r="G1149" s="7">
        <f t="shared" si="274"/>
        <v>16140725.309518702</v>
      </c>
      <c r="H1149" s="6">
        <f t="shared" si="275"/>
        <v>4017.5521539264059</v>
      </c>
      <c r="I1149" s="7">
        <f t="shared" si="276"/>
        <v>-5.7147526214077189</v>
      </c>
      <c r="J1149" s="7">
        <f t="shared" si="277"/>
        <v>-70.010283205506596</v>
      </c>
      <c r="K1149" s="8">
        <f t="shared" si="266"/>
        <v>220.426172540012</v>
      </c>
      <c r="L1149" s="8">
        <f t="shared" si="267"/>
        <v>-9.2578992466805037</v>
      </c>
      <c r="M1149" s="8">
        <f t="shared" si="264"/>
        <v>113.41665879292066</v>
      </c>
      <c r="N1149" s="8">
        <f t="shared" si="268"/>
        <v>25</v>
      </c>
      <c r="O1149" s="8">
        <f t="shared" si="269"/>
        <v>27.040683296706845</v>
      </c>
    </row>
    <row r="1150" spans="1:15" x14ac:dyDescent="0.3">
      <c r="A1150" s="5">
        <f t="shared" si="270"/>
        <v>11.419999999999801</v>
      </c>
      <c r="B1150" s="5">
        <f t="shared" si="265"/>
        <v>122.61741051338709</v>
      </c>
      <c r="C1150" s="6">
        <f t="shared" si="263"/>
        <v>4729.5286912306447</v>
      </c>
      <c r="D1150" s="6">
        <f t="shared" si="271"/>
        <v>22368441.641173854</v>
      </c>
      <c r="E1150" s="7">
        <f t="shared" si="272"/>
        <v>6248571.4285714282</v>
      </c>
      <c r="F1150" s="7">
        <f t="shared" si="273"/>
        <v>124.97142857142855</v>
      </c>
      <c r="G1150" s="7">
        <f t="shared" si="274"/>
        <v>16119870.212602425</v>
      </c>
      <c r="H1150" s="6">
        <f t="shared" si="275"/>
        <v>4014.9558170174705</v>
      </c>
      <c r="I1150" s="7">
        <f t="shared" si="276"/>
        <v>-5.7178899399773888</v>
      </c>
      <c r="J1150" s="7">
        <f t="shared" si="277"/>
        <v>-69.971869636187492</v>
      </c>
      <c r="K1150" s="8">
        <f t="shared" si="266"/>
        <v>220.54718339912785</v>
      </c>
      <c r="L1150" s="8">
        <f t="shared" si="267"/>
        <v>-9.2629817027633692</v>
      </c>
      <c r="M1150" s="8">
        <f t="shared" si="264"/>
        <v>113.35442881062372</v>
      </c>
      <c r="N1150" s="8">
        <f t="shared" si="268"/>
        <v>25.000000000000011</v>
      </c>
      <c r="O1150" s="8">
        <f t="shared" si="269"/>
        <v>27.042924524422126</v>
      </c>
    </row>
    <row r="1151" spans="1:15" x14ac:dyDescent="0.3">
      <c r="A1151" s="5">
        <f t="shared" si="270"/>
        <v>11.429999999999801</v>
      </c>
      <c r="B1151" s="5">
        <f t="shared" si="265"/>
        <v>122.56023161398731</v>
      </c>
      <c r="C1151" s="6">
        <f t="shared" si="263"/>
        <v>4727.3232193966533</v>
      </c>
      <c r="D1151" s="6">
        <f t="shared" si="271"/>
        <v>22347584.820646737</v>
      </c>
      <c r="E1151" s="7">
        <f t="shared" si="272"/>
        <v>6248571.4285714282</v>
      </c>
      <c r="F1151" s="7">
        <f t="shared" si="273"/>
        <v>124.97142857142855</v>
      </c>
      <c r="G1151" s="7">
        <f t="shared" si="274"/>
        <v>16099013.392075308</v>
      </c>
      <c r="H1151" s="6">
        <f t="shared" si="275"/>
        <v>4012.3575852701997</v>
      </c>
      <c r="I1151" s="7">
        <f t="shared" si="276"/>
        <v>-5.7210327376373753</v>
      </c>
      <c r="J1151" s="7">
        <f t="shared" si="277"/>
        <v>-69.933431221614057</v>
      </c>
      <c r="K1151" s="8">
        <f t="shared" si="266"/>
        <v>220.66840559458447</v>
      </c>
      <c r="L1151" s="8">
        <f t="shared" si="267"/>
        <v>-9.2680730349725469</v>
      </c>
      <c r="M1151" s="8">
        <f t="shared" si="264"/>
        <v>113.29215857901477</v>
      </c>
      <c r="N1151" s="8">
        <f t="shared" si="268"/>
        <v>25.000000000000014</v>
      </c>
      <c r="O1151" s="8">
        <f t="shared" si="269"/>
        <v>27.045170899561565</v>
      </c>
    </row>
    <row r="1152" spans="1:15" x14ac:dyDescent="0.3">
      <c r="A1152" s="5">
        <f t="shared" si="270"/>
        <v>11.439999999999801</v>
      </c>
      <c r="B1152" s="5">
        <f t="shared" si="265"/>
        <v>122.50302128661095</v>
      </c>
      <c r="C1152" s="6">
        <f t="shared" si="263"/>
        <v>4725.1165353407077</v>
      </c>
      <c r="D1152" s="6">
        <f t="shared" si="271"/>
        <v>22326726.272550173</v>
      </c>
      <c r="E1152" s="7">
        <f t="shared" si="272"/>
        <v>6248571.4285714282</v>
      </c>
      <c r="F1152" s="7">
        <f t="shared" si="273"/>
        <v>124.97142857142855</v>
      </c>
      <c r="G1152" s="7">
        <f t="shared" si="274"/>
        <v>16078154.843978744</v>
      </c>
      <c r="H1152" s="6">
        <f t="shared" si="275"/>
        <v>4009.7574545075345</v>
      </c>
      <c r="I1152" s="7">
        <f t="shared" si="276"/>
        <v>-5.7241810309010219</v>
      </c>
      <c r="J1152" s="7">
        <f t="shared" si="277"/>
        <v>-69.894967911451417</v>
      </c>
      <c r="K1152" s="8">
        <f t="shared" si="266"/>
        <v>220.78983976332512</v>
      </c>
      <c r="L1152" s="8">
        <f t="shared" si="267"/>
        <v>-9.2731732700596545</v>
      </c>
      <c r="M1152" s="8">
        <f t="shared" si="264"/>
        <v>113.22984801655129</v>
      </c>
      <c r="N1152" s="8">
        <f t="shared" si="268"/>
        <v>25.000000000000014</v>
      </c>
      <c r="O1152" s="8">
        <f t="shared" si="269"/>
        <v>27.047422440394037</v>
      </c>
    </row>
    <row r="1153" spans="1:15" x14ac:dyDescent="0.3">
      <c r="A1153" s="5">
        <f t="shared" si="270"/>
        <v>11.4499999999998</v>
      </c>
      <c r="B1153" s="5">
        <f t="shared" si="265"/>
        <v>122.44577947630194</v>
      </c>
      <c r="C1153" s="6">
        <f t="shared" si="263"/>
        <v>4722.9086369430743</v>
      </c>
      <c r="D1153" s="6">
        <f t="shared" si="271"/>
        <v>22305865.992911488</v>
      </c>
      <c r="E1153" s="7">
        <f t="shared" si="272"/>
        <v>6248571.4285714282</v>
      </c>
      <c r="F1153" s="7">
        <f t="shared" si="273"/>
        <v>124.97142857142855</v>
      </c>
      <c r="G1153" s="7">
        <f t="shared" si="274"/>
        <v>16057294.564340059</v>
      </c>
      <c r="H1153" s="6">
        <f t="shared" si="275"/>
        <v>4007.1554205371244</v>
      </c>
      <c r="I1153" s="7">
        <f t="shared" si="276"/>
        <v>-5.7273348363530516</v>
      </c>
      <c r="J1153" s="7">
        <f t="shared" si="277"/>
        <v>-69.856479655191364</v>
      </c>
      <c r="K1153" s="8">
        <f t="shared" si="266"/>
        <v>220.91148654504627</v>
      </c>
      <c r="L1153" s="8">
        <f t="shared" si="267"/>
        <v>-9.2782824348919419</v>
      </c>
      <c r="M1153" s="8">
        <f t="shared" si="264"/>
        <v>113.16749704141</v>
      </c>
      <c r="N1153" s="8">
        <f t="shared" si="268"/>
        <v>25.000000000000011</v>
      </c>
      <c r="O1153" s="8">
        <f t="shared" si="269"/>
        <v>27.049679165276778</v>
      </c>
    </row>
    <row r="1154" spans="1:15" x14ac:dyDescent="0.3">
      <c r="A1154" s="5">
        <f t="shared" si="270"/>
        <v>11.4599999999998</v>
      </c>
      <c r="B1154" s="5">
        <f t="shared" si="265"/>
        <v>122.3885061279384</v>
      </c>
      <c r="C1154" s="6">
        <f t="shared" si="263"/>
        <v>4720.6995220776234</v>
      </c>
      <c r="D1154" s="6">
        <f t="shared" si="271"/>
        <v>22285003.977743901</v>
      </c>
      <c r="E1154" s="7">
        <f t="shared" si="272"/>
        <v>6248571.4285714282</v>
      </c>
      <c r="F1154" s="7">
        <f t="shared" si="273"/>
        <v>124.97142857142855</v>
      </c>
      <c r="G1154" s="7">
        <f t="shared" si="274"/>
        <v>16036432.549172472</v>
      </c>
      <c r="H1154" s="6">
        <f t="shared" si="275"/>
        <v>4004.551479151251</v>
      </c>
      <c r="I1154" s="7">
        <f t="shared" si="276"/>
        <v>-5.7304941706499868</v>
      </c>
      <c r="J1154" s="7">
        <f t="shared" si="277"/>
        <v>-69.817966402151498</v>
      </c>
      <c r="K1154" s="8">
        <f t="shared" si="266"/>
        <v>221.03334658221377</v>
      </c>
      <c r="L1154" s="8">
        <f t="shared" si="267"/>
        <v>-9.2834005564529765</v>
      </c>
      <c r="M1154" s="8">
        <f t="shared" si="264"/>
        <v>113.10510557148542</v>
      </c>
      <c r="N1154" s="8">
        <f t="shared" si="268"/>
        <v>25.000000000000014</v>
      </c>
      <c r="O1154" s="8">
        <f t="shared" si="269"/>
        <v>27.051941092656001</v>
      </c>
    </row>
    <row r="1155" spans="1:15" x14ac:dyDescent="0.3">
      <c r="A1155" s="5">
        <f t="shared" si="270"/>
        <v>11.4699999999998</v>
      </c>
      <c r="B1155" s="5">
        <f t="shared" si="265"/>
        <v>122.33120118623189</v>
      </c>
      <c r="C1155" s="6">
        <f t="shared" si="263"/>
        <v>4718.4891886118012</v>
      </c>
      <c r="D1155" s="6">
        <f t="shared" si="271"/>
        <v>22264140.223046456</v>
      </c>
      <c r="E1155" s="7">
        <f t="shared" si="272"/>
        <v>6248571.4285714282</v>
      </c>
      <c r="F1155" s="7">
        <f t="shared" si="273"/>
        <v>124.97142857142855</v>
      </c>
      <c r="G1155" s="7">
        <f t="shared" si="274"/>
        <v>16015568.794475026</v>
      </c>
      <c r="H1155" s="6">
        <f t="shared" si="275"/>
        <v>4001.9456261267501</v>
      </c>
      <c r="I1155" s="7">
        <f t="shared" si="276"/>
        <v>-5.7336590505205285</v>
      </c>
      <c r="J1155" s="7">
        <f t="shared" si="277"/>
        <v>-69.77942810147448</v>
      </c>
      <c r="K1155" s="8">
        <f t="shared" si="266"/>
        <v>221.15542052007751</v>
      </c>
      <c r="L1155" s="8">
        <f t="shared" si="267"/>
        <v>-9.2885276618432542</v>
      </c>
      <c r="M1155" s="8">
        <f t="shared" si="264"/>
        <v>113.04267352438865</v>
      </c>
      <c r="N1155" s="8">
        <f t="shared" si="268"/>
        <v>25.000000000000004</v>
      </c>
      <c r="O1155" s="8">
        <f t="shared" si="269"/>
        <v>27.054208241067322</v>
      </c>
    </row>
    <row r="1156" spans="1:15" x14ac:dyDescent="0.3">
      <c r="A1156" s="5">
        <f t="shared" si="270"/>
        <v>11.4799999999998</v>
      </c>
      <c r="B1156" s="5">
        <f t="shared" si="265"/>
        <v>122.27386459572669</v>
      </c>
      <c r="C1156" s="6">
        <f t="shared" si="263"/>
        <v>4716.2776344066006</v>
      </c>
      <c r="D1156" s="6">
        <f t="shared" si="271"/>
        <v>22243274.724803921</v>
      </c>
      <c r="E1156" s="7">
        <f t="shared" si="272"/>
        <v>6248571.4285714282</v>
      </c>
      <c r="F1156" s="7">
        <f t="shared" si="273"/>
        <v>124.97142857142855</v>
      </c>
      <c r="G1156" s="7">
        <f t="shared" si="274"/>
        <v>15994703.296232492</v>
      </c>
      <c r="H1156" s="6">
        <f t="shared" si="275"/>
        <v>3999.3378572249298</v>
      </c>
      <c r="I1156" s="7">
        <f t="shared" si="276"/>
        <v>-5.7368294927659989</v>
      </c>
      <c r="J1156" s="7">
        <f t="shared" si="277"/>
        <v>-69.740864702127027</v>
      </c>
      <c r="K1156" s="8">
        <f t="shared" si="266"/>
        <v>221.27770900668853</v>
      </c>
      <c r="L1156" s="8">
        <f t="shared" si="267"/>
        <v>-9.2936637782809175</v>
      </c>
      <c r="M1156" s="8">
        <f t="shared" si="264"/>
        <v>112.98020081744578</v>
      </c>
      <c r="N1156" s="8">
        <f t="shared" si="268"/>
        <v>25</v>
      </c>
      <c r="O1156" s="8">
        <f t="shared" si="269"/>
        <v>27.056480629136445</v>
      </c>
    </row>
    <row r="1157" spans="1:15" x14ac:dyDescent="0.3">
      <c r="A1157" s="5">
        <f t="shared" si="270"/>
        <v>11.489999999999799</v>
      </c>
      <c r="B1157" s="5">
        <f t="shared" si="265"/>
        <v>122.21649630079904</v>
      </c>
      <c r="C1157" s="6">
        <f t="shared" si="263"/>
        <v>4714.0648573165345</v>
      </c>
      <c r="D1157" s="6">
        <f t="shared" si="271"/>
        <v>22222407.478986759</v>
      </c>
      <c r="E1157" s="7">
        <f t="shared" si="272"/>
        <v>6248571.4285714282</v>
      </c>
      <c r="F1157" s="7">
        <f t="shared" si="273"/>
        <v>124.97142857142855</v>
      </c>
      <c r="G1157" s="7">
        <f t="shared" si="274"/>
        <v>15973836.05041533</v>
      </c>
      <c r="H1157" s="6">
        <f t="shared" si="275"/>
        <v>3996.7281681914933</v>
      </c>
      <c r="I1157" s="7">
        <f t="shared" si="276"/>
        <v>-5.7400055142607327</v>
      </c>
      <c r="J1157" s="7">
        <f t="shared" si="277"/>
        <v>-69.702276152899188</v>
      </c>
      <c r="K1157" s="8">
        <f t="shared" si="266"/>
        <v>221.40021269291395</v>
      </c>
      <c r="L1157" s="8">
        <f t="shared" si="267"/>
        <v>-9.2988089331023858</v>
      </c>
      <c r="M1157" s="8">
        <f t="shared" si="264"/>
        <v>112.91768736769666</v>
      </c>
      <c r="N1157" s="8">
        <f t="shared" si="268"/>
        <v>25.000000000000004</v>
      </c>
      <c r="O1157" s="8">
        <f t="shared" si="269"/>
        <v>27.058758275579638</v>
      </c>
    </row>
    <row r="1158" spans="1:15" x14ac:dyDescent="0.3">
      <c r="A1158" s="5">
        <f t="shared" si="270"/>
        <v>11.499999999999799</v>
      </c>
      <c r="B1158" s="5">
        <f t="shared" si="265"/>
        <v>122.15909624565643</v>
      </c>
      <c r="C1158" s="6">
        <f t="shared" si="263"/>
        <v>4711.8508551896048</v>
      </c>
      <c r="D1158" s="6">
        <f t="shared" si="271"/>
        <v>22201538.48155101</v>
      </c>
      <c r="E1158" s="7">
        <f t="shared" si="272"/>
        <v>6248571.4285714282</v>
      </c>
      <c r="F1158" s="7">
        <f t="shared" si="273"/>
        <v>124.97142857142855</v>
      </c>
      <c r="G1158" s="7">
        <f t="shared" si="274"/>
        <v>15952967.052979581</v>
      </c>
      <c r="H1158" s="6">
        <f t="shared" si="275"/>
        <v>3994.116554756456</v>
      </c>
      <c r="I1158" s="7">
        <f t="shared" si="276"/>
        <v>-5.743187131952495</v>
      </c>
      <c r="J1158" s="7">
        <f t="shared" si="277"/>
        <v>-69.663662402403332</v>
      </c>
      <c r="K1158" s="8">
        <f t="shared" si="266"/>
        <v>221.52293223245337</v>
      </c>
      <c r="L1158" s="8">
        <f t="shared" si="267"/>
        <v>-9.3039631537630409</v>
      </c>
      <c r="M1158" s="8">
        <f t="shared" si="264"/>
        <v>112.85513309189339</v>
      </c>
      <c r="N1158" s="8">
        <f t="shared" si="268"/>
        <v>25.000000000000007</v>
      </c>
      <c r="O1158" s="8">
        <f t="shared" si="269"/>
        <v>27.061041199204297</v>
      </c>
    </row>
    <row r="1159" spans="1:15" x14ac:dyDescent="0.3">
      <c r="A1159" s="5">
        <f t="shared" si="270"/>
        <v>11.509999999999799</v>
      </c>
      <c r="B1159" s="5">
        <f t="shared" si="265"/>
        <v>122.10166437433691</v>
      </c>
      <c r="C1159" s="6">
        <f t="shared" si="263"/>
        <v>4709.6356258672804</v>
      </c>
      <c r="D1159" s="6">
        <f t="shared" si="271"/>
        <v>22180667.728438292</v>
      </c>
      <c r="E1159" s="7">
        <f t="shared" si="272"/>
        <v>6248571.4285714282</v>
      </c>
      <c r="F1159" s="7">
        <f t="shared" si="273"/>
        <v>124.97142857142855</v>
      </c>
      <c r="G1159" s="7">
        <f t="shared" si="274"/>
        <v>15932096.299866863</v>
      </c>
      <c r="H1159" s="6">
        <f t="shared" si="275"/>
        <v>3991.5030126340707</v>
      </c>
      <c r="I1159" s="7">
        <f t="shared" si="276"/>
        <v>-5.7463743628629045</v>
      </c>
      <c r="J1159" s="7">
        <f t="shared" si="277"/>
        <v>-69.625023399073456</v>
      </c>
      <c r="K1159" s="8">
        <f t="shared" si="266"/>
        <v>221.64586828185489</v>
      </c>
      <c r="L1159" s="8">
        <f t="shared" si="267"/>
        <v>-9.3091264678379044</v>
      </c>
      <c r="M1159" s="8">
        <f t="shared" si="264"/>
        <v>112.79253790649901</v>
      </c>
      <c r="N1159" s="8">
        <f t="shared" si="268"/>
        <v>25.000000000000004</v>
      </c>
      <c r="O1159" s="8">
        <f t="shared" si="269"/>
        <v>27.063329418909532</v>
      </c>
    </row>
    <row r="1160" spans="1:15" x14ac:dyDescent="0.3">
      <c r="A1160" s="5">
        <f t="shared" si="270"/>
        <v>11.519999999999799</v>
      </c>
      <c r="B1160" s="5">
        <f t="shared" si="265"/>
        <v>122.04420063070827</v>
      </c>
      <c r="C1160" s="6">
        <f t="shared" ref="C1160:C1223" si="278">$B$1*B1160</f>
        <v>4707.4191671844619</v>
      </c>
      <c r="D1160" s="6">
        <f t="shared" si="271"/>
        <v>22159795.215575654</v>
      </c>
      <c r="E1160" s="7">
        <f t="shared" si="272"/>
        <v>6248571.4285714282</v>
      </c>
      <c r="F1160" s="7">
        <f t="shared" si="273"/>
        <v>124.97142857142855</v>
      </c>
      <c r="G1160" s="7">
        <f t="shared" si="274"/>
        <v>15911223.787004225</v>
      </c>
      <c r="H1160" s="6">
        <f t="shared" si="275"/>
        <v>3988.8875375227394</v>
      </c>
      <c r="I1160" s="7">
        <f t="shared" si="276"/>
        <v>-5.7495672240878584</v>
      </c>
      <c r="J1160" s="7">
        <f t="shared" si="277"/>
        <v>-69.586359091164184</v>
      </c>
      <c r="K1160" s="8">
        <f t="shared" si="266"/>
        <v>221.76902150053166</v>
      </c>
      <c r="L1160" s="8">
        <f t="shared" si="267"/>
        <v>-9.3142989030223298</v>
      </c>
      <c r="M1160" s="8">
        <f t="shared" ref="M1160:M1223" si="279">B1160+L1160</f>
        <v>112.72990172768594</v>
      </c>
      <c r="N1160" s="8">
        <f t="shared" si="268"/>
        <v>25.000000000000004</v>
      </c>
      <c r="O1160" s="8">
        <f t="shared" si="269"/>
        <v>27.065622953686741</v>
      </c>
    </row>
    <row r="1161" spans="1:15" x14ac:dyDescent="0.3">
      <c r="A1161" s="5">
        <f t="shared" si="270"/>
        <v>11.529999999999799</v>
      </c>
      <c r="B1161" s="5">
        <f t="shared" ref="B1161:B1224" si="280">I1160*$B$5+B1160</f>
        <v>121.9867049584674</v>
      </c>
      <c r="C1161" s="6">
        <f t="shared" si="278"/>
        <v>4705.201476969457</v>
      </c>
      <c r="D1161" s="6">
        <f t="shared" si="271"/>
        <v>22138920.93887556</v>
      </c>
      <c r="E1161" s="7">
        <f t="shared" si="272"/>
        <v>6248571.4285714282</v>
      </c>
      <c r="F1161" s="7">
        <f t="shared" si="273"/>
        <v>124.97142857142855</v>
      </c>
      <c r="G1161" s="7">
        <f t="shared" si="274"/>
        <v>15890349.510304131</v>
      </c>
      <c r="H1161" s="6">
        <f t="shared" si="275"/>
        <v>3986.2701251049371</v>
      </c>
      <c r="I1161" s="7">
        <f t="shared" si="276"/>
        <v>-5.7527657327979425</v>
      </c>
      <c r="J1161" s="7">
        <f t="shared" si="277"/>
        <v>-69.547669426749849</v>
      </c>
      <c r="K1161" s="8">
        <f t="shared" ref="K1161:K1224" si="281">-$B$1*I1161</f>
        <v>221.89239255077777</v>
      </c>
      <c r="L1161" s="8">
        <f t="shared" ref="L1161:L1224" si="282">-$B$2*K1161</f>
        <v>-9.3194804871326653</v>
      </c>
      <c r="M1161" s="8">
        <f t="shared" si="279"/>
        <v>112.66722447133473</v>
      </c>
      <c r="N1161" s="8">
        <f t="shared" ref="N1161:N1224" si="283">K1161*M1161/1000</f>
        <v>25.000000000000004</v>
      </c>
      <c r="O1161" s="8">
        <f t="shared" ref="O1161:O1224" si="284">B1161*K1161/1000</f>
        <v>27.067921822620157</v>
      </c>
    </row>
    <row r="1162" spans="1:15" x14ac:dyDescent="0.3">
      <c r="A1162" s="5">
        <f t="shared" si="270"/>
        <v>11.539999999999798</v>
      </c>
      <c r="B1162" s="5">
        <f t="shared" si="280"/>
        <v>121.92917730113942</v>
      </c>
      <c r="C1162" s="6">
        <f t="shared" si="278"/>
        <v>4702.9825530439484</v>
      </c>
      <c r="D1162" s="6">
        <f t="shared" si="271"/>
        <v>22118044.894235775</v>
      </c>
      <c r="E1162" s="7">
        <f t="shared" si="272"/>
        <v>6248571.4285714282</v>
      </c>
      <c r="F1162" s="7">
        <f t="shared" si="273"/>
        <v>124.97142857142855</v>
      </c>
      <c r="G1162" s="7">
        <f t="shared" si="274"/>
        <v>15869473.465664346</v>
      </c>
      <c r="H1162" s="6">
        <f t="shared" si="275"/>
        <v>3983.6507710471242</v>
      </c>
      <c r="I1162" s="7">
        <f t="shared" si="276"/>
        <v>-5.7559699062388781</v>
      </c>
      <c r="J1162" s="7">
        <f t="shared" si="277"/>
        <v>-69.508954353723723</v>
      </c>
      <c r="K1162" s="8">
        <f t="shared" si="281"/>
        <v>222.0159820977853</v>
      </c>
      <c r="L1162" s="8">
        <f t="shared" si="282"/>
        <v>-9.3246712481069807</v>
      </c>
      <c r="M1162" s="8">
        <f t="shared" si="279"/>
        <v>112.60450605303244</v>
      </c>
      <c r="N1162" s="8">
        <f t="shared" si="283"/>
        <v>25.000000000000007</v>
      </c>
      <c r="O1162" s="8">
        <f t="shared" si="284"/>
        <v>27.070226044887459</v>
      </c>
    </row>
    <row r="1163" spans="1:15" x14ac:dyDescent="0.3">
      <c r="A1163" s="5">
        <f t="shared" si="270"/>
        <v>11.549999999999798</v>
      </c>
      <c r="B1163" s="5">
        <f t="shared" si="280"/>
        <v>121.87161760207702</v>
      </c>
      <c r="C1163" s="6">
        <f t="shared" si="278"/>
        <v>4700.7623932229708</v>
      </c>
      <c r="D1163" s="6">
        <f t="shared" si="271"/>
        <v>22097167.077539351</v>
      </c>
      <c r="E1163" s="7">
        <f t="shared" si="272"/>
        <v>6248571.4285714282</v>
      </c>
      <c r="F1163" s="7">
        <f t="shared" si="273"/>
        <v>124.97142857142855</v>
      </c>
      <c r="G1163" s="7">
        <f t="shared" si="274"/>
        <v>15848595.648967922</v>
      </c>
      <c r="H1163" s="6">
        <f t="shared" si="275"/>
        <v>3981.029470999671</v>
      </c>
      <c r="I1163" s="7">
        <f t="shared" si="276"/>
        <v>-5.7591797617319376</v>
      </c>
      <c r="J1163" s="7">
        <f t="shared" si="277"/>
        <v>-69.470213819797095</v>
      </c>
      <c r="K1163" s="8">
        <f t="shared" si="281"/>
        <v>222.13979080966044</v>
      </c>
      <c r="L1163" s="8">
        <f t="shared" si="282"/>
        <v>-9.3298712140057383</v>
      </c>
      <c r="M1163" s="8">
        <f t="shared" si="279"/>
        <v>112.54174638807129</v>
      </c>
      <c r="N1163" s="8">
        <f t="shared" si="283"/>
        <v>25.000000000000014</v>
      </c>
      <c r="O1163" s="8">
        <f t="shared" si="284"/>
        <v>27.072535639760321</v>
      </c>
    </row>
    <row r="1164" spans="1:15" x14ac:dyDescent="0.3">
      <c r="A1164" s="5">
        <f t="shared" si="270"/>
        <v>11.559999999999798</v>
      </c>
      <c r="B1164" s="5">
        <f t="shared" si="280"/>
        <v>121.8140258044597</v>
      </c>
      <c r="C1164" s="6">
        <f t="shared" si="278"/>
        <v>4698.5409953148737</v>
      </c>
      <c r="D1164" s="6">
        <f t="shared" si="271"/>
        <v>22076287.484654482</v>
      </c>
      <c r="E1164" s="7">
        <f t="shared" si="272"/>
        <v>6248571.4285714282</v>
      </c>
      <c r="F1164" s="7">
        <f t="shared" si="273"/>
        <v>124.97142857142855</v>
      </c>
      <c r="G1164" s="7">
        <f t="shared" si="274"/>
        <v>15827716.056083053</v>
      </c>
      <c r="H1164" s="6">
        <f t="shared" si="275"/>
        <v>3978.4062205967671</v>
      </c>
      <c r="I1164" s="7">
        <f t="shared" si="276"/>
        <v>-5.7623953166743798</v>
      </c>
      <c r="J1164" s="7">
        <f t="shared" si="277"/>
        <v>-69.431447772498288</v>
      </c>
      <c r="K1164" s="8">
        <f t="shared" si="281"/>
        <v>222.26381935744035</v>
      </c>
      <c r="L1164" s="8">
        <f t="shared" si="282"/>
        <v>-9.3350804130124931</v>
      </c>
      <c r="M1164" s="8">
        <f t="shared" si="279"/>
        <v>112.47894539144721</v>
      </c>
      <c r="N1164" s="8">
        <f t="shared" si="283"/>
        <v>25.000000000000021</v>
      </c>
      <c r="O1164" s="8">
        <f t="shared" si="284"/>
        <v>27.074850626605009</v>
      </c>
    </row>
    <row r="1165" spans="1:15" x14ac:dyDescent="0.3">
      <c r="A1165" s="5">
        <f t="shared" si="270"/>
        <v>11.569999999999798</v>
      </c>
      <c r="B1165" s="5">
        <f t="shared" si="280"/>
        <v>121.75640185129296</v>
      </c>
      <c r="C1165" s="6">
        <f t="shared" si="278"/>
        <v>4696.3183571212994</v>
      </c>
      <c r="D1165" s="6">
        <f t="shared" si="271"/>
        <v>22055406.111434501</v>
      </c>
      <c r="E1165" s="7">
        <f t="shared" si="272"/>
        <v>6248571.4285714282</v>
      </c>
      <c r="F1165" s="7">
        <f t="shared" si="273"/>
        <v>124.97142857142855</v>
      </c>
      <c r="G1165" s="7">
        <f t="shared" si="274"/>
        <v>15806834.682863072</v>
      </c>
      <c r="H1165" s="6">
        <f t="shared" si="275"/>
        <v>3975.7810154563431</v>
      </c>
      <c r="I1165" s="7">
        <f t="shared" si="276"/>
        <v>-5.7656165885398893</v>
      </c>
      <c r="J1165" s="7">
        <f t="shared" si="277"/>
        <v>-69.392656159171821</v>
      </c>
      <c r="K1165" s="8">
        <f t="shared" si="281"/>
        <v>222.38806841511001</v>
      </c>
      <c r="L1165" s="8">
        <f t="shared" si="282"/>
        <v>-9.3402988734346195</v>
      </c>
      <c r="M1165" s="8">
        <f t="shared" si="279"/>
        <v>112.41610297785834</v>
      </c>
      <c r="N1165" s="8">
        <f t="shared" si="283"/>
        <v>25.000000000000014</v>
      </c>
      <c r="O1165" s="8">
        <f t="shared" si="284"/>
        <v>27.077171024882965</v>
      </c>
    </row>
    <row r="1166" spans="1:15" x14ac:dyDescent="0.3">
      <c r="A1166" s="5">
        <f t="shared" si="270"/>
        <v>11.579999999999798</v>
      </c>
      <c r="B1166" s="5">
        <f t="shared" si="280"/>
        <v>121.69874568540756</v>
      </c>
      <c r="C1166" s="6">
        <f t="shared" si="278"/>
        <v>4694.0944764371488</v>
      </c>
      <c r="D1166" s="6">
        <f t="shared" si="271"/>
        <v>22034522.95371775</v>
      </c>
      <c r="E1166" s="7">
        <f t="shared" si="272"/>
        <v>6248571.4285714282</v>
      </c>
      <c r="F1166" s="7">
        <f t="shared" si="273"/>
        <v>124.97142857142855</v>
      </c>
      <c r="G1166" s="7">
        <f t="shared" si="274"/>
        <v>15785951.52514632</v>
      </c>
      <c r="H1166" s="6">
        <f t="shared" si="275"/>
        <v>3973.1538511799818</v>
      </c>
      <c r="I1166" s="7">
        <f t="shared" si="276"/>
        <v>-5.7688435948790246</v>
      </c>
      <c r="J1166" s="7">
        <f t="shared" si="277"/>
        <v>-69.353838926977502</v>
      </c>
      <c r="K1166" s="8">
        <f t="shared" si="281"/>
        <v>222.51253865961951</v>
      </c>
      <c r="L1166" s="8">
        <f t="shared" si="282"/>
        <v>-9.3455266237040178</v>
      </c>
      <c r="M1166" s="8">
        <f t="shared" si="279"/>
        <v>112.35321906170354</v>
      </c>
      <c r="N1166" s="8">
        <f t="shared" si="283"/>
        <v>25.000000000000007</v>
      </c>
      <c r="O1166" s="8">
        <f t="shared" si="284"/>
        <v>27.079496854151454</v>
      </c>
    </row>
    <row r="1167" spans="1:15" x14ac:dyDescent="0.3">
      <c r="A1167" s="5">
        <f t="shared" si="270"/>
        <v>11.589999999999797</v>
      </c>
      <c r="B1167" s="5">
        <f t="shared" si="280"/>
        <v>121.64105724945877</v>
      </c>
      <c r="C1167" s="6">
        <f t="shared" si="278"/>
        <v>4691.8693510505518</v>
      </c>
      <c r="D1167" s="6">
        <f t="shared" si="271"/>
        <v>22013638.007327527</v>
      </c>
      <c r="E1167" s="7">
        <f t="shared" si="272"/>
        <v>6248571.4285714282</v>
      </c>
      <c r="F1167" s="7">
        <f t="shared" si="273"/>
        <v>124.97142857142855</v>
      </c>
      <c r="G1167" s="7">
        <f t="shared" si="274"/>
        <v>15765066.578756098</v>
      </c>
      <c r="H1167" s="6">
        <f t="shared" si="275"/>
        <v>3970.5247233528339</v>
      </c>
      <c r="I1167" s="7">
        <f t="shared" si="276"/>
        <v>-5.7720763533196457</v>
      </c>
      <c r="J1167" s="7">
        <f t="shared" si="277"/>
        <v>-69.314996022889474</v>
      </c>
      <c r="K1167" s="8">
        <f t="shared" si="281"/>
        <v>222.6372307709006</v>
      </c>
      <c r="L1167" s="8">
        <f t="shared" si="282"/>
        <v>-9.350763692377825</v>
      </c>
      <c r="M1167" s="8">
        <f t="shared" si="279"/>
        <v>112.29029355708094</v>
      </c>
      <c r="N1167" s="8">
        <f t="shared" si="283"/>
        <v>25.000000000000004</v>
      </c>
      <c r="O1167" s="8">
        <f t="shared" si="284"/>
        <v>27.081828134064082</v>
      </c>
    </row>
    <row r="1168" spans="1:15" x14ac:dyDescent="0.3">
      <c r="A1168" s="5">
        <f t="shared" si="270"/>
        <v>11.599999999999797</v>
      </c>
      <c r="B1168" s="5">
        <f t="shared" si="280"/>
        <v>121.58333648592557</v>
      </c>
      <c r="C1168" s="6">
        <f t="shared" si="278"/>
        <v>4689.6429787428433</v>
      </c>
      <c r="D1168" s="6">
        <f t="shared" si="271"/>
        <v>21992751.268072046</v>
      </c>
      <c r="E1168" s="7">
        <f t="shared" si="272"/>
        <v>6248571.4285714282</v>
      </c>
      <c r="F1168" s="7">
        <f t="shared" si="273"/>
        <v>124.97142857142855</v>
      </c>
      <c r="G1168" s="7">
        <f t="shared" si="274"/>
        <v>15744179.839500617</v>
      </c>
      <c r="H1168" s="6">
        <f t="shared" si="275"/>
        <v>3967.8936275435381</v>
      </c>
      <c r="I1168" s="7">
        <f t="shared" si="276"/>
        <v>-5.7753148815673727</v>
      </c>
      <c r="J1168" s="7">
        <f t="shared" si="277"/>
        <v>-69.276127393695333</v>
      </c>
      <c r="K1168" s="8">
        <f t="shared" si="281"/>
        <v>222.76214543188436</v>
      </c>
      <c r="L1168" s="8">
        <f t="shared" si="282"/>
        <v>-9.3560101081391416</v>
      </c>
      <c r="M1168" s="8">
        <f t="shared" si="279"/>
        <v>112.22732637778643</v>
      </c>
      <c r="N1168" s="8">
        <f t="shared" si="283"/>
        <v>25.000000000000011</v>
      </c>
      <c r="O1168" s="8">
        <f t="shared" si="284"/>
        <v>27.084164884371482</v>
      </c>
    </row>
    <row r="1169" spans="1:15" x14ac:dyDescent="0.3">
      <c r="A1169" s="5">
        <f t="shared" si="270"/>
        <v>11.609999999999797</v>
      </c>
      <c r="B1169" s="5">
        <f t="shared" si="280"/>
        <v>121.52558333710989</v>
      </c>
      <c r="C1169" s="6">
        <f t="shared" si="278"/>
        <v>4687.4153572885243</v>
      </c>
      <c r="D1169" s="6">
        <f t="shared" si="271"/>
        <v>21971862.731744304</v>
      </c>
      <c r="E1169" s="7">
        <f t="shared" si="272"/>
        <v>6248571.4285714282</v>
      </c>
      <c r="F1169" s="7">
        <f t="shared" si="273"/>
        <v>124.97142857142855</v>
      </c>
      <c r="G1169" s="7">
        <f t="shared" si="274"/>
        <v>15723291.303172875</v>
      </c>
      <c r="H1169" s="6">
        <f t="shared" si="275"/>
        <v>3965.2605593041267</v>
      </c>
      <c r="I1169" s="7">
        <f t="shared" si="276"/>
        <v>-5.7785591974060182</v>
      </c>
      <c r="J1169" s="7">
        <f t="shared" si="277"/>
        <v>-69.237232985995163</v>
      </c>
      <c r="K1169" s="8">
        <f t="shared" si="281"/>
        <v>222.88728332851784</v>
      </c>
      <c r="L1169" s="8">
        <f t="shared" si="282"/>
        <v>-9.3612658997977487</v>
      </c>
      <c r="M1169" s="8">
        <f t="shared" si="279"/>
        <v>112.16431743731215</v>
      </c>
      <c r="N1169" s="8">
        <f t="shared" si="283"/>
        <v>25.000000000000007</v>
      </c>
      <c r="O1169" s="8">
        <f t="shared" si="284"/>
        <v>27.08650712492182</v>
      </c>
    </row>
    <row r="1170" spans="1:15" x14ac:dyDescent="0.3">
      <c r="A1170" s="5">
        <f t="shared" si="270"/>
        <v>11.619999999999797</v>
      </c>
      <c r="B1170" s="5">
        <f t="shared" si="280"/>
        <v>121.46779774513583</v>
      </c>
      <c r="C1170" s="6">
        <f t="shared" si="278"/>
        <v>4685.1864844552383</v>
      </c>
      <c r="D1170" s="6">
        <f t="shared" si="271"/>
        <v>21950972.394122034</v>
      </c>
      <c r="E1170" s="7">
        <f t="shared" si="272"/>
        <v>6248571.4285714282</v>
      </c>
      <c r="F1170" s="7">
        <f t="shared" si="273"/>
        <v>124.97142857142855</v>
      </c>
      <c r="G1170" s="7">
        <f t="shared" si="274"/>
        <v>15702400.965550605</v>
      </c>
      <c r="H1170" s="6">
        <f t="shared" si="275"/>
        <v>3962.625514169943</v>
      </c>
      <c r="I1170" s="7">
        <f t="shared" si="276"/>
        <v>-5.7818093186980661</v>
      </c>
      <c r="J1170" s="7">
        <f t="shared" si="277"/>
        <v>-69.198312746200585</v>
      </c>
      <c r="K1170" s="8">
        <f t="shared" si="281"/>
        <v>223.01264514978254</v>
      </c>
      <c r="L1170" s="8">
        <f t="shared" si="282"/>
        <v>-9.3665310962908652</v>
      </c>
      <c r="M1170" s="8">
        <f t="shared" si="279"/>
        <v>112.10126664884496</v>
      </c>
      <c r="N1170" s="8">
        <f t="shared" si="283"/>
        <v>25.000000000000011</v>
      </c>
      <c r="O1170" s="8">
        <f t="shared" si="284"/>
        <v>27.088854875661532</v>
      </c>
    </row>
    <row r="1171" spans="1:15" x14ac:dyDescent="0.3">
      <c r="A1171" s="5">
        <f t="shared" si="270"/>
        <v>11.629999999999797</v>
      </c>
      <c r="B1171" s="5">
        <f t="shared" si="280"/>
        <v>121.40997965194885</v>
      </c>
      <c r="C1171" s="6">
        <f t="shared" si="278"/>
        <v>4682.9563580037411</v>
      </c>
      <c r="D1171" s="6">
        <f t="shared" si="271"/>
        <v>21930080.250967663</v>
      </c>
      <c r="E1171" s="7">
        <f t="shared" si="272"/>
        <v>6248571.4285714282</v>
      </c>
      <c r="F1171" s="7">
        <f t="shared" si="273"/>
        <v>124.97142857142855</v>
      </c>
      <c r="G1171" s="7">
        <f t="shared" si="274"/>
        <v>15681508.822396234</v>
      </c>
      <c r="H1171" s="6">
        <f t="shared" si="275"/>
        <v>3959.9884876595579</v>
      </c>
      <c r="I1171" s="7">
        <f t="shared" si="276"/>
        <v>-5.7850652633850981</v>
      </c>
      <c r="J1171" s="7">
        <f t="shared" si="277"/>
        <v>-69.159366620533959</v>
      </c>
      <c r="K1171" s="8">
        <f t="shared" si="281"/>
        <v>223.13823158771092</v>
      </c>
      <c r="L1171" s="8">
        <f t="shared" si="282"/>
        <v>-9.3718057266838581</v>
      </c>
      <c r="M1171" s="8">
        <f t="shared" si="279"/>
        <v>112.03817392526499</v>
      </c>
      <c r="N1171" s="8">
        <f t="shared" si="283"/>
        <v>25.000000000000014</v>
      </c>
      <c r="O1171" s="8">
        <f t="shared" si="284"/>
        <v>27.091208156635833</v>
      </c>
    </row>
    <row r="1172" spans="1:15" x14ac:dyDescent="0.3">
      <c r="A1172" s="5">
        <f t="shared" si="270"/>
        <v>11.639999999999796</v>
      </c>
      <c r="B1172" s="5">
        <f t="shared" si="280"/>
        <v>121.352128999315</v>
      </c>
      <c r="C1172" s="6">
        <f t="shared" si="278"/>
        <v>4680.7249756878637</v>
      </c>
      <c r="D1172" s="6">
        <f t="shared" si="271"/>
        <v>21909186.298028152</v>
      </c>
      <c r="E1172" s="7">
        <f t="shared" si="272"/>
        <v>6248571.4285714282</v>
      </c>
      <c r="F1172" s="7">
        <f t="shared" si="273"/>
        <v>124.97142857142855</v>
      </c>
      <c r="G1172" s="7">
        <f t="shared" si="274"/>
        <v>15660614.869456723</v>
      </c>
      <c r="H1172" s="6">
        <f t="shared" si="275"/>
        <v>3957.3494752746724</v>
      </c>
      <c r="I1172" s="7">
        <f t="shared" si="276"/>
        <v>-5.7883270494882719</v>
      </c>
      <c r="J1172" s="7">
        <f t="shared" si="277"/>
        <v>-69.120394555027175</v>
      </c>
      <c r="K1172" s="8">
        <f t="shared" si="281"/>
        <v>223.26404333740476</v>
      </c>
      <c r="L1172" s="8">
        <f t="shared" si="282"/>
        <v>-9.3770898201709993</v>
      </c>
      <c r="M1172" s="8">
        <f t="shared" si="279"/>
        <v>111.97503917914401</v>
      </c>
      <c r="N1172" s="8">
        <f t="shared" si="283"/>
        <v>25.000000000000004</v>
      </c>
      <c r="O1172" s="8">
        <f t="shared" si="284"/>
        <v>27.093566987989398</v>
      </c>
    </row>
    <row r="1173" spans="1:15" x14ac:dyDescent="0.3">
      <c r="A1173" s="5">
        <f t="shared" si="270"/>
        <v>11.649999999999796</v>
      </c>
      <c r="B1173" s="5">
        <f t="shared" si="280"/>
        <v>121.29424572882012</v>
      </c>
      <c r="C1173" s="6">
        <f t="shared" si="278"/>
        <v>4678.4923352544902</v>
      </c>
      <c r="D1173" s="6">
        <f t="shared" si="271"/>
        <v>21888290.531035013</v>
      </c>
      <c r="E1173" s="7">
        <f t="shared" si="272"/>
        <v>6248571.4285714282</v>
      </c>
      <c r="F1173" s="7">
        <f t="shared" si="273"/>
        <v>124.97142857142855</v>
      </c>
      <c r="G1173" s="7">
        <f t="shared" si="274"/>
        <v>15639719.102463584</v>
      </c>
      <c r="H1173" s="6">
        <f t="shared" si="275"/>
        <v>3954.7084725000382</v>
      </c>
      <c r="I1173" s="7">
        <f t="shared" si="276"/>
        <v>-5.7915946951087847</v>
      </c>
      <c r="J1173" s="7">
        <f t="shared" si="277"/>
        <v>-69.081396495520934</v>
      </c>
      <c r="K1173" s="8">
        <f t="shared" si="281"/>
        <v>223.3900810970531</v>
      </c>
      <c r="L1173" s="8">
        <f t="shared" si="282"/>
        <v>-9.3823834060762294</v>
      </c>
      <c r="M1173" s="8">
        <f t="shared" si="279"/>
        <v>111.91186232274389</v>
      </c>
      <c r="N1173" s="8">
        <f t="shared" si="283"/>
        <v>24.999999999999996</v>
      </c>
      <c r="O1173" s="8">
        <f t="shared" si="284"/>
        <v>27.095931389967014</v>
      </c>
    </row>
    <row r="1174" spans="1:15" x14ac:dyDescent="0.3">
      <c r="A1174" s="5">
        <f t="shared" si="270"/>
        <v>11.659999999999796</v>
      </c>
      <c r="B1174" s="5">
        <f t="shared" si="280"/>
        <v>121.23632978186903</v>
      </c>
      <c r="C1174" s="6">
        <f t="shared" si="278"/>
        <v>4676.2584344435199</v>
      </c>
      <c r="D1174" s="6">
        <f t="shared" si="271"/>
        <v>21867392.945704158</v>
      </c>
      <c r="E1174" s="7">
        <f t="shared" si="272"/>
        <v>6248571.4285714282</v>
      </c>
      <c r="F1174" s="7">
        <f t="shared" si="273"/>
        <v>124.97142857142855</v>
      </c>
      <c r="G1174" s="7">
        <f t="shared" si="274"/>
        <v>15618821.517132729</v>
      </c>
      <c r="H1174" s="6">
        <f t="shared" si="275"/>
        <v>3952.0654748033626</v>
      </c>
      <c r="I1174" s="7">
        <f t="shared" si="276"/>
        <v>-5.7948682184283298</v>
      </c>
      <c r="J1174" s="7">
        <f t="shared" si="277"/>
        <v>-69.04237238766369</v>
      </c>
      <c r="K1174" s="8">
        <f t="shared" si="281"/>
        <v>223.51634556794986</v>
      </c>
      <c r="L1174" s="8">
        <f t="shared" si="282"/>
        <v>-9.3876865138538932</v>
      </c>
      <c r="M1174" s="8">
        <f t="shared" si="279"/>
        <v>111.84864326801514</v>
      </c>
      <c r="N1174" s="8">
        <f t="shared" si="283"/>
        <v>25.000000000000018</v>
      </c>
      <c r="O1174" s="8">
        <f t="shared" si="284"/>
        <v>27.098301382914169</v>
      </c>
    </row>
    <row r="1175" spans="1:15" x14ac:dyDescent="0.3">
      <c r="A1175" s="5">
        <f t="shared" si="270"/>
        <v>11.669999999999796</v>
      </c>
      <c r="B1175" s="5">
        <f t="shared" si="280"/>
        <v>121.17838109968474</v>
      </c>
      <c r="C1175" s="6">
        <f t="shared" si="278"/>
        <v>4674.0232709878401</v>
      </c>
      <c r="D1175" s="6">
        <f t="shared" si="271"/>
        <v>21846493.537735868</v>
      </c>
      <c r="E1175" s="7">
        <f t="shared" si="272"/>
        <v>6248571.4285714282</v>
      </c>
      <c r="F1175" s="7">
        <f t="shared" si="273"/>
        <v>124.97142857142855</v>
      </c>
      <c r="G1175" s="7">
        <f t="shared" si="274"/>
        <v>15597922.109164439</v>
      </c>
      <c r="H1175" s="6">
        <f t="shared" si="275"/>
        <v>3949.420477635224</v>
      </c>
      <c r="I1175" s="7">
        <f t="shared" si="276"/>
        <v>-5.7981476377095493</v>
      </c>
      <c r="J1175" s="7">
        <f t="shared" si="277"/>
        <v>-69.003322176910672</v>
      </c>
      <c r="K1175" s="8">
        <f t="shared" si="281"/>
        <v>223.64283745451118</v>
      </c>
      <c r="L1175" s="8">
        <f t="shared" si="282"/>
        <v>-9.3929991730894677</v>
      </c>
      <c r="M1175" s="8">
        <f t="shared" si="279"/>
        <v>111.78538192659528</v>
      </c>
      <c r="N1175" s="8">
        <f t="shared" si="283"/>
        <v>25</v>
      </c>
      <c r="O1175" s="8">
        <f t="shared" si="284"/>
        <v>27.100676987277605</v>
      </c>
    </row>
    <row r="1176" spans="1:15" x14ac:dyDescent="0.3">
      <c r="A1176" s="5">
        <f t="shared" si="270"/>
        <v>11.679999999999795</v>
      </c>
      <c r="B1176" s="5">
        <f t="shared" si="280"/>
        <v>121.12039962330765</v>
      </c>
      <c r="C1176" s="6">
        <f t="shared" si="278"/>
        <v>4671.7868426132945</v>
      </c>
      <c r="D1176" s="6">
        <f t="shared" si="271"/>
        <v>21825592.302814696</v>
      </c>
      <c r="E1176" s="7">
        <f t="shared" si="272"/>
        <v>6248571.4285714282</v>
      </c>
      <c r="F1176" s="7">
        <f t="shared" si="273"/>
        <v>124.97142857142855</v>
      </c>
      <c r="G1176" s="7">
        <f t="shared" si="274"/>
        <v>15577020.874243267</v>
      </c>
      <c r="H1176" s="6">
        <f t="shared" si="275"/>
        <v>3946.7734764289762</v>
      </c>
      <c r="I1176" s="7">
        <f t="shared" si="276"/>
        <v>-5.801432971296558</v>
      </c>
      <c r="J1176" s="7">
        <f t="shared" si="277"/>
        <v>-68.964245808522975</v>
      </c>
      <c r="K1176" s="8">
        <f t="shared" si="281"/>
        <v>223.76955746429579</v>
      </c>
      <c r="L1176" s="8">
        <f t="shared" si="282"/>
        <v>-9.3983214135004225</v>
      </c>
      <c r="M1176" s="8">
        <f t="shared" si="279"/>
        <v>111.72207820980722</v>
      </c>
      <c r="N1176" s="8">
        <f t="shared" si="283"/>
        <v>25.000000000000004</v>
      </c>
      <c r="O1176" s="8">
        <f t="shared" si="284"/>
        <v>27.103058223606212</v>
      </c>
    </row>
    <row r="1177" spans="1:15" x14ac:dyDescent="0.3">
      <c r="A1177" s="5">
        <f t="shared" si="270"/>
        <v>11.689999999999795</v>
      </c>
      <c r="B1177" s="5">
        <f t="shared" si="280"/>
        <v>121.06238529359469</v>
      </c>
      <c r="C1177" s="6">
        <f t="shared" si="278"/>
        <v>4669.5491470386523</v>
      </c>
      <c r="D1177" s="6">
        <f t="shared" si="271"/>
        <v>21804689.236609407</v>
      </c>
      <c r="E1177" s="7">
        <f t="shared" si="272"/>
        <v>6248571.4285714282</v>
      </c>
      <c r="F1177" s="7">
        <f t="shared" si="273"/>
        <v>124.97142857142855</v>
      </c>
      <c r="G1177" s="7">
        <f t="shared" si="274"/>
        <v>15556117.808037978</v>
      </c>
      <c r="H1177" s="6">
        <f t="shared" si="275"/>
        <v>3944.1244666006646</v>
      </c>
      <c r="I1177" s="7">
        <f t="shared" si="276"/>
        <v>-5.8047242376153578</v>
      </c>
      <c r="J1177" s="7">
        <f t="shared" si="277"/>
        <v>-68.925143227566565</v>
      </c>
      <c r="K1177" s="8">
        <f t="shared" si="281"/>
        <v>223.89650630802095</v>
      </c>
      <c r="L1177" s="8">
        <f t="shared" si="282"/>
        <v>-9.403653264936878</v>
      </c>
      <c r="M1177" s="8">
        <f t="shared" si="279"/>
        <v>111.65873202865781</v>
      </c>
      <c r="N1177" s="8">
        <f t="shared" si="283"/>
        <v>25.000000000000004</v>
      </c>
      <c r="O1177" s="8">
        <f t="shared" si="284"/>
        <v>27.105445112551383</v>
      </c>
    </row>
    <row r="1178" spans="1:15" x14ac:dyDescent="0.3">
      <c r="A1178" s="5">
        <f t="shared" si="270"/>
        <v>11.699999999999795</v>
      </c>
      <c r="B1178" s="5">
        <f t="shared" si="280"/>
        <v>121.00433805121854</v>
      </c>
      <c r="C1178" s="6">
        <f t="shared" si="278"/>
        <v>4667.310181975572</v>
      </c>
      <c r="D1178" s="6">
        <f t="shared" si="271"/>
        <v>21783784.334772848</v>
      </c>
      <c r="E1178" s="7">
        <f t="shared" si="272"/>
        <v>6248571.4285714282</v>
      </c>
      <c r="F1178" s="7">
        <f t="shared" si="273"/>
        <v>124.97142857142855</v>
      </c>
      <c r="G1178" s="7">
        <f t="shared" si="274"/>
        <v>15535212.906201418</v>
      </c>
      <c r="H1178" s="6">
        <f t="shared" si="275"/>
        <v>3941.4734435489245</v>
      </c>
      <c r="I1178" s="7">
        <f t="shared" si="276"/>
        <v>-5.8080214551743641</v>
      </c>
      <c r="J1178" s="7">
        <f t="shared" si="277"/>
        <v>-68.88601437891117</v>
      </c>
      <c r="K1178" s="8">
        <f t="shared" si="281"/>
        <v>224.02368469958259</v>
      </c>
      <c r="L1178" s="8">
        <f t="shared" si="282"/>
        <v>-9.4089947573824677</v>
      </c>
      <c r="M1178" s="8">
        <f t="shared" si="279"/>
        <v>111.59534329383607</v>
      </c>
      <c r="N1178" s="8">
        <f t="shared" si="283"/>
        <v>25.000000000000011</v>
      </c>
      <c r="O1178" s="8">
        <f t="shared" si="284"/>
        <v>27.107837674867884</v>
      </c>
    </row>
    <row r="1179" spans="1:15" x14ac:dyDescent="0.3">
      <c r="A1179" s="5">
        <f t="shared" si="270"/>
        <v>11.709999999999795</v>
      </c>
      <c r="B1179" s="5">
        <f t="shared" si="280"/>
        <v>120.9462578366668</v>
      </c>
      <c r="C1179" s="6">
        <f t="shared" si="278"/>
        <v>4665.0699451285764</v>
      </c>
      <c r="D1179" s="6">
        <f t="shared" si="271"/>
        <v>21762877.59294194</v>
      </c>
      <c r="E1179" s="7">
        <f t="shared" si="272"/>
        <v>6248571.4285714282</v>
      </c>
      <c r="F1179" s="7">
        <f t="shared" si="273"/>
        <v>124.97142857142855</v>
      </c>
      <c r="G1179" s="7">
        <f t="shared" si="274"/>
        <v>15514306.164370511</v>
      </c>
      <c r="H1179" s="6">
        <f t="shared" si="275"/>
        <v>3938.8204026549001</v>
      </c>
      <c r="I1179" s="7">
        <f t="shared" si="276"/>
        <v>-5.8113246425648546</v>
      </c>
      <c r="J1179" s="7">
        <f t="shared" si="277"/>
        <v>-68.846859207229471</v>
      </c>
      <c r="K1179" s="8">
        <f t="shared" si="281"/>
        <v>224.15109335607295</v>
      </c>
      <c r="L1179" s="8">
        <f t="shared" si="282"/>
        <v>-9.4143459209550624</v>
      </c>
      <c r="M1179" s="8">
        <f t="shared" si="279"/>
        <v>111.53191191571175</v>
      </c>
      <c r="N1179" s="8">
        <f t="shared" si="283"/>
        <v>25.000000000000007</v>
      </c>
      <c r="O1179" s="8">
        <f t="shared" si="284"/>
        <v>27.110235931414369</v>
      </c>
    </row>
    <row r="1180" spans="1:15" x14ac:dyDescent="0.3">
      <c r="A1180" s="5">
        <f t="shared" si="270"/>
        <v>11.719999999999795</v>
      </c>
      <c r="B1180" s="5">
        <f t="shared" si="280"/>
        <v>120.88814459024115</v>
      </c>
      <c r="C1180" s="6">
        <f t="shared" si="278"/>
        <v>4662.8284341950157</v>
      </c>
      <c r="D1180" s="6">
        <f t="shared" si="271"/>
        <v>21741969.006737541</v>
      </c>
      <c r="E1180" s="7">
        <f t="shared" si="272"/>
        <v>6248571.4285714282</v>
      </c>
      <c r="F1180" s="7">
        <f t="shared" si="273"/>
        <v>124.97142857142855</v>
      </c>
      <c r="G1180" s="7">
        <f t="shared" si="274"/>
        <v>15493397.578166112</v>
      </c>
      <c r="H1180" s="6">
        <f t="shared" si="275"/>
        <v>3936.1653392821436</v>
      </c>
      <c r="I1180" s="7">
        <f t="shared" si="276"/>
        <v>-5.8146338184614832</v>
      </c>
      <c r="J1180" s="7">
        <f t="shared" si="277"/>
        <v>-68.807677656996034</v>
      </c>
      <c r="K1180" s="8">
        <f t="shared" si="281"/>
        <v>224.27873299780006</v>
      </c>
      <c r="L1180" s="8">
        <f t="shared" si="282"/>
        <v>-9.4197067859076018</v>
      </c>
      <c r="M1180" s="8">
        <f t="shared" si="279"/>
        <v>111.46843780433355</v>
      </c>
      <c r="N1180" s="8">
        <f t="shared" si="283"/>
        <v>25.000000000000007</v>
      </c>
      <c r="O1180" s="8">
        <f t="shared" si="284"/>
        <v>27.112639903154143</v>
      </c>
    </row>
    <row r="1181" spans="1:15" x14ac:dyDescent="0.3">
      <c r="A1181" s="5">
        <f t="shared" si="270"/>
        <v>11.729999999999794</v>
      </c>
      <c r="B1181" s="5">
        <f t="shared" si="280"/>
        <v>120.82999825205654</v>
      </c>
      <c r="C1181" s="6">
        <f t="shared" si="278"/>
        <v>4660.5856468650381</v>
      </c>
      <c r="D1181" s="6">
        <f t="shared" si="271"/>
        <v>21721058.571764406</v>
      </c>
      <c r="E1181" s="7">
        <f t="shared" si="272"/>
        <v>6248571.4285714282</v>
      </c>
      <c r="F1181" s="7">
        <f t="shared" si="273"/>
        <v>124.97142857142855</v>
      </c>
      <c r="G1181" s="7">
        <f t="shared" si="274"/>
        <v>15472487.143192977</v>
      </c>
      <c r="H1181" s="6">
        <f t="shared" si="275"/>
        <v>3933.5082487765267</v>
      </c>
      <c r="I1181" s="7">
        <f t="shared" si="276"/>
        <v>-5.8179490016227495</v>
      </c>
      <c r="J1181" s="7">
        <f t="shared" si="277"/>
        <v>-68.768469672486248</v>
      </c>
      <c r="K1181" s="8">
        <f t="shared" si="281"/>
        <v>224.40660434830605</v>
      </c>
      <c r="L1181" s="8">
        <f t="shared" si="282"/>
        <v>-9.425077382628853</v>
      </c>
      <c r="M1181" s="8">
        <f t="shared" si="279"/>
        <v>111.40492086942768</v>
      </c>
      <c r="N1181" s="8">
        <f t="shared" si="283"/>
        <v>25</v>
      </c>
      <c r="O1181" s="8">
        <f t="shared" si="284"/>
        <v>27.115049611155762</v>
      </c>
    </row>
    <row r="1182" spans="1:15" x14ac:dyDescent="0.3">
      <c r="A1182" s="5">
        <f t="shared" si="270"/>
        <v>11.739999999999794</v>
      </c>
      <c r="B1182" s="5">
        <f t="shared" si="280"/>
        <v>120.77181876204031</v>
      </c>
      <c r="C1182" s="6">
        <f t="shared" si="278"/>
        <v>4658.341580821555</v>
      </c>
      <c r="D1182" s="6">
        <f t="shared" si="271"/>
        <v>21700146.283611063</v>
      </c>
      <c r="E1182" s="7">
        <f t="shared" si="272"/>
        <v>6248571.4285714282</v>
      </c>
      <c r="F1182" s="7">
        <f t="shared" si="273"/>
        <v>124.97142857142855</v>
      </c>
      <c r="G1182" s="7">
        <f t="shared" si="274"/>
        <v>15451574.855039634</v>
      </c>
      <c r="H1182" s="6">
        <f t="shared" si="275"/>
        <v>3930.8491264661425</v>
      </c>
      <c r="I1182" s="7">
        <f t="shared" si="276"/>
        <v>-5.8212702108915053</v>
      </c>
      <c r="J1182" s="7">
        <f t="shared" si="277"/>
        <v>-68.729235197775367</v>
      </c>
      <c r="K1182" s="8">
        <f t="shared" si="281"/>
        <v>224.53470813438662</v>
      </c>
      <c r="L1182" s="8">
        <f t="shared" si="282"/>
        <v>-9.4304577416442363</v>
      </c>
      <c r="M1182" s="8">
        <f t="shared" si="279"/>
        <v>111.34136102039608</v>
      </c>
      <c r="N1182" s="8">
        <f t="shared" si="283"/>
        <v>25.000000000000004</v>
      </c>
      <c r="O1182" s="8">
        <f t="shared" si="284"/>
        <v>27.11746507659376</v>
      </c>
    </row>
    <row r="1183" spans="1:15" x14ac:dyDescent="0.3">
      <c r="A1183" s="5">
        <f t="shared" si="270"/>
        <v>11.749999999999794</v>
      </c>
      <c r="B1183" s="5">
        <f t="shared" si="280"/>
        <v>120.71360605993139</v>
      </c>
      <c r="C1183" s="6">
        <f t="shared" si="278"/>
        <v>4656.0962337402107</v>
      </c>
      <c r="D1183" s="6">
        <f t="shared" si="271"/>
        <v>21679232.137849774</v>
      </c>
      <c r="E1183" s="7">
        <f t="shared" si="272"/>
        <v>6248571.4285714282</v>
      </c>
      <c r="F1183" s="7">
        <f t="shared" si="273"/>
        <v>124.97142857142855</v>
      </c>
      <c r="G1183" s="7">
        <f t="shared" si="274"/>
        <v>15430660.709278345</v>
      </c>
      <c r="H1183" s="6">
        <f t="shared" si="275"/>
        <v>3928.1879676612148</v>
      </c>
      <c r="I1183" s="7">
        <f t="shared" si="276"/>
        <v>-5.824597465195442</v>
      </c>
      <c r="J1183" s="7">
        <f t="shared" si="277"/>
        <v>-68.689974176737536</v>
      </c>
      <c r="K1183" s="8">
        <f t="shared" si="281"/>
        <v>224.66304508610989</v>
      </c>
      <c r="L1183" s="8">
        <f t="shared" si="282"/>
        <v>-9.4358478936166144</v>
      </c>
      <c r="M1183" s="8">
        <f t="shared" si="279"/>
        <v>111.27775816631478</v>
      </c>
      <c r="N1183" s="8">
        <f t="shared" si="283"/>
        <v>25.000000000000011</v>
      </c>
      <c r="O1183" s="8">
        <f t="shared" si="284"/>
        <v>27.119886320749277</v>
      </c>
    </row>
    <row r="1184" spans="1:15" x14ac:dyDescent="0.3">
      <c r="A1184" s="5">
        <f t="shared" si="270"/>
        <v>11.759999999999794</v>
      </c>
      <c r="B1184" s="5">
        <f t="shared" si="280"/>
        <v>120.65536008527944</v>
      </c>
      <c r="C1184" s="6">
        <f t="shared" si="278"/>
        <v>4653.8496032893499</v>
      </c>
      <c r="D1184" s="6">
        <f t="shared" si="271"/>
        <v>21658316.13003644</v>
      </c>
      <c r="E1184" s="7">
        <f t="shared" si="272"/>
        <v>6248571.4285714282</v>
      </c>
      <c r="F1184" s="7">
        <f t="shared" si="273"/>
        <v>124.97142857142855</v>
      </c>
      <c r="G1184" s="7">
        <f t="shared" si="274"/>
        <v>15409744.701465011</v>
      </c>
      <c r="H1184" s="6">
        <f t="shared" si="275"/>
        <v>3925.5247676540025</v>
      </c>
      <c r="I1184" s="7">
        <f t="shared" si="276"/>
        <v>-5.8279307835475915</v>
      </c>
      <c r="J1184" s="7">
        <f t="shared" si="277"/>
        <v>-68.650686553044679</v>
      </c>
      <c r="K1184" s="8">
        <f t="shared" si="281"/>
        <v>224.79161593683565</v>
      </c>
      <c r="L1184" s="8">
        <f t="shared" si="282"/>
        <v>-9.4412478693470963</v>
      </c>
      <c r="M1184" s="8">
        <f t="shared" si="279"/>
        <v>111.21411221593235</v>
      </c>
      <c r="N1184" s="8">
        <f t="shared" si="283"/>
        <v>25.000000000000007</v>
      </c>
      <c r="O1184" s="8">
        <f t="shared" si="284"/>
        <v>27.122313365010744</v>
      </c>
    </row>
    <row r="1185" spans="1:15" x14ac:dyDescent="0.3">
      <c r="A1185" s="5">
        <f t="shared" si="270"/>
        <v>11.769999999999794</v>
      </c>
      <c r="B1185" s="5">
        <f t="shared" si="280"/>
        <v>120.59708077744396</v>
      </c>
      <c r="C1185" s="6">
        <f t="shared" si="278"/>
        <v>4651.6016871299817</v>
      </c>
      <c r="D1185" s="6">
        <f t="shared" si="271"/>
        <v>21637398.25571049</v>
      </c>
      <c r="E1185" s="7">
        <f t="shared" si="272"/>
        <v>6248571.4285714282</v>
      </c>
      <c r="F1185" s="7">
        <f t="shared" si="273"/>
        <v>124.97142857142855</v>
      </c>
      <c r="G1185" s="7">
        <f t="shared" si="274"/>
        <v>15388826.827139061</v>
      </c>
      <c r="H1185" s="6">
        <f t="shared" si="275"/>
        <v>3922.8595217186989</v>
      </c>
      <c r="I1185" s="7">
        <f t="shared" si="276"/>
        <v>-5.8312701850468454</v>
      </c>
      <c r="J1185" s="7">
        <f t="shared" si="277"/>
        <v>-68.611372270165504</v>
      </c>
      <c r="K1185" s="8">
        <f t="shared" si="281"/>
        <v>224.92042142323544</v>
      </c>
      <c r="L1185" s="8">
        <f t="shared" si="282"/>
        <v>-9.4466576997758871</v>
      </c>
      <c r="M1185" s="8">
        <f t="shared" si="279"/>
        <v>111.15042307766808</v>
      </c>
      <c r="N1185" s="8">
        <f t="shared" si="283"/>
        <v>25.000000000000018</v>
      </c>
      <c r="O1185" s="8">
        <f t="shared" si="284"/>
        <v>27.124746230874663</v>
      </c>
    </row>
    <row r="1186" spans="1:15" x14ac:dyDescent="0.3">
      <c r="A1186" s="5">
        <f t="shared" si="270"/>
        <v>11.779999999999793</v>
      </c>
      <c r="B1186" s="5">
        <f t="shared" si="280"/>
        <v>120.5387680755935</v>
      </c>
      <c r="C1186" s="6">
        <f t="shared" si="278"/>
        <v>4649.3524829157486</v>
      </c>
      <c r="D1186" s="6">
        <f t="shared" si="271"/>
        <v>21616478.510394838</v>
      </c>
      <c r="E1186" s="7">
        <f t="shared" si="272"/>
        <v>6248571.4285714282</v>
      </c>
      <c r="F1186" s="7">
        <f t="shared" si="273"/>
        <v>124.97142857142855</v>
      </c>
      <c r="G1186" s="7">
        <f t="shared" si="274"/>
        <v>15367907.081823409</v>
      </c>
      <c r="H1186" s="6">
        <f t="shared" si="275"/>
        <v>3920.192225111341</v>
      </c>
      <c r="I1186" s="7">
        <f t="shared" si="276"/>
        <v>-5.8346156888784337</v>
      </c>
      <c r="J1186" s="7">
        <f t="shared" si="277"/>
        <v>-68.572031271364466</v>
      </c>
      <c r="K1186" s="8">
        <f t="shared" si="281"/>
        <v>225.04946228531099</v>
      </c>
      <c r="L1186" s="8">
        <f t="shared" si="282"/>
        <v>-9.4520774159830605</v>
      </c>
      <c r="M1186" s="8">
        <f t="shared" si="279"/>
        <v>111.08669065961044</v>
      </c>
      <c r="N1186" s="8">
        <f t="shared" si="283"/>
        <v>25.000000000000007</v>
      </c>
      <c r="O1186" s="8">
        <f t="shared" si="284"/>
        <v>27.12718493994613</v>
      </c>
    </row>
    <row r="1187" spans="1:15" x14ac:dyDescent="0.3">
      <c r="A1187" s="5">
        <f t="shared" si="270"/>
        <v>11.789999999999793</v>
      </c>
      <c r="B1187" s="5">
        <f t="shared" si="280"/>
        <v>120.48042191870471</v>
      </c>
      <c r="C1187" s="6">
        <f t="shared" si="278"/>
        <v>4647.1019882928958</v>
      </c>
      <c r="D1187" s="6">
        <f t="shared" si="271"/>
        <v>21595556.889595784</v>
      </c>
      <c r="E1187" s="7">
        <f t="shared" si="272"/>
        <v>6248571.4285714282</v>
      </c>
      <c r="F1187" s="7">
        <f t="shared" si="273"/>
        <v>124.97142857142855</v>
      </c>
      <c r="G1187" s="7">
        <f t="shared" si="274"/>
        <v>15346985.461024355</v>
      </c>
      <c r="H1187" s="6">
        <f t="shared" si="275"/>
        <v>3917.5228730697099</v>
      </c>
      <c r="I1187" s="7">
        <f t="shared" si="276"/>
        <v>-5.8379673143144748</v>
      </c>
      <c r="J1187" s="7">
        <f t="shared" si="277"/>
        <v>-68.532663499700789</v>
      </c>
      <c r="K1187" s="8">
        <f t="shared" si="281"/>
        <v>225.17873926641545</v>
      </c>
      <c r="L1187" s="8">
        <f t="shared" si="282"/>
        <v>-9.4575070491894486</v>
      </c>
      <c r="M1187" s="8">
        <f t="shared" si="279"/>
        <v>111.02291486951526</v>
      </c>
      <c r="N1187" s="8">
        <f t="shared" si="283"/>
        <v>25.000000000000014</v>
      </c>
      <c r="O1187" s="8">
        <f t="shared" si="284"/>
        <v>27.129629513939733</v>
      </c>
    </row>
    <row r="1188" spans="1:15" x14ac:dyDescent="0.3">
      <c r="A1188" s="5">
        <f t="shared" si="270"/>
        <v>11.799999999999793</v>
      </c>
      <c r="B1188" s="5">
        <f t="shared" si="280"/>
        <v>120.42204224556156</v>
      </c>
      <c r="C1188" s="6">
        <f t="shared" si="278"/>
        <v>4644.8502009002314</v>
      </c>
      <c r="D1188" s="6">
        <f t="shared" si="271"/>
        <v>21574633.38880292</v>
      </c>
      <c r="E1188" s="7">
        <f t="shared" si="272"/>
        <v>6248571.4285714282</v>
      </c>
      <c r="F1188" s="7">
        <f t="shared" si="273"/>
        <v>124.97142857142855</v>
      </c>
      <c r="G1188" s="7">
        <f t="shared" si="274"/>
        <v>15326061.96023149</v>
      </c>
      <c r="H1188" s="6">
        <f t="shared" si="275"/>
        <v>3914.8514608132314</v>
      </c>
      <c r="I1188" s="7">
        <f t="shared" si="276"/>
        <v>-5.8413250807144497</v>
      </c>
      <c r="J1188" s="7">
        <f t="shared" si="277"/>
        <v>-68.493268898027267</v>
      </c>
      <c r="K1188" s="8">
        <f t="shared" si="281"/>
        <v>225.3082531132716</v>
      </c>
      <c r="L1188" s="8">
        <f t="shared" si="282"/>
        <v>-9.4629466307574059</v>
      </c>
      <c r="M1188" s="8">
        <f t="shared" si="279"/>
        <v>110.95909561480416</v>
      </c>
      <c r="N1188" s="8">
        <f t="shared" si="283"/>
        <v>25</v>
      </c>
      <c r="O1188" s="8">
        <f t="shared" si="284"/>
        <v>27.132079974680071</v>
      </c>
    </row>
    <row r="1189" spans="1:15" x14ac:dyDescent="0.3">
      <c r="A1189" s="5">
        <f t="shared" si="270"/>
        <v>11.809999999999793</v>
      </c>
      <c r="B1189" s="5">
        <f t="shared" si="280"/>
        <v>120.36362899475441</v>
      </c>
      <c r="C1189" s="6">
        <f t="shared" si="278"/>
        <v>4642.5971183690981</v>
      </c>
      <c r="D1189" s="6">
        <f t="shared" si="271"/>
        <v>21553708.003489055</v>
      </c>
      <c r="E1189" s="7">
        <f t="shared" si="272"/>
        <v>6248571.4285714282</v>
      </c>
      <c r="F1189" s="7">
        <f t="shared" si="273"/>
        <v>124.97142857142855</v>
      </c>
      <c r="G1189" s="7">
        <f t="shared" si="274"/>
        <v>15305136.574917626</v>
      </c>
      <c r="H1189" s="6">
        <f t="shared" si="275"/>
        <v>3912.1779835428788</v>
      </c>
      <c r="I1189" s="7">
        <f t="shared" si="276"/>
        <v>-5.8446890075257611</v>
      </c>
      <c r="J1189" s="7">
        <f t="shared" si="277"/>
        <v>-68.453847408989319</v>
      </c>
      <c r="K1189" s="8">
        <f t="shared" si="281"/>
        <v>225.43800457599363</v>
      </c>
      <c r="L1189" s="8">
        <f t="shared" si="282"/>
        <v>-9.4683961921917312</v>
      </c>
      <c r="M1189" s="8">
        <f t="shared" si="279"/>
        <v>110.89523280256267</v>
      </c>
      <c r="N1189" s="8">
        <f t="shared" si="283"/>
        <v>25.000000000000004</v>
      </c>
      <c r="O1189" s="8">
        <f t="shared" si="284"/>
        <v>27.134536344102642</v>
      </c>
    </row>
    <row r="1190" spans="1:15" x14ac:dyDescent="0.3">
      <c r="A1190" s="5">
        <f t="shared" si="270"/>
        <v>11.819999999999792</v>
      </c>
      <c r="B1190" s="5">
        <f t="shared" si="280"/>
        <v>120.30518210467915</v>
      </c>
      <c r="C1190" s="6">
        <f t="shared" si="278"/>
        <v>4640.3427383233384</v>
      </c>
      <c r="D1190" s="6">
        <f t="shared" si="271"/>
        <v>21532780.729110137</v>
      </c>
      <c r="E1190" s="7">
        <f t="shared" si="272"/>
        <v>6248571.4285714282</v>
      </c>
      <c r="F1190" s="7">
        <f t="shared" si="273"/>
        <v>124.97142857142855</v>
      </c>
      <c r="G1190" s="7">
        <f t="shared" si="274"/>
        <v>15284209.300538708</v>
      </c>
      <c r="H1190" s="6">
        <f t="shared" si="275"/>
        <v>3909.5024364410756</v>
      </c>
      <c r="I1190" s="7">
        <f t="shared" si="276"/>
        <v>-5.8480591142842258</v>
      </c>
      <c r="J1190" s="7">
        <f t="shared" si="277"/>
        <v>-68.4143989750239</v>
      </c>
      <c r="K1190" s="8">
        <f t="shared" si="281"/>
        <v>225.56799440810585</v>
      </c>
      <c r="L1190" s="8">
        <f t="shared" si="282"/>
        <v>-9.4738557651404438</v>
      </c>
      <c r="M1190" s="8">
        <f t="shared" si="279"/>
        <v>110.83132633953871</v>
      </c>
      <c r="N1190" s="8">
        <f t="shared" si="283"/>
        <v>25.000000000000021</v>
      </c>
      <c r="O1190" s="8">
        <f t="shared" si="284"/>
        <v>27.136998644254422</v>
      </c>
    </row>
    <row r="1191" spans="1:15" x14ac:dyDescent="0.3">
      <c r="A1191" s="5">
        <f t="shared" si="270"/>
        <v>11.829999999999792</v>
      </c>
      <c r="B1191" s="5">
        <f t="shared" si="280"/>
        <v>120.24670151353631</v>
      </c>
      <c r="C1191" s="6">
        <f t="shared" si="278"/>
        <v>4638.0870583792575</v>
      </c>
      <c r="D1191" s="6">
        <f t="shared" si="271"/>
        <v>21511851.561105154</v>
      </c>
      <c r="E1191" s="7">
        <f t="shared" si="272"/>
        <v>6248571.4285714282</v>
      </c>
      <c r="F1191" s="7">
        <f t="shared" si="273"/>
        <v>124.97142857142855</v>
      </c>
      <c r="G1191" s="7">
        <f t="shared" si="274"/>
        <v>15263280.132533725</v>
      </c>
      <c r="H1191" s="6">
        <f t="shared" si="275"/>
        <v>3906.8248146715928</v>
      </c>
      <c r="I1191" s="7">
        <f t="shared" si="276"/>
        <v>-5.8514354206146022</v>
      </c>
      <c r="J1191" s="7">
        <f t="shared" si="277"/>
        <v>-68.374923538358445</v>
      </c>
      <c r="K1191" s="8">
        <f t="shared" si="281"/>
        <v>225.69822336656321</v>
      </c>
      <c r="L1191" s="8">
        <f t="shared" si="282"/>
        <v>-9.4793253813956539</v>
      </c>
      <c r="M1191" s="8">
        <f t="shared" si="279"/>
        <v>110.76737613214065</v>
      </c>
      <c r="N1191" s="8">
        <f t="shared" si="283"/>
        <v>25.000000000000004</v>
      </c>
      <c r="O1191" s="8">
        <f t="shared" si="284"/>
        <v>27.139466897294572</v>
      </c>
    </row>
    <row r="1192" spans="1:15" x14ac:dyDescent="0.3">
      <c r="A1192" s="5">
        <f t="shared" si="270"/>
        <v>11.839999999999792</v>
      </c>
      <c r="B1192" s="5">
        <f t="shared" si="280"/>
        <v>120.18818715933016</v>
      </c>
      <c r="C1192" s="6">
        <f t="shared" si="278"/>
        <v>4635.8300761455912</v>
      </c>
      <c r="D1192" s="6">
        <f t="shared" si="271"/>
        <v>21490920.494896039</v>
      </c>
      <c r="E1192" s="7">
        <f t="shared" si="272"/>
        <v>6248571.4285714282</v>
      </c>
      <c r="F1192" s="7">
        <f t="shared" si="273"/>
        <v>124.97142857142855</v>
      </c>
      <c r="G1192" s="7">
        <f t="shared" si="274"/>
        <v>15242349.06632461</v>
      </c>
      <c r="H1192" s="6">
        <f t="shared" si="275"/>
        <v>3904.1451133794462</v>
      </c>
      <c r="I1192" s="7">
        <f t="shared" si="276"/>
        <v>-5.8548179462311563</v>
      </c>
      <c r="J1192" s="7">
        <f t="shared" si="277"/>
        <v>-68.335421041009681</v>
      </c>
      <c r="K1192" s="8">
        <f t="shared" si="281"/>
        <v>225.82869221177316</v>
      </c>
      <c r="L1192" s="8">
        <f t="shared" si="282"/>
        <v>-9.4848050728944724</v>
      </c>
      <c r="M1192" s="8">
        <f t="shared" si="279"/>
        <v>110.70338208643568</v>
      </c>
      <c r="N1192" s="8">
        <f t="shared" si="283"/>
        <v>25.000000000000007</v>
      </c>
      <c r="O1192" s="8">
        <f t="shared" si="284"/>
        <v>27.141941125495357</v>
      </c>
    </row>
    <row r="1193" spans="1:15" x14ac:dyDescent="0.3">
      <c r="A1193" s="5">
        <f t="shared" si="270"/>
        <v>11.849999999999792</v>
      </c>
      <c r="B1193" s="5">
        <f t="shared" si="280"/>
        <v>120.12963897986785</v>
      </c>
      <c r="C1193" s="6">
        <f t="shared" si="278"/>
        <v>4633.5717892234743</v>
      </c>
      <c r="D1193" s="6">
        <f t="shared" si="271"/>
        <v>21469987.525887627</v>
      </c>
      <c r="E1193" s="7">
        <f t="shared" si="272"/>
        <v>6248571.4285714282</v>
      </c>
      <c r="F1193" s="7">
        <f t="shared" si="273"/>
        <v>124.97142857142855</v>
      </c>
      <c r="G1193" s="7">
        <f t="shared" si="274"/>
        <v>15221416.097316198</v>
      </c>
      <c r="H1193" s="6">
        <f t="shared" si="275"/>
        <v>3901.4633276908035</v>
      </c>
      <c r="I1193" s="7">
        <f t="shared" si="276"/>
        <v>-5.8582067109381537</v>
      </c>
      <c r="J1193" s="7">
        <f t="shared" si="277"/>
        <v>-68.295891424782752</v>
      </c>
      <c r="K1193" s="8">
        <f t="shared" si="281"/>
        <v>225.95940170761449</v>
      </c>
      <c r="L1193" s="8">
        <f t="shared" si="282"/>
        <v>-9.4902948717198079</v>
      </c>
      <c r="M1193" s="8">
        <f t="shared" si="279"/>
        <v>110.63934410814804</v>
      </c>
      <c r="N1193" s="8">
        <f t="shared" si="283"/>
        <v>25.000000000000014</v>
      </c>
      <c r="O1193" s="8">
        <f t="shared" si="284"/>
        <v>27.144421351242666</v>
      </c>
    </row>
    <row r="1194" spans="1:15" x14ac:dyDescent="0.3">
      <c r="A1194" s="5">
        <f t="shared" si="270"/>
        <v>11.859999999999792</v>
      </c>
      <c r="B1194" s="5">
        <f t="shared" si="280"/>
        <v>120.07105691275846</v>
      </c>
      <c r="C1194" s="6">
        <f t="shared" si="278"/>
        <v>4631.3121952063975</v>
      </c>
      <c r="D1194" s="6">
        <f t="shared" si="271"/>
        <v>21449052.649467502</v>
      </c>
      <c r="E1194" s="7">
        <f t="shared" si="272"/>
        <v>6248571.4285714282</v>
      </c>
      <c r="F1194" s="7">
        <f t="shared" si="273"/>
        <v>124.97142857142855</v>
      </c>
      <c r="G1194" s="7">
        <f t="shared" si="274"/>
        <v>15200481.220896073</v>
      </c>
      <c r="H1194" s="6">
        <f t="shared" si="275"/>
        <v>3898.7794527128708</v>
      </c>
      <c r="I1194" s="7">
        <f t="shared" si="276"/>
        <v>-5.8616017346304163</v>
      </c>
      <c r="J1194" s="7">
        <f t="shared" si="277"/>
        <v>-68.256334631269866</v>
      </c>
      <c r="K1194" s="8">
        <f t="shared" si="281"/>
        <v>226.09035262145889</v>
      </c>
      <c r="L1194" s="8">
        <f t="shared" si="282"/>
        <v>-9.4957948101012732</v>
      </c>
      <c r="M1194" s="8">
        <f t="shared" si="279"/>
        <v>110.57526210265719</v>
      </c>
      <c r="N1194" s="8">
        <f t="shared" si="283"/>
        <v>25.000000000000004</v>
      </c>
      <c r="O1194" s="8">
        <f t="shared" si="284"/>
        <v>27.146907597036822</v>
      </c>
    </row>
    <row r="1195" spans="1:15" x14ac:dyDescent="0.3">
      <c r="A1195" s="5">
        <f t="shared" si="270"/>
        <v>11.869999999999791</v>
      </c>
      <c r="B1195" s="5">
        <f t="shared" si="280"/>
        <v>120.01244089541215</v>
      </c>
      <c r="C1195" s="6">
        <f t="shared" si="278"/>
        <v>4629.0512916801827</v>
      </c>
      <c r="D1195" s="6">
        <f t="shared" si="271"/>
        <v>21428115.861005969</v>
      </c>
      <c r="E1195" s="7">
        <f t="shared" si="272"/>
        <v>6248571.4285714282</v>
      </c>
      <c r="F1195" s="7">
        <f t="shared" si="273"/>
        <v>124.97142857142855</v>
      </c>
      <c r="G1195" s="7">
        <f t="shared" si="274"/>
        <v>15179544.43243454</v>
      </c>
      <c r="H1195" s="6">
        <f t="shared" si="275"/>
        <v>3896.0934835337998</v>
      </c>
      <c r="I1195" s="7">
        <f t="shared" si="276"/>
        <v>-5.8650030372938735</v>
      </c>
      <c r="J1195" s="7">
        <f t="shared" si="277"/>
        <v>-68.216750601849441</v>
      </c>
      <c r="K1195" s="8">
        <f t="shared" si="281"/>
        <v>226.22154572419225</v>
      </c>
      <c r="L1195" s="8">
        <f t="shared" si="282"/>
        <v>-9.5013049204160733</v>
      </c>
      <c r="M1195" s="8">
        <f t="shared" si="279"/>
        <v>110.51113597499608</v>
      </c>
      <c r="N1195" s="8">
        <f t="shared" si="283"/>
        <v>25.000000000000004</v>
      </c>
      <c r="O1195" s="8">
        <f t="shared" si="284"/>
        <v>27.149399885493398</v>
      </c>
    </row>
    <row r="1196" spans="1:15" x14ac:dyDescent="0.3">
      <c r="A1196" s="5">
        <f t="shared" si="270"/>
        <v>11.879999999999791</v>
      </c>
      <c r="B1196" s="5">
        <f t="shared" si="280"/>
        <v>119.95379086503921</v>
      </c>
      <c r="C1196" s="6">
        <f t="shared" si="278"/>
        <v>4626.7890762229408</v>
      </c>
      <c r="D1196" s="6">
        <f t="shared" si="271"/>
        <v>21407177.155855935</v>
      </c>
      <c r="E1196" s="7">
        <f t="shared" si="272"/>
        <v>6248571.4285714282</v>
      </c>
      <c r="F1196" s="7">
        <f t="shared" si="273"/>
        <v>124.97142857142855</v>
      </c>
      <c r="G1196" s="7">
        <f t="shared" si="274"/>
        <v>15158605.727284506</v>
      </c>
      <c r="H1196" s="6">
        <f t="shared" si="275"/>
        <v>3893.4054152225794</v>
      </c>
      <c r="I1196" s="7">
        <f t="shared" si="276"/>
        <v>-5.8684106390060933</v>
      </c>
      <c r="J1196" s="7">
        <f t="shared" si="277"/>
        <v>-68.177139277684788</v>
      </c>
      <c r="K1196" s="8">
        <f t="shared" si="281"/>
        <v>226.35298179023502</v>
      </c>
      <c r="L1196" s="8">
        <f t="shared" si="282"/>
        <v>-9.5068252351898703</v>
      </c>
      <c r="M1196" s="8">
        <f t="shared" si="279"/>
        <v>110.44696562984934</v>
      </c>
      <c r="N1196" s="8">
        <f t="shared" si="283"/>
        <v>25.000000000000004</v>
      </c>
      <c r="O1196" s="8">
        <f t="shared" si="284"/>
        <v>27.151898239343883</v>
      </c>
    </row>
    <row r="1197" spans="1:15" x14ac:dyDescent="0.3">
      <c r="A1197" s="5">
        <f t="shared" si="270"/>
        <v>11.889999999999791</v>
      </c>
      <c r="B1197" s="5">
        <f t="shared" si="280"/>
        <v>119.89510675864915</v>
      </c>
      <c r="C1197" s="6">
        <f t="shared" si="278"/>
        <v>4624.5255464050388</v>
      </c>
      <c r="D1197" s="6">
        <f t="shared" si="271"/>
        <v>21386236.529352821</v>
      </c>
      <c r="E1197" s="7">
        <f t="shared" si="272"/>
        <v>6248571.4285714282</v>
      </c>
      <c r="F1197" s="7">
        <f t="shared" si="273"/>
        <v>124.97142857142855</v>
      </c>
      <c r="G1197" s="7">
        <f t="shared" si="274"/>
        <v>15137665.100781392</v>
      </c>
      <c r="H1197" s="6">
        <f t="shared" si="275"/>
        <v>3890.7152428289314</v>
      </c>
      <c r="I1197" s="7">
        <f t="shared" si="276"/>
        <v>-5.8718245599368455</v>
      </c>
      <c r="J1197" s="7">
        <f t="shared" si="277"/>
        <v>-68.13750059972314</v>
      </c>
      <c r="K1197" s="8">
        <f t="shared" si="281"/>
        <v>226.48466159756404</v>
      </c>
      <c r="L1197" s="8">
        <f t="shared" si="282"/>
        <v>-9.5123557870976896</v>
      </c>
      <c r="M1197" s="8">
        <f t="shared" si="279"/>
        <v>110.38275097155146</v>
      </c>
      <c r="N1197" s="8">
        <f t="shared" si="283"/>
        <v>25.000000000000014</v>
      </c>
      <c r="O1197" s="8">
        <f t="shared" si="284"/>
        <v>27.154402681436466</v>
      </c>
    </row>
    <row r="1198" spans="1:15" x14ac:dyDescent="0.3">
      <c r="A1198" s="5">
        <f t="shared" si="270"/>
        <v>11.899999999999791</v>
      </c>
      <c r="B1198" s="5">
        <f t="shared" si="280"/>
        <v>119.83638851304978</v>
      </c>
      <c r="C1198" s="6">
        <f t="shared" si="278"/>
        <v>4622.2606997890625</v>
      </c>
      <c r="D1198" s="6">
        <f t="shared" si="271"/>
        <v>21365293.976814475</v>
      </c>
      <c r="E1198" s="7">
        <f t="shared" si="272"/>
        <v>6248571.4285714282</v>
      </c>
      <c r="F1198" s="7">
        <f t="shared" si="273"/>
        <v>124.97142857142855</v>
      </c>
      <c r="G1198" s="7">
        <f t="shared" si="274"/>
        <v>15116722.548243046</v>
      </c>
      <c r="H1198" s="6">
        <f t="shared" si="275"/>
        <v>3888.0229613832075</v>
      </c>
      <c r="I1198" s="7">
        <f t="shared" si="276"/>
        <v>-5.8752448203486347</v>
      </c>
      <c r="J1198" s="7">
        <f t="shared" si="277"/>
        <v>-68.097834508694447</v>
      </c>
      <c r="K1198" s="8">
        <f t="shared" si="281"/>
        <v>226.61658592773304</v>
      </c>
      <c r="L1198" s="8">
        <f t="shared" si="282"/>
        <v>-9.5178966089647865</v>
      </c>
      <c r="M1198" s="8">
        <f t="shared" si="279"/>
        <v>110.31849190408499</v>
      </c>
      <c r="N1198" s="8">
        <f t="shared" si="283"/>
        <v>25</v>
      </c>
      <c r="O1198" s="8">
        <f t="shared" si="284"/>
        <v>27.156913234736749</v>
      </c>
    </row>
    <row r="1199" spans="1:15" x14ac:dyDescent="0.3">
      <c r="A1199" s="5">
        <f t="shared" si="270"/>
        <v>11.909999999999791</v>
      </c>
      <c r="B1199" s="5">
        <f t="shared" si="280"/>
        <v>119.77763606484629</v>
      </c>
      <c r="C1199" s="6">
        <f t="shared" si="278"/>
        <v>4619.9945339297856</v>
      </c>
      <c r="D1199" s="6">
        <f t="shared" si="271"/>
        <v>21344349.493541095</v>
      </c>
      <c r="E1199" s="7">
        <f t="shared" si="272"/>
        <v>6248571.4285714282</v>
      </c>
      <c r="F1199" s="7">
        <f t="shared" si="273"/>
        <v>124.97142857142855</v>
      </c>
      <c r="G1199" s="7">
        <f t="shared" si="274"/>
        <v>15095778.064969666</v>
      </c>
      <c r="H1199" s="6">
        <f t="shared" si="275"/>
        <v>3885.3285658962827</v>
      </c>
      <c r="I1199" s="7">
        <f t="shared" si="276"/>
        <v>-5.8786714405973033</v>
      </c>
      <c r="J1199" s="7">
        <f t="shared" si="277"/>
        <v>-68.058140945110296</v>
      </c>
      <c r="K1199" s="8">
        <f t="shared" si="281"/>
        <v>226.74875556589598</v>
      </c>
      <c r="L1199" s="8">
        <f t="shared" si="282"/>
        <v>-9.5234477337676307</v>
      </c>
      <c r="M1199" s="8">
        <f t="shared" si="279"/>
        <v>110.25418833107867</v>
      </c>
      <c r="N1199" s="8">
        <f t="shared" si="283"/>
        <v>25.000000000000018</v>
      </c>
      <c r="O1199" s="8">
        <f t="shared" si="284"/>
        <v>27.15942992232868</v>
      </c>
    </row>
    <row r="1200" spans="1:15" x14ac:dyDescent="0.3">
      <c r="A1200" s="5">
        <f t="shared" si="270"/>
        <v>11.91999999999979</v>
      </c>
      <c r="B1200" s="5">
        <f t="shared" si="280"/>
        <v>119.71884935044032</v>
      </c>
      <c r="C1200" s="6">
        <f t="shared" si="278"/>
        <v>4617.7270463741261</v>
      </c>
      <c r="D1200" s="6">
        <f t="shared" si="271"/>
        <v>21323403.074815109</v>
      </c>
      <c r="E1200" s="7">
        <f t="shared" si="272"/>
        <v>6248571.4285714282</v>
      </c>
      <c r="F1200" s="7">
        <f t="shared" si="273"/>
        <v>124.97142857142855</v>
      </c>
      <c r="G1200" s="7">
        <f t="shared" si="274"/>
        <v>15074831.64624368</v>
      </c>
      <c r="H1200" s="6">
        <f t="shared" si="275"/>
        <v>3882.6320513594487</v>
      </c>
      <c r="I1200" s="7">
        <f t="shared" si="276"/>
        <v>-5.8821044411325358</v>
      </c>
      <c r="J1200" s="7">
        <f t="shared" si="277"/>
        <v>-68.018419849262727</v>
      </c>
      <c r="K1200" s="8">
        <f t="shared" si="281"/>
        <v>226.88117130082637</v>
      </c>
      <c r="L1200" s="8">
        <f t="shared" si="282"/>
        <v>-9.5290091946347069</v>
      </c>
      <c r="M1200" s="8">
        <f t="shared" si="279"/>
        <v>110.18984015580561</v>
      </c>
      <c r="N1200" s="8">
        <f t="shared" si="283"/>
        <v>25.000000000000007</v>
      </c>
      <c r="O1200" s="8">
        <f t="shared" si="284"/>
        <v>27.161952767415077</v>
      </c>
    </row>
    <row r="1201" spans="1:15" x14ac:dyDescent="0.3">
      <c r="A1201" s="5">
        <f t="shared" si="270"/>
        <v>11.92999999999979</v>
      </c>
      <c r="B1201" s="5">
        <f t="shared" si="280"/>
        <v>119.66002830602899</v>
      </c>
      <c r="C1201" s="6">
        <f t="shared" si="278"/>
        <v>4615.4582346611178</v>
      </c>
      <c r="D1201" s="6">
        <f t="shared" si="271"/>
        <v>21302454.715901121</v>
      </c>
      <c r="E1201" s="7">
        <f t="shared" si="272"/>
        <v>6248571.4285714282</v>
      </c>
      <c r="F1201" s="7">
        <f t="shared" si="273"/>
        <v>124.97142857142855</v>
      </c>
      <c r="G1201" s="7">
        <f t="shared" si="274"/>
        <v>15053883.287329692</v>
      </c>
      <c r="H1201" s="6">
        <f t="shared" si="275"/>
        <v>3879.933412744308</v>
      </c>
      <c r="I1201" s="7">
        <f t="shared" si="276"/>
        <v>-5.8855438424984792</v>
      </c>
      <c r="J1201" s="7">
        <f t="shared" si="277"/>
        <v>-67.978671161223133</v>
      </c>
      <c r="K1201" s="8">
        <f t="shared" si="281"/>
        <v>227.01383392494134</v>
      </c>
      <c r="L1201" s="8">
        <f t="shared" si="282"/>
        <v>-9.5345810248475349</v>
      </c>
      <c r="M1201" s="8">
        <f t="shared" si="279"/>
        <v>110.12544728118145</v>
      </c>
      <c r="N1201" s="8">
        <f t="shared" si="283"/>
        <v>25.000000000000007</v>
      </c>
      <c r="O1201" s="8">
        <f t="shared" si="284"/>
        <v>27.164481793318647</v>
      </c>
    </row>
    <row r="1202" spans="1:15" x14ac:dyDescent="0.3">
      <c r="A1202" s="5">
        <f t="shared" si="270"/>
        <v>11.93999999999979</v>
      </c>
      <c r="B1202" s="5">
        <f t="shared" si="280"/>
        <v>119.60117286760401</v>
      </c>
      <c r="C1202" s="6">
        <f t="shared" si="278"/>
        <v>4613.1880963218682</v>
      </c>
      <c r="D1202" s="6">
        <f t="shared" si="271"/>
        <v>21281504.412045784</v>
      </c>
      <c r="E1202" s="7">
        <f t="shared" si="272"/>
        <v>6248571.4285714282</v>
      </c>
      <c r="F1202" s="7">
        <f t="shared" si="273"/>
        <v>124.97142857142855</v>
      </c>
      <c r="G1202" s="7">
        <f t="shared" si="274"/>
        <v>15032932.983474355</v>
      </c>
      <c r="H1202" s="6">
        <f t="shared" si="275"/>
        <v>3877.232645002664</v>
      </c>
      <c r="I1202" s="7">
        <f t="shared" si="276"/>
        <v>-5.8889896653342833</v>
      </c>
      <c r="J1202" s="7">
        <f t="shared" si="277"/>
        <v>-67.938894820841028</v>
      </c>
      <c r="K1202" s="8">
        <f t="shared" si="281"/>
        <v>227.14674423432234</v>
      </c>
      <c r="L1202" s="8">
        <f t="shared" si="282"/>
        <v>-9.5401632578415381</v>
      </c>
      <c r="M1202" s="8">
        <f t="shared" si="279"/>
        <v>110.06100960976246</v>
      </c>
      <c r="N1202" s="8">
        <f t="shared" si="283"/>
        <v>25.000000000000007</v>
      </c>
      <c r="O1202" s="8">
        <f t="shared" si="284"/>
        <v>27.167017023482618</v>
      </c>
    </row>
    <row r="1203" spans="1:15" x14ac:dyDescent="0.3">
      <c r="A1203" s="5">
        <f t="shared" si="270"/>
        <v>11.94999999999979</v>
      </c>
      <c r="B1203" s="5">
        <f t="shared" si="280"/>
        <v>119.54228297095067</v>
      </c>
      <c r="C1203" s="6">
        <f t="shared" si="278"/>
        <v>4610.9166288795259</v>
      </c>
      <c r="D1203" s="6">
        <f t="shared" si="271"/>
        <v>21260552.158477731</v>
      </c>
      <c r="E1203" s="7">
        <f t="shared" si="272"/>
        <v>6248571.4285714282</v>
      </c>
      <c r="F1203" s="7">
        <f t="shared" si="273"/>
        <v>124.97142857142855</v>
      </c>
      <c r="G1203" s="7">
        <f t="shared" si="274"/>
        <v>15011980.729906302</v>
      </c>
      <c r="H1203" s="6">
        <f t="shared" si="275"/>
        <v>3874.5297430664154</v>
      </c>
      <c r="I1203" s="7">
        <f t="shared" si="276"/>
        <v>-5.8924419303746847</v>
      </c>
      <c r="J1203" s="7">
        <f t="shared" si="277"/>
        <v>-67.899090767743033</v>
      </c>
      <c r="K1203" s="8">
        <f t="shared" si="281"/>
        <v>227.27990302873783</v>
      </c>
      <c r="L1203" s="8">
        <f t="shared" si="282"/>
        <v>-9.5457559272069883</v>
      </c>
      <c r="M1203" s="8">
        <f t="shared" si="279"/>
        <v>109.99652704374368</v>
      </c>
      <c r="N1203" s="8">
        <f t="shared" si="283"/>
        <v>25.000000000000004</v>
      </c>
      <c r="O1203" s="8">
        <f t="shared" si="284"/>
        <v>27.169558481471604</v>
      </c>
    </row>
    <row r="1204" spans="1:15" x14ac:dyDescent="0.3">
      <c r="A1204" s="5">
        <f t="shared" si="270"/>
        <v>11.959999999999789</v>
      </c>
      <c r="B1204" s="5">
        <f t="shared" si="280"/>
        <v>119.48335855164692</v>
      </c>
      <c r="C1204" s="6">
        <f t="shared" si="278"/>
        <v>4608.6438298492376</v>
      </c>
      <c r="D1204" s="6">
        <f t="shared" si="271"/>
        <v>21239597.950407449</v>
      </c>
      <c r="E1204" s="7">
        <f t="shared" si="272"/>
        <v>6248571.4285714282</v>
      </c>
      <c r="F1204" s="7">
        <f t="shared" si="273"/>
        <v>124.97142857142855</v>
      </c>
      <c r="G1204" s="7">
        <f t="shared" si="274"/>
        <v>14991026.52183602</v>
      </c>
      <c r="H1204" s="6">
        <f t="shared" si="275"/>
        <v>3871.8247018474403</v>
      </c>
      <c r="I1204" s="7">
        <f t="shared" si="276"/>
        <v>-5.8959006584505964</v>
      </c>
      <c r="J1204" s="7">
        <f t="shared" si="277"/>
        <v>-67.859258941331461</v>
      </c>
      <c r="K1204" s="8">
        <f t="shared" si="281"/>
        <v>227.41331111166585</v>
      </c>
      <c r="L1204" s="8">
        <f t="shared" si="282"/>
        <v>-9.5513590666899653</v>
      </c>
      <c r="M1204" s="8">
        <f t="shared" si="279"/>
        <v>109.93199948495695</v>
      </c>
      <c r="N1204" s="8">
        <f t="shared" si="283"/>
        <v>25.000000000000004</v>
      </c>
      <c r="O1204" s="8">
        <f t="shared" si="284"/>
        <v>27.1721061909724</v>
      </c>
    </row>
    <row r="1205" spans="1:15" x14ac:dyDescent="0.3">
      <c r="A1205" s="5">
        <f t="shared" ref="A1205:A1268" si="285">A1204+$B$5</f>
        <v>11.969999999999789</v>
      </c>
      <c r="B1205" s="5">
        <f t="shared" si="280"/>
        <v>119.42439954506241</v>
      </c>
      <c r="C1205" s="6">
        <f t="shared" si="278"/>
        <v>4606.3696967381211</v>
      </c>
      <c r="D1205" s="6">
        <f t="shared" ref="D1205:D1268" si="286">POWER(C1205,2)</f>
        <v>21218641.78302725</v>
      </c>
      <c r="E1205" s="7">
        <f t="shared" ref="E1205:E1268" si="287">4*$B$2*$B$3*POWER($B$1,2)</f>
        <v>6248571.4285714282</v>
      </c>
      <c r="F1205" s="7">
        <f t="shared" ref="F1205:F1268" si="288">POWER($B$1,2)*2*$B$2</f>
        <v>124.97142857142855</v>
      </c>
      <c r="G1205" s="7">
        <f t="shared" ref="G1205:G1268" si="289">D1205-E1205</f>
        <v>14970070.354455821</v>
      </c>
      <c r="H1205" s="6">
        <f t="shared" ref="H1205:H1268" si="290">SQRT(G1205)</f>
        <v>3869.1175162374975</v>
      </c>
      <c r="I1205" s="7">
        <f t="shared" ref="I1205:I1268" si="291">(-C1205+H1205)/F1205</f>
        <v>-5.8993658704896728</v>
      </c>
      <c r="J1205" s="7">
        <f t="shared" ref="J1205:J1268" si="292">(-C1205-H1205)/F1205</f>
        <v>-67.819399280783429</v>
      </c>
      <c r="K1205" s="8">
        <f t="shared" si="281"/>
        <v>227.54696929031593</v>
      </c>
      <c r="L1205" s="8">
        <f t="shared" si="282"/>
        <v>-9.5569727101932678</v>
      </c>
      <c r="M1205" s="8">
        <f t="shared" si="279"/>
        <v>109.86742683486915</v>
      </c>
      <c r="N1205" s="8">
        <f t="shared" si="283"/>
        <v>25.000000000000004</v>
      </c>
      <c r="O1205" s="8">
        <f t="shared" si="284"/>
        <v>27.174660175794735</v>
      </c>
    </row>
    <row r="1206" spans="1:15" x14ac:dyDescent="0.3">
      <c r="A1206" s="5">
        <f t="shared" si="285"/>
        <v>11.979999999999789</v>
      </c>
      <c r="B1206" s="5">
        <f t="shared" si="280"/>
        <v>119.36540588635752</v>
      </c>
      <c r="C1206" s="6">
        <f t="shared" si="278"/>
        <v>4604.0942270452188</v>
      </c>
      <c r="D1206" s="6">
        <f t="shared" si="286"/>
        <v>21197683.65151111</v>
      </c>
      <c r="E1206" s="7">
        <f t="shared" si="287"/>
        <v>6248571.4285714282</v>
      </c>
      <c r="F1206" s="7">
        <f t="shared" si="288"/>
        <v>124.97142857142855</v>
      </c>
      <c r="G1206" s="7">
        <f t="shared" si="289"/>
        <v>14949112.222939681</v>
      </c>
      <c r="H1206" s="6">
        <f t="shared" si="290"/>
        <v>3866.4081811081046</v>
      </c>
      <c r="I1206" s="7">
        <f t="shared" si="291"/>
        <v>-5.9028375875169186</v>
      </c>
      <c r="J1206" s="7">
        <f t="shared" si="292"/>
        <v>-67.77951172504946</v>
      </c>
      <c r="K1206" s="8">
        <f t="shared" si="281"/>
        <v>227.68087837565255</v>
      </c>
      <c r="L1206" s="8">
        <f t="shared" si="282"/>
        <v>-9.5625968917774067</v>
      </c>
      <c r="M1206" s="8">
        <f t="shared" si="279"/>
        <v>109.80280899458012</v>
      </c>
      <c r="N1206" s="8">
        <f t="shared" si="283"/>
        <v>25.000000000000004</v>
      </c>
      <c r="O1206" s="8">
        <f t="shared" si="284"/>
        <v>27.177220459872171</v>
      </c>
    </row>
    <row r="1207" spans="1:15" x14ac:dyDescent="0.3">
      <c r="A1207" s="5">
        <f t="shared" si="285"/>
        <v>11.989999999999789</v>
      </c>
      <c r="B1207" s="5">
        <f t="shared" si="280"/>
        <v>119.30637751048235</v>
      </c>
      <c r="C1207" s="6">
        <f t="shared" si="278"/>
        <v>4601.8174182614621</v>
      </c>
      <c r="D1207" s="6">
        <f t="shared" si="286"/>
        <v>21176723.551014587</v>
      </c>
      <c r="E1207" s="7">
        <f t="shared" si="287"/>
        <v>6248571.4285714282</v>
      </c>
      <c r="F1207" s="7">
        <f t="shared" si="288"/>
        <v>124.97142857142855</v>
      </c>
      <c r="G1207" s="7">
        <f t="shared" si="289"/>
        <v>14928152.122443158</v>
      </c>
      <c r="H1207" s="6">
        <f t="shared" si="290"/>
        <v>3863.6966913104293</v>
      </c>
      <c r="I1207" s="7">
        <f t="shared" si="291"/>
        <v>-5.9063158306552701</v>
      </c>
      <c r="J1207" s="7">
        <f t="shared" si="292"/>
        <v>-67.739596212852376</v>
      </c>
      <c r="K1207" s="8">
        <f t="shared" si="281"/>
        <v>227.81503918241754</v>
      </c>
      <c r="L1207" s="8">
        <f t="shared" si="282"/>
        <v>-9.5682316456615357</v>
      </c>
      <c r="M1207" s="8">
        <f t="shared" si="279"/>
        <v>109.73814586482081</v>
      </c>
      <c r="N1207" s="8">
        <f t="shared" si="283"/>
        <v>25.000000000000004</v>
      </c>
      <c r="O1207" s="8">
        <f t="shared" si="284"/>
        <v>27.179787067262833</v>
      </c>
    </row>
    <row r="1208" spans="1:15" x14ac:dyDescent="0.3">
      <c r="A1208" s="5">
        <f t="shared" si="285"/>
        <v>11.999999999999789</v>
      </c>
      <c r="B1208" s="5">
        <f t="shared" si="280"/>
        <v>119.24731435217579</v>
      </c>
      <c r="C1208" s="6">
        <f t="shared" si="278"/>
        <v>4599.5392678696371</v>
      </c>
      <c r="D1208" s="6">
        <f t="shared" si="286"/>
        <v>21155761.476674758</v>
      </c>
      <c r="E1208" s="7">
        <f t="shared" si="287"/>
        <v>6248571.4285714282</v>
      </c>
      <c r="F1208" s="7">
        <f t="shared" si="288"/>
        <v>124.97142857142855</v>
      </c>
      <c r="G1208" s="7">
        <f t="shared" si="289"/>
        <v>14907190.048103329</v>
      </c>
      <c r="H1208" s="6">
        <f t="shared" si="290"/>
        <v>3860.9830416751806</v>
      </c>
      <c r="I1208" s="7">
        <f t="shared" si="291"/>
        <v>-5.9098006211261964</v>
      </c>
      <c r="J1208" s="7">
        <f t="shared" si="292"/>
        <v>-67.699652682686036</v>
      </c>
      <c r="K1208" s="8">
        <f t="shared" si="281"/>
        <v>227.94945252915329</v>
      </c>
      <c r="L1208" s="8">
        <f t="shared" si="282"/>
        <v>-9.5738770062244374</v>
      </c>
      <c r="M1208" s="8">
        <f t="shared" si="279"/>
        <v>109.67343734595136</v>
      </c>
      <c r="N1208" s="8">
        <f t="shared" si="283"/>
        <v>25.000000000000007</v>
      </c>
      <c r="O1208" s="8">
        <f t="shared" si="284"/>
        <v>27.182360022150316</v>
      </c>
    </row>
    <row r="1209" spans="1:15" x14ac:dyDescent="0.3">
      <c r="A1209" s="5">
        <f t="shared" si="285"/>
        <v>12.009999999999788</v>
      </c>
      <c r="B1209" s="5">
        <f t="shared" si="280"/>
        <v>119.18821634596453</v>
      </c>
      <c r="C1209" s="6">
        <f t="shared" si="278"/>
        <v>4597.2597733443463</v>
      </c>
      <c r="D1209" s="6">
        <f t="shared" si="286"/>
        <v>21134797.42361011</v>
      </c>
      <c r="E1209" s="7">
        <f t="shared" si="287"/>
        <v>6248571.4285714282</v>
      </c>
      <c r="F1209" s="7">
        <f t="shared" si="288"/>
        <v>124.97142857142855</v>
      </c>
      <c r="G1209" s="7">
        <f t="shared" si="289"/>
        <v>14886225.995038681</v>
      </c>
      <c r="H1209" s="6">
        <f t="shared" si="290"/>
        <v>3858.267227012494</v>
      </c>
      <c r="I1209" s="7">
        <f t="shared" si="291"/>
        <v>-5.913291980250305</v>
      </c>
      <c r="J1209" s="7">
        <f t="shared" si="292"/>
        <v>-67.659681072814237</v>
      </c>
      <c r="K1209" s="8">
        <f t="shared" si="281"/>
        <v>228.08411923822604</v>
      </c>
      <c r="L1209" s="8">
        <f t="shared" si="282"/>
        <v>-9.5795330080054928</v>
      </c>
      <c r="M1209" s="8">
        <f t="shared" si="279"/>
        <v>109.60868333795904</v>
      </c>
      <c r="N1209" s="8">
        <f t="shared" si="283"/>
        <v>25.000000000000007</v>
      </c>
      <c r="O1209" s="8">
        <f t="shared" si="284"/>
        <v>27.184939348844456</v>
      </c>
    </row>
    <row r="1210" spans="1:15" x14ac:dyDescent="0.3">
      <c r="A1210" s="5">
        <f t="shared" si="285"/>
        <v>12.019999999999788</v>
      </c>
      <c r="B1210" s="5">
        <f t="shared" si="280"/>
        <v>119.12908342616203</v>
      </c>
      <c r="C1210" s="6">
        <f t="shared" si="278"/>
        <v>4594.9789321519638</v>
      </c>
      <c r="D1210" s="6">
        <f t="shared" si="286"/>
        <v>21113831.3869204</v>
      </c>
      <c r="E1210" s="7">
        <f t="shared" si="287"/>
        <v>6248571.4285714282</v>
      </c>
      <c r="F1210" s="7">
        <f t="shared" si="288"/>
        <v>124.97142857142855</v>
      </c>
      <c r="G1210" s="7">
        <f t="shared" si="289"/>
        <v>14865259.958348971</v>
      </c>
      <c r="H1210" s="6">
        <f t="shared" si="290"/>
        <v>3855.5492421118124</v>
      </c>
      <c r="I1210" s="7">
        <f t="shared" si="291"/>
        <v>-5.9167899294479431</v>
      </c>
      <c r="J1210" s="7">
        <f t="shared" si="292"/>
        <v>-67.619681321269368</v>
      </c>
      <c r="K1210" s="8">
        <f t="shared" si="281"/>
        <v>228.21904013584921</v>
      </c>
      <c r="L1210" s="8">
        <f t="shared" si="282"/>
        <v>-9.5851996857056658</v>
      </c>
      <c r="M1210" s="8">
        <f t="shared" si="279"/>
        <v>109.54388374045637</v>
      </c>
      <c r="N1210" s="8">
        <f t="shared" si="283"/>
        <v>25.000000000000011</v>
      </c>
      <c r="O1210" s="8">
        <f t="shared" si="284"/>
        <v>27.187525071782201</v>
      </c>
    </row>
    <row r="1211" spans="1:15" x14ac:dyDescent="0.3">
      <c r="A1211" s="5">
        <f t="shared" si="285"/>
        <v>12.029999999999788</v>
      </c>
      <c r="B1211" s="5">
        <f t="shared" si="280"/>
        <v>119.06991552686755</v>
      </c>
      <c r="C1211" s="6">
        <f t="shared" si="278"/>
        <v>4592.6967417506048</v>
      </c>
      <c r="D1211" s="6">
        <f t="shared" si="286"/>
        <v>21092863.361686621</v>
      </c>
      <c r="E1211" s="7">
        <f t="shared" si="287"/>
        <v>6248571.4285714282</v>
      </c>
      <c r="F1211" s="7">
        <f t="shared" si="288"/>
        <v>124.97142857142855</v>
      </c>
      <c r="G1211" s="7">
        <f t="shared" si="289"/>
        <v>14844291.933115192</v>
      </c>
      <c r="H1211" s="6">
        <f t="shared" si="290"/>
        <v>3852.8290817417778</v>
      </c>
      <c r="I1211" s="7">
        <f t="shared" si="291"/>
        <v>-5.9202944902398151</v>
      </c>
      <c r="J1211" s="7">
        <f t="shared" si="292"/>
        <v>-67.579653365851271</v>
      </c>
      <c r="K1211" s="8">
        <f t="shared" si="281"/>
        <v>228.35421605210715</v>
      </c>
      <c r="L1211" s="8">
        <f t="shared" si="282"/>
        <v>-9.5908770741884997</v>
      </c>
      <c r="M1211" s="8">
        <f t="shared" si="279"/>
        <v>109.47903845267905</v>
      </c>
      <c r="N1211" s="8">
        <f t="shared" si="283"/>
        <v>25.000000000000018</v>
      </c>
      <c r="O1211" s="8">
        <f t="shared" si="284"/>
        <v>27.19011721552846</v>
      </c>
    </row>
    <row r="1212" spans="1:15" x14ac:dyDescent="0.3">
      <c r="A1212" s="5">
        <f t="shared" si="285"/>
        <v>12.039999999999788</v>
      </c>
      <c r="B1212" s="5">
        <f t="shared" si="280"/>
        <v>119.01071258196515</v>
      </c>
      <c r="C1212" s="6">
        <f t="shared" si="278"/>
        <v>4590.4131995900843</v>
      </c>
      <c r="D1212" s="6">
        <f t="shared" si="286"/>
        <v>21071893.342970874</v>
      </c>
      <c r="E1212" s="7">
        <f t="shared" si="287"/>
        <v>6248571.4285714282</v>
      </c>
      <c r="F1212" s="7">
        <f t="shared" si="288"/>
        <v>124.97142857142855</v>
      </c>
      <c r="G1212" s="7">
        <f t="shared" si="289"/>
        <v>14823321.914399445</v>
      </c>
      <c r="H1212" s="6">
        <f t="shared" si="290"/>
        <v>3850.1067406501143</v>
      </c>
      <c r="I1212" s="7">
        <f t="shared" si="291"/>
        <v>-5.9238056842475899</v>
      </c>
      <c r="J1212" s="7">
        <f t="shared" si="292"/>
        <v>-67.539597144125977</v>
      </c>
      <c r="K1212" s="8">
        <f t="shared" si="281"/>
        <v>228.48964782097846</v>
      </c>
      <c r="L1212" s="8">
        <f t="shared" si="282"/>
        <v>-9.5965652084810937</v>
      </c>
      <c r="M1212" s="8">
        <f t="shared" si="279"/>
        <v>109.41414737348406</v>
      </c>
      <c r="N1212" s="8">
        <f t="shared" si="283"/>
        <v>25.000000000000007</v>
      </c>
      <c r="O1212" s="8">
        <f t="shared" si="284"/>
        <v>27.19271580477691</v>
      </c>
    </row>
    <row r="1213" spans="1:15" x14ac:dyDescent="0.3">
      <c r="A1213" s="5">
        <f t="shared" si="285"/>
        <v>12.049999999999788</v>
      </c>
      <c r="B1213" s="5">
        <f t="shared" si="280"/>
        <v>118.95147452512268</v>
      </c>
      <c r="C1213" s="6">
        <f t="shared" si="278"/>
        <v>4588.1283031118746</v>
      </c>
      <c r="D1213" s="6">
        <f t="shared" si="286"/>
        <v>21050921.325816251</v>
      </c>
      <c r="E1213" s="7">
        <f t="shared" si="287"/>
        <v>6248571.4285714282</v>
      </c>
      <c r="F1213" s="7">
        <f t="shared" si="288"/>
        <v>124.97142857142855</v>
      </c>
      <c r="G1213" s="7">
        <f t="shared" si="289"/>
        <v>14802349.897244822</v>
      </c>
      <c r="H1213" s="6">
        <f t="shared" si="290"/>
        <v>3847.382213563506</v>
      </c>
      <c r="I1213" s="7">
        <f t="shared" si="291"/>
        <v>-5.9273235331945378</v>
      </c>
      <c r="J1213" s="7">
        <f t="shared" si="292"/>
        <v>-67.499512593424413</v>
      </c>
      <c r="K1213" s="8">
        <f t="shared" si="281"/>
        <v>228.62533628036073</v>
      </c>
      <c r="L1213" s="8">
        <f t="shared" si="282"/>
        <v>-9.60226412377515</v>
      </c>
      <c r="M1213" s="8">
        <f t="shared" si="279"/>
        <v>109.34921040134753</v>
      </c>
      <c r="N1213" s="8">
        <f t="shared" si="283"/>
        <v>25</v>
      </c>
      <c r="O1213" s="8">
        <f t="shared" si="284"/>
        <v>27.195320864350936</v>
      </c>
    </row>
    <row r="1214" spans="1:15" x14ac:dyDescent="0.3">
      <c r="A1214" s="5">
        <f t="shared" si="285"/>
        <v>12.059999999999787</v>
      </c>
      <c r="B1214" s="5">
        <f t="shared" si="280"/>
        <v>118.89220128979073</v>
      </c>
      <c r="C1214" s="6">
        <f t="shared" si="278"/>
        <v>4585.8420497490706</v>
      </c>
      <c r="D1214" s="6">
        <f t="shared" si="286"/>
        <v>21029947.305246759</v>
      </c>
      <c r="E1214" s="7">
        <f t="shared" si="287"/>
        <v>6248571.4285714282</v>
      </c>
      <c r="F1214" s="7">
        <f t="shared" si="288"/>
        <v>124.97142857142855</v>
      </c>
      <c r="G1214" s="7">
        <f t="shared" si="289"/>
        <v>14781375.87667533</v>
      </c>
      <c r="H1214" s="6">
        <f t="shared" si="290"/>
        <v>3844.6554951874855</v>
      </c>
      <c r="I1214" s="7">
        <f t="shared" si="291"/>
        <v>-5.9308480589061467</v>
      </c>
      <c r="J1214" s="7">
        <f t="shared" si="292"/>
        <v>-67.45939965084122</v>
      </c>
      <c r="K1214" s="8">
        <f t="shared" si="281"/>
        <v>228.76128227209421</v>
      </c>
      <c r="L1214" s="8">
        <f t="shared" si="282"/>
        <v>-9.6079738554279555</v>
      </c>
      <c r="M1214" s="8">
        <f t="shared" si="279"/>
        <v>109.28422743436278</v>
      </c>
      <c r="N1214" s="8">
        <f t="shared" si="283"/>
        <v>25.000000000000004</v>
      </c>
      <c r="O1214" s="8">
        <f t="shared" si="284"/>
        <v>27.197932419204463</v>
      </c>
    </row>
    <row r="1215" spans="1:15" x14ac:dyDescent="0.3">
      <c r="A1215" s="5">
        <f t="shared" si="285"/>
        <v>12.069999999999787</v>
      </c>
      <c r="B1215" s="5">
        <f t="shared" si="280"/>
        <v>118.83289280920167</v>
      </c>
      <c r="C1215" s="6">
        <f t="shared" si="278"/>
        <v>4583.5544369263498</v>
      </c>
      <c r="D1215" s="6">
        <f t="shared" si="286"/>
        <v>21008971.276267227</v>
      </c>
      <c r="E1215" s="7">
        <f t="shared" si="287"/>
        <v>6248571.4285714282</v>
      </c>
      <c r="F1215" s="7">
        <f t="shared" si="288"/>
        <v>124.97142857142855</v>
      </c>
      <c r="G1215" s="7">
        <f t="shared" si="289"/>
        <v>14760399.847695798</v>
      </c>
      <c r="H1215" s="6">
        <f t="shared" si="290"/>
        <v>3841.926580206316</v>
      </c>
      <c r="I1215" s="7">
        <f t="shared" si="291"/>
        <v>-5.9343792833107427</v>
      </c>
      <c r="J1215" s="7">
        <f t="shared" si="292"/>
        <v>-67.419258253233508</v>
      </c>
      <c r="K1215" s="8">
        <f t="shared" si="281"/>
        <v>228.89748664198578</v>
      </c>
      <c r="L1215" s="8">
        <f t="shared" si="282"/>
        <v>-9.6136944389634014</v>
      </c>
      <c r="M1215" s="8">
        <f t="shared" si="279"/>
        <v>109.21919837023826</v>
      </c>
      <c r="N1215" s="8">
        <f t="shared" si="283"/>
        <v>25.000000000000007</v>
      </c>
      <c r="O1215" s="8">
        <f t="shared" si="284"/>
        <v>27.200550494422764</v>
      </c>
    </row>
    <row r="1216" spans="1:15" x14ac:dyDescent="0.3">
      <c r="A1216" s="5">
        <f t="shared" si="285"/>
        <v>12.079999999999787</v>
      </c>
      <c r="B1216" s="5">
        <f t="shared" si="280"/>
        <v>118.77354901636856</v>
      </c>
      <c r="C1216" s="6">
        <f t="shared" si="278"/>
        <v>4581.2654620599296</v>
      </c>
      <c r="D1216" s="6">
        <f t="shared" si="286"/>
        <v>20987993.233863182</v>
      </c>
      <c r="E1216" s="7">
        <f t="shared" si="287"/>
        <v>6248571.4285714282</v>
      </c>
      <c r="F1216" s="7">
        <f t="shared" si="288"/>
        <v>124.97142857142855</v>
      </c>
      <c r="G1216" s="7">
        <f t="shared" si="289"/>
        <v>14739421.805291753</v>
      </c>
      <c r="H1216" s="6">
        <f t="shared" si="290"/>
        <v>3839.1954632828679</v>
      </c>
      <c r="I1216" s="7">
        <f t="shared" si="291"/>
        <v>-5.9379172284401385</v>
      </c>
      <c r="J1216" s="7">
        <f t="shared" si="292"/>
        <v>-67.379088337219471</v>
      </c>
      <c r="K1216" s="8">
        <f t="shared" si="281"/>
        <v>229.0339502398339</v>
      </c>
      <c r="L1216" s="8">
        <f t="shared" si="282"/>
        <v>-9.6194259100730228</v>
      </c>
      <c r="M1216" s="8">
        <f t="shared" si="279"/>
        <v>109.15412310629554</v>
      </c>
      <c r="N1216" s="8">
        <f t="shared" si="283"/>
        <v>24.999999999999996</v>
      </c>
      <c r="O1216" s="8">
        <f t="shared" si="284"/>
        <v>27.203175115223427</v>
      </c>
    </row>
    <row r="1217" spans="1:15" x14ac:dyDescent="0.3">
      <c r="A1217" s="5">
        <f t="shared" si="285"/>
        <v>12.089999999999787</v>
      </c>
      <c r="B1217" s="5">
        <f t="shared" si="280"/>
        <v>118.71416984408417</v>
      </c>
      <c r="C1217" s="6">
        <f t="shared" si="278"/>
        <v>4578.9751225575319</v>
      </c>
      <c r="D1217" s="6">
        <f t="shared" si="286"/>
        <v>20967013.173000764</v>
      </c>
      <c r="E1217" s="7">
        <f t="shared" si="287"/>
        <v>6248571.4285714282</v>
      </c>
      <c r="F1217" s="7">
        <f t="shared" si="288"/>
        <v>124.97142857142855</v>
      </c>
      <c r="G1217" s="7">
        <f t="shared" si="289"/>
        <v>14718441.744429335</v>
      </c>
      <c r="H1217" s="6">
        <f t="shared" si="290"/>
        <v>3836.4621390585016</v>
      </c>
      <c r="I1217" s="7">
        <f t="shared" si="291"/>
        <v>-5.9414619164302849</v>
      </c>
      <c r="J1217" s="7">
        <f t="shared" si="292"/>
        <v>-67.338889839177227</v>
      </c>
      <c r="K1217" s="8">
        <f t="shared" si="281"/>
        <v>229.17067391945383</v>
      </c>
      <c r="L1217" s="8">
        <f t="shared" si="282"/>
        <v>-9.6251683046170609</v>
      </c>
      <c r="M1217" s="8">
        <f t="shared" si="279"/>
        <v>109.08900153946711</v>
      </c>
      <c r="N1217" s="8">
        <f t="shared" si="283"/>
        <v>25.000000000000014</v>
      </c>
      <c r="O1217" s="8">
        <f t="shared" si="284"/>
        <v>27.205806306957271</v>
      </c>
    </row>
    <row r="1218" spans="1:15" x14ac:dyDescent="0.3">
      <c r="A1218" s="5">
        <f t="shared" si="285"/>
        <v>12.099999999999786</v>
      </c>
      <c r="B1218" s="5">
        <f t="shared" si="280"/>
        <v>118.65475522491987</v>
      </c>
      <c r="C1218" s="6">
        <f t="shared" si="278"/>
        <v>4576.6834158183374</v>
      </c>
      <c r="D1218" s="6">
        <f t="shared" si="286"/>
        <v>20946031.088626605</v>
      </c>
      <c r="E1218" s="7">
        <f t="shared" si="287"/>
        <v>6248571.4285714282</v>
      </c>
      <c r="F1218" s="7">
        <f t="shared" si="288"/>
        <v>124.97142857142855</v>
      </c>
      <c r="G1218" s="7">
        <f t="shared" si="289"/>
        <v>14697459.660055175</v>
      </c>
      <c r="H1218" s="6">
        <f t="shared" si="290"/>
        <v>3833.7266021529463</v>
      </c>
      <c r="I1218" s="7">
        <f t="shared" si="291"/>
        <v>-5.9450133695218783</v>
      </c>
      <c r="J1218" s="7">
        <f t="shared" si="292"/>
        <v>-67.298662695243479</v>
      </c>
      <c r="K1218" s="8">
        <f t="shared" si="281"/>
        <v>229.30765853870102</v>
      </c>
      <c r="L1218" s="8">
        <f t="shared" si="282"/>
        <v>-9.6309216586254411</v>
      </c>
      <c r="M1218" s="8">
        <f t="shared" si="279"/>
        <v>109.02383356629443</v>
      </c>
      <c r="N1218" s="8">
        <f t="shared" si="283"/>
        <v>25.000000000000014</v>
      </c>
      <c r="O1218" s="8">
        <f t="shared" si="284"/>
        <v>27.208444095109076</v>
      </c>
    </row>
    <row r="1219" spans="1:15" x14ac:dyDescent="0.3">
      <c r="A1219" s="5">
        <f t="shared" si="285"/>
        <v>12.109999999999786</v>
      </c>
      <c r="B1219" s="5">
        <f t="shared" si="280"/>
        <v>118.59530509122465</v>
      </c>
      <c r="C1219" s="6">
        <f t="shared" si="278"/>
        <v>4574.3903392329503</v>
      </c>
      <c r="D1219" s="6">
        <f t="shared" si="286"/>
        <v>20925046.975667745</v>
      </c>
      <c r="E1219" s="7">
        <f t="shared" si="287"/>
        <v>6248571.4285714282</v>
      </c>
      <c r="F1219" s="7">
        <f t="shared" si="288"/>
        <v>124.97142857142855</v>
      </c>
      <c r="G1219" s="7">
        <f t="shared" si="289"/>
        <v>14676475.547096316</v>
      </c>
      <c r="H1219" s="6">
        <f t="shared" si="290"/>
        <v>3830.988847164178</v>
      </c>
      <c r="I1219" s="7">
        <f t="shared" si="291"/>
        <v>-5.9485716100610508</v>
      </c>
      <c r="J1219" s="7">
        <f t="shared" si="292"/>
        <v>-67.258406841312194</v>
      </c>
      <c r="K1219" s="8">
        <f t="shared" si="281"/>
        <v>229.44490495949768</v>
      </c>
      <c r="L1219" s="8">
        <f t="shared" si="282"/>
        <v>-9.6366860082989021</v>
      </c>
      <c r="M1219" s="8">
        <f t="shared" si="279"/>
        <v>108.95861908292574</v>
      </c>
      <c r="N1219" s="8">
        <f t="shared" si="283"/>
        <v>25.000000000000007</v>
      </c>
      <c r="O1219" s="8">
        <f t="shared" si="284"/>
        <v>27.211088505298669</v>
      </c>
    </row>
    <row r="1220" spans="1:15" x14ac:dyDescent="0.3">
      <c r="A1220" s="5">
        <f t="shared" si="285"/>
        <v>12.119999999999786</v>
      </c>
      <c r="B1220" s="5">
        <f t="shared" si="280"/>
        <v>118.53581937512403</v>
      </c>
      <c r="C1220" s="6">
        <f t="shared" si="278"/>
        <v>4572.0958901833556</v>
      </c>
      <c r="D1220" s="6">
        <f t="shared" si="286"/>
        <v>20904060.829031531</v>
      </c>
      <c r="E1220" s="7">
        <f t="shared" si="287"/>
        <v>6248571.4285714282</v>
      </c>
      <c r="F1220" s="7">
        <f t="shared" si="288"/>
        <v>124.97142857142855</v>
      </c>
      <c r="G1220" s="7">
        <f t="shared" si="289"/>
        <v>14655489.400460102</v>
      </c>
      <c r="H1220" s="6">
        <f t="shared" si="290"/>
        <v>3828.2488686682977</v>
      </c>
      <c r="I1220" s="7">
        <f t="shared" si="291"/>
        <v>-5.9521366605000061</v>
      </c>
      <c r="J1220" s="7">
        <f t="shared" si="292"/>
        <v>-67.218122213033368</v>
      </c>
      <c r="K1220" s="8">
        <f t="shared" si="281"/>
        <v>229.58241404785736</v>
      </c>
      <c r="L1220" s="8">
        <f t="shared" si="282"/>
        <v>-9.6424613900100073</v>
      </c>
      <c r="M1220" s="8">
        <f t="shared" si="279"/>
        <v>108.89335798511402</v>
      </c>
      <c r="N1220" s="8">
        <f t="shared" si="283"/>
        <v>25</v>
      </c>
      <c r="O1220" s="8">
        <f t="shared" si="284"/>
        <v>27.213739563281756</v>
      </c>
    </row>
    <row r="1221" spans="1:15" x14ac:dyDescent="0.3">
      <c r="A1221" s="5">
        <f t="shared" si="285"/>
        <v>12.129999999999786</v>
      </c>
      <c r="B1221" s="5">
        <f t="shared" si="280"/>
        <v>118.47629800851904</v>
      </c>
      <c r="C1221" s="6">
        <f t="shared" si="278"/>
        <v>4569.800066042877</v>
      </c>
      <c r="D1221" s="6">
        <f t="shared" si="286"/>
        <v>20883072.643605482</v>
      </c>
      <c r="E1221" s="7">
        <f t="shared" si="287"/>
        <v>6248571.4285714282</v>
      </c>
      <c r="F1221" s="7">
        <f t="shared" si="288"/>
        <v>124.97142857142855</v>
      </c>
      <c r="G1221" s="7">
        <f t="shared" si="289"/>
        <v>14634501.215034053</v>
      </c>
      <c r="H1221" s="6">
        <f t="shared" si="290"/>
        <v>3825.5066612194069</v>
      </c>
      <c r="I1221" s="7">
        <f t="shared" si="291"/>
        <v>-5.955708543397682</v>
      </c>
      <c r="J1221" s="7">
        <f t="shared" si="292"/>
        <v>-67.177808745811603</v>
      </c>
      <c r="K1221" s="8">
        <f t="shared" si="281"/>
        <v>229.72018667391058</v>
      </c>
      <c r="L1221" s="8">
        <f t="shared" si="282"/>
        <v>-9.6482478403042435</v>
      </c>
      <c r="M1221" s="8">
        <f t="shared" si="279"/>
        <v>108.82805016821479</v>
      </c>
      <c r="N1221" s="8">
        <f t="shared" si="283"/>
        <v>25.000000000000007</v>
      </c>
      <c r="O1221" s="8">
        <f t="shared" si="284"/>
        <v>27.216397294950852</v>
      </c>
    </row>
    <row r="1222" spans="1:15" x14ac:dyDescent="0.3">
      <c r="A1222" s="5">
        <f t="shared" si="285"/>
        <v>12.139999999999786</v>
      </c>
      <c r="B1222" s="5">
        <f t="shared" si="280"/>
        <v>118.41674092308506</v>
      </c>
      <c r="C1222" s="6">
        <f t="shared" si="278"/>
        <v>4567.5028641761373</v>
      </c>
      <c r="D1222" s="6">
        <f t="shared" si="286"/>
        <v>20862082.414257217</v>
      </c>
      <c r="E1222" s="7">
        <f t="shared" si="287"/>
        <v>6248571.4285714282</v>
      </c>
      <c r="F1222" s="7">
        <f t="shared" si="288"/>
        <v>124.97142857142855</v>
      </c>
      <c r="G1222" s="7">
        <f t="shared" si="289"/>
        <v>14613510.985685788</v>
      </c>
      <c r="H1222" s="6">
        <f t="shared" si="290"/>
        <v>3822.7622193494835</v>
      </c>
      <c r="I1222" s="7">
        <f t="shared" si="291"/>
        <v>-5.9592872814204139</v>
      </c>
      <c r="J1222" s="7">
        <f t="shared" si="292"/>
        <v>-67.13746637480493</v>
      </c>
      <c r="K1222" s="8">
        <f t="shared" si="281"/>
        <v>229.85822371193024</v>
      </c>
      <c r="L1222" s="8">
        <f t="shared" si="282"/>
        <v>-9.6540453959010684</v>
      </c>
      <c r="M1222" s="8">
        <f t="shared" si="279"/>
        <v>108.76269552718399</v>
      </c>
      <c r="N1222" s="8">
        <f t="shared" si="283"/>
        <v>25.000000000000011</v>
      </c>
      <c r="O1222" s="8">
        <f t="shared" si="284"/>
        <v>27.219061726336172</v>
      </c>
    </row>
    <row r="1223" spans="1:15" x14ac:dyDescent="0.3">
      <c r="A1223" s="5">
        <f t="shared" si="285"/>
        <v>12.149999999999785</v>
      </c>
      <c r="B1223" s="5">
        <f t="shared" si="280"/>
        <v>118.35714805027085</v>
      </c>
      <c r="C1223" s="6">
        <f t="shared" si="278"/>
        <v>4565.2042819390181</v>
      </c>
      <c r="D1223" s="6">
        <f t="shared" si="286"/>
        <v>20841090.135834347</v>
      </c>
      <c r="E1223" s="7">
        <f t="shared" si="287"/>
        <v>6248571.4285714282</v>
      </c>
      <c r="F1223" s="7">
        <f t="shared" si="288"/>
        <v>124.97142857142855</v>
      </c>
      <c r="G1223" s="7">
        <f t="shared" si="289"/>
        <v>14592518.707262918</v>
      </c>
      <c r="H1223" s="6">
        <f t="shared" si="290"/>
        <v>3820.0155375682593</v>
      </c>
      <c r="I1223" s="7">
        <f t="shared" si="291"/>
        <v>-5.9628728973426064</v>
      </c>
      <c r="J1223" s="7">
        <f t="shared" si="292"/>
        <v>-67.097095034923356</v>
      </c>
      <c r="K1223" s="8">
        <f t="shared" si="281"/>
        <v>229.99652604035765</v>
      </c>
      <c r="L1223" s="8">
        <f t="shared" si="282"/>
        <v>-9.6598540936950208</v>
      </c>
      <c r="M1223" s="8">
        <f t="shared" si="279"/>
        <v>108.69729395657583</v>
      </c>
      <c r="N1223" s="8">
        <f t="shared" si="283"/>
        <v>25.000000000000004</v>
      </c>
      <c r="O1223" s="8">
        <f t="shared" si="284"/>
        <v>27.221732883606585</v>
      </c>
    </row>
    <row r="1224" spans="1:15" x14ac:dyDescent="0.3">
      <c r="A1224" s="5">
        <f t="shared" si="285"/>
        <v>12.159999999999785</v>
      </c>
      <c r="B1224" s="5">
        <f t="shared" si="280"/>
        <v>118.29751932129743</v>
      </c>
      <c r="C1224" s="6">
        <f t="shared" ref="C1224:C1287" si="293">$B$1*B1224</f>
        <v>4562.904316678615</v>
      </c>
      <c r="D1224" s="6">
        <f t="shared" si="286"/>
        <v>20820095.803164341</v>
      </c>
      <c r="E1224" s="7">
        <f t="shared" si="287"/>
        <v>6248571.4285714282</v>
      </c>
      <c r="F1224" s="7">
        <f t="shared" si="288"/>
        <v>124.97142857142855</v>
      </c>
      <c r="G1224" s="7">
        <f t="shared" si="289"/>
        <v>14571524.374592911</v>
      </c>
      <c r="H1224" s="6">
        <f t="shared" si="290"/>
        <v>3817.2666103630895</v>
      </c>
      <c r="I1224" s="7">
        <f t="shared" si="291"/>
        <v>-5.9664654140474163</v>
      </c>
      <c r="J1224" s="7">
        <f t="shared" si="292"/>
        <v>-67.05669466082756</v>
      </c>
      <c r="K1224" s="8">
        <f t="shared" si="281"/>
        <v>230.13509454182889</v>
      </c>
      <c r="L1224" s="8">
        <f t="shared" si="282"/>
        <v>-9.6656739707568118</v>
      </c>
      <c r="M1224" s="8">
        <f t="shared" ref="M1224:M1287" si="294">B1224+L1224</f>
        <v>108.63184535054062</v>
      </c>
      <c r="N1224" s="8">
        <f t="shared" si="283"/>
        <v>25</v>
      </c>
      <c r="O1224" s="8">
        <f t="shared" si="284"/>
        <v>27.224410793070611</v>
      </c>
    </row>
    <row r="1225" spans="1:15" x14ac:dyDescent="0.3">
      <c r="A1225" s="5">
        <f t="shared" si="285"/>
        <v>12.169999999999785</v>
      </c>
      <c r="B1225" s="5">
        <f t="shared" ref="B1225:B1288" si="295">I1224*$B$5+B1224</f>
        <v>118.23785466715695</v>
      </c>
      <c r="C1225" s="6">
        <f t="shared" si="293"/>
        <v>4560.6029657331965</v>
      </c>
      <c r="D1225" s="6">
        <f t="shared" si="286"/>
        <v>20799099.411054429</v>
      </c>
      <c r="E1225" s="7">
        <f t="shared" si="287"/>
        <v>6248571.4285714282</v>
      </c>
      <c r="F1225" s="7">
        <f t="shared" si="288"/>
        <v>124.97142857142855</v>
      </c>
      <c r="G1225" s="7">
        <f t="shared" si="289"/>
        <v>14550527.982483</v>
      </c>
      <c r="H1225" s="6">
        <f t="shared" si="290"/>
        <v>3814.5154321988266</v>
      </c>
      <c r="I1225" s="7">
        <f t="shared" si="291"/>
        <v>-5.9700648545274237</v>
      </c>
      <c r="J1225" s="7">
        <f t="shared" si="292"/>
        <v>-67.016265186927498</v>
      </c>
      <c r="K1225" s="8">
        <f t="shared" ref="K1225:K1288" si="296">-$B$1*I1225</f>
        <v>230.27393010320063</v>
      </c>
      <c r="L1225" s="8">
        <f t="shared" ref="L1225:L1288" si="297">-$B$2*K1225</f>
        <v>-9.6715050643344256</v>
      </c>
      <c r="M1225" s="8">
        <f t="shared" si="294"/>
        <v>108.56634960282253</v>
      </c>
      <c r="N1225" s="8">
        <f t="shared" ref="N1225:N1288" si="298">K1225*M1225/1000</f>
        <v>24.999999999999996</v>
      </c>
      <c r="O1225" s="8">
        <f t="shared" ref="O1225:O1288" si="299">B1225*K1225/1000</f>
        <v>27.227095481177294</v>
      </c>
    </row>
    <row r="1226" spans="1:15" x14ac:dyDescent="0.3">
      <c r="A1226" s="5">
        <f t="shared" si="285"/>
        <v>12.179999999999785</v>
      </c>
      <c r="B1226" s="5">
        <f t="shared" si="295"/>
        <v>118.17815401861168</v>
      </c>
      <c r="C1226" s="6">
        <f t="shared" si="293"/>
        <v>4558.3002264321649</v>
      </c>
      <c r="D1226" s="6">
        <f t="shared" si="286"/>
        <v>20778100.954291526</v>
      </c>
      <c r="E1226" s="7">
        <f t="shared" si="287"/>
        <v>6248571.4285714282</v>
      </c>
      <c r="F1226" s="7">
        <f t="shared" si="288"/>
        <v>124.97142857142855</v>
      </c>
      <c r="G1226" s="7">
        <f t="shared" si="289"/>
        <v>14529529.525720097</v>
      </c>
      <c r="H1226" s="6">
        <f t="shared" si="290"/>
        <v>3811.7619975176963</v>
      </c>
      <c r="I1226" s="7">
        <f t="shared" si="291"/>
        <v>-5.9736712418853237</v>
      </c>
      <c r="J1226" s="7">
        <f t="shared" si="292"/>
        <v>-66.975806547381154</v>
      </c>
      <c r="K1226" s="8">
        <f t="shared" si="296"/>
        <v>230.41303361557675</v>
      </c>
      <c r="L1226" s="8">
        <f t="shared" si="297"/>
        <v>-9.6773474118542229</v>
      </c>
      <c r="M1226" s="8">
        <f t="shared" si="294"/>
        <v>108.50080660675745</v>
      </c>
      <c r="N1226" s="8">
        <f t="shared" si="298"/>
        <v>24.999999999999996</v>
      </c>
      <c r="O1226" s="8">
        <f t="shared" si="299"/>
        <v>27.229786974517182</v>
      </c>
    </row>
    <row r="1227" spans="1:15" x14ac:dyDescent="0.3">
      <c r="A1227" s="5">
        <f t="shared" si="285"/>
        <v>12.189999999999785</v>
      </c>
      <c r="B1227" s="5">
        <f t="shared" si="295"/>
        <v>118.11841730619282</v>
      </c>
      <c r="C1227" s="6">
        <f t="shared" si="293"/>
        <v>4555.9960960960088</v>
      </c>
      <c r="D1227" s="6">
        <f t="shared" si="286"/>
        <v>20757100.427642073</v>
      </c>
      <c r="E1227" s="7">
        <f t="shared" si="287"/>
        <v>6248571.4285714282</v>
      </c>
      <c r="F1227" s="7">
        <f t="shared" si="288"/>
        <v>124.97142857142855</v>
      </c>
      <c r="G1227" s="7">
        <f t="shared" si="289"/>
        <v>14508528.999070644</v>
      </c>
      <c r="H1227" s="6">
        <f t="shared" si="290"/>
        <v>3809.0063007391632</v>
      </c>
      <c r="I1227" s="7">
        <f t="shared" si="291"/>
        <v>-5.977284599334614</v>
      </c>
      <c r="J1227" s="7">
        <f t="shared" si="292"/>
        <v>-66.935318676093075</v>
      </c>
      <c r="K1227" s="8">
        <f t="shared" si="296"/>
        <v>230.5524059743351</v>
      </c>
      <c r="L1227" s="8">
        <f t="shared" si="297"/>
        <v>-9.6832010509220741</v>
      </c>
      <c r="M1227" s="8">
        <f t="shared" si="294"/>
        <v>108.43521625527075</v>
      </c>
      <c r="N1227" s="8">
        <f t="shared" si="298"/>
        <v>25</v>
      </c>
      <c r="O1227" s="8">
        <f t="shared" si="299"/>
        <v>27.232485299823296</v>
      </c>
    </row>
    <row r="1228" spans="1:15" x14ac:dyDescent="0.3">
      <c r="A1228" s="5">
        <f t="shared" si="285"/>
        <v>12.199999999999784</v>
      </c>
      <c r="B1228" s="5">
        <f t="shared" si="295"/>
        <v>118.05864446019947</v>
      </c>
      <c r="C1228" s="6">
        <f t="shared" si="293"/>
        <v>4553.6905720362656</v>
      </c>
      <c r="D1228" s="6">
        <f t="shared" si="286"/>
        <v>20736097.825851973</v>
      </c>
      <c r="E1228" s="7">
        <f t="shared" si="287"/>
        <v>6248571.4285714282</v>
      </c>
      <c r="F1228" s="7">
        <f t="shared" si="288"/>
        <v>124.97142857142855</v>
      </c>
      <c r="G1228" s="7">
        <f t="shared" si="289"/>
        <v>14487526.397280544</v>
      </c>
      <c r="H1228" s="6">
        <f t="shared" si="290"/>
        <v>3806.2483362598064</v>
      </c>
      <c r="I1228" s="7">
        <f t="shared" si="291"/>
        <v>-5.9809049502002924</v>
      </c>
      <c r="J1228" s="7">
        <f t="shared" si="292"/>
        <v>-66.89480150671298</v>
      </c>
      <c r="K1228" s="8">
        <f t="shared" si="296"/>
        <v>230.69204807915412</v>
      </c>
      <c r="L1228" s="8">
        <f t="shared" si="297"/>
        <v>-9.6890660193244713</v>
      </c>
      <c r="M1228" s="8">
        <f t="shared" si="294"/>
        <v>108.369578440875</v>
      </c>
      <c r="N1228" s="8">
        <f t="shared" si="298"/>
        <v>25</v>
      </c>
      <c r="O1228" s="8">
        <f t="shared" si="299"/>
        <v>27.235190483972101</v>
      </c>
    </row>
    <row r="1229" spans="1:15" x14ac:dyDescent="0.3">
      <c r="A1229" s="5">
        <f t="shared" si="285"/>
        <v>12.209999999999784</v>
      </c>
      <c r="B1229" s="5">
        <f t="shared" si="295"/>
        <v>117.99883541069747</v>
      </c>
      <c r="C1229" s="6">
        <f t="shared" si="293"/>
        <v>4551.3836515554731</v>
      </c>
      <c r="D1229" s="6">
        <f t="shared" si="286"/>
        <v>20715093.14364643</v>
      </c>
      <c r="E1229" s="7">
        <f t="shared" si="287"/>
        <v>6248571.4285714282</v>
      </c>
      <c r="F1229" s="7">
        <f t="shared" si="288"/>
        <v>124.97142857142855</v>
      </c>
      <c r="G1229" s="7">
        <f t="shared" si="289"/>
        <v>14466521.715075001</v>
      </c>
      <c r="H1229" s="6">
        <f t="shared" si="290"/>
        <v>3803.4880984531819</v>
      </c>
      <c r="I1229" s="7">
        <f t="shared" si="291"/>
        <v>-5.9845323179195695</v>
      </c>
      <c r="J1229" s="7">
        <f t="shared" si="292"/>
        <v>-66.854254972634422</v>
      </c>
      <c r="K1229" s="8">
        <f t="shared" si="296"/>
        <v>230.83196083404053</v>
      </c>
      <c r="L1229" s="8">
        <f t="shared" si="297"/>
        <v>-9.6949423550297009</v>
      </c>
      <c r="M1229" s="8">
        <f t="shared" si="294"/>
        <v>108.30389305566777</v>
      </c>
      <c r="N1229" s="8">
        <f t="shared" si="298"/>
        <v>25.000000000000018</v>
      </c>
      <c r="O1229" s="8">
        <f t="shared" si="299"/>
        <v>27.237902553984512</v>
      </c>
    </row>
    <row r="1230" spans="1:15" x14ac:dyDescent="0.3">
      <c r="A1230" s="5">
        <f t="shared" si="285"/>
        <v>12.219999999999784</v>
      </c>
      <c r="B1230" s="5">
        <f t="shared" si="295"/>
        <v>117.93899008751828</v>
      </c>
      <c r="C1230" s="6">
        <f t="shared" si="293"/>
        <v>4549.0753319471332</v>
      </c>
      <c r="D1230" s="6">
        <f t="shared" si="286"/>
        <v>20694086.375729922</v>
      </c>
      <c r="E1230" s="7">
        <f t="shared" si="287"/>
        <v>6248571.4285714282</v>
      </c>
      <c r="F1230" s="7">
        <f t="shared" si="288"/>
        <v>124.97142857142855</v>
      </c>
      <c r="G1230" s="7">
        <f t="shared" si="289"/>
        <v>14445514.947158493</v>
      </c>
      <c r="H1230" s="6">
        <f t="shared" si="290"/>
        <v>3800.725581669702</v>
      </c>
      <c r="I1230" s="7">
        <f t="shared" si="291"/>
        <v>-5.9881667260425466</v>
      </c>
      <c r="J1230" s="7">
        <f t="shared" si="292"/>
        <v>-66.813679006993439</v>
      </c>
      <c r="K1230" s="8">
        <f t="shared" si="296"/>
        <v>230.97214514735535</v>
      </c>
      <c r="L1230" s="8">
        <f t="shared" si="297"/>
        <v>-9.7008300961889233</v>
      </c>
      <c r="M1230" s="8">
        <f t="shared" si="294"/>
        <v>108.23815999132935</v>
      </c>
      <c r="N1230" s="8">
        <f t="shared" si="298"/>
        <v>24.999999999999993</v>
      </c>
      <c r="O1230" s="8">
        <f t="shared" si="299"/>
        <v>27.240621537026776</v>
      </c>
    </row>
    <row r="1231" spans="1:15" x14ac:dyDescent="0.3">
      <c r="A1231" s="5">
        <f t="shared" si="285"/>
        <v>12.229999999999784</v>
      </c>
      <c r="B1231" s="5">
        <f t="shared" si="295"/>
        <v>117.87910842025785</v>
      </c>
      <c r="C1231" s="6">
        <f t="shared" si="293"/>
        <v>4546.7656104956595</v>
      </c>
      <c r="D1231" s="6">
        <f t="shared" si="286"/>
        <v>20673077.516785968</v>
      </c>
      <c r="E1231" s="7">
        <f t="shared" si="287"/>
        <v>6248571.4285714282</v>
      </c>
      <c r="F1231" s="7">
        <f t="shared" si="288"/>
        <v>124.97142857142855</v>
      </c>
      <c r="G1231" s="7">
        <f t="shared" si="289"/>
        <v>14424506.088214539</v>
      </c>
      <c r="H1231" s="6">
        <f t="shared" si="290"/>
        <v>3797.9607802364862</v>
      </c>
      <c r="I1231" s="7">
        <f t="shared" si="291"/>
        <v>-5.9918081982329836</v>
      </c>
      <c r="J1231" s="7">
        <f t="shared" si="292"/>
        <v>-66.773073542666936</v>
      </c>
      <c r="K1231" s="8">
        <f t="shared" si="296"/>
        <v>231.11260193184364</v>
      </c>
      <c r="L1231" s="8">
        <f t="shared" si="297"/>
        <v>-9.7067292811374326</v>
      </c>
      <c r="M1231" s="8">
        <f t="shared" si="294"/>
        <v>108.17237913912042</v>
      </c>
      <c r="N1231" s="8">
        <f t="shared" si="298"/>
        <v>25.000000000000007</v>
      </c>
      <c r="O1231" s="8">
        <f t="shared" si="299"/>
        <v>27.243347460411687</v>
      </c>
    </row>
    <row r="1232" spans="1:15" x14ac:dyDescent="0.3">
      <c r="A1232" s="5">
        <f t="shared" si="285"/>
        <v>12.239999999999783</v>
      </c>
      <c r="B1232" s="5">
        <f t="shared" si="295"/>
        <v>117.81919033827552</v>
      </c>
      <c r="C1232" s="6">
        <f t="shared" si="293"/>
        <v>4544.4544844763413</v>
      </c>
      <c r="D1232" s="6">
        <f t="shared" si="286"/>
        <v>20652066.561477128</v>
      </c>
      <c r="E1232" s="7">
        <f t="shared" si="287"/>
        <v>6248571.4285714282</v>
      </c>
      <c r="F1232" s="7">
        <f t="shared" si="288"/>
        <v>124.97142857142855</v>
      </c>
      <c r="G1232" s="7">
        <f t="shared" si="289"/>
        <v>14403495.132905699</v>
      </c>
      <c r="H1232" s="6">
        <f t="shared" si="290"/>
        <v>3795.1936884572438</v>
      </c>
      <c r="I1232" s="7">
        <f t="shared" si="291"/>
        <v>-5.9954567582689577</v>
      </c>
      <c r="J1232" s="7">
        <f t="shared" si="292"/>
        <v>-66.7324385122715</v>
      </c>
      <c r="K1232" s="8">
        <f t="shared" si="296"/>
        <v>231.25333210465979</v>
      </c>
      <c r="L1232" s="8">
        <f t="shared" si="297"/>
        <v>-9.7126399483957098</v>
      </c>
      <c r="M1232" s="8">
        <f t="shared" si="294"/>
        <v>108.10655038987981</v>
      </c>
      <c r="N1232" s="8">
        <f t="shared" si="298"/>
        <v>25.000000000000014</v>
      </c>
      <c r="O1232" s="8">
        <f t="shared" si="299"/>
        <v>27.246080351599353</v>
      </c>
    </row>
    <row r="1233" spans="1:15" x14ac:dyDescent="0.3">
      <c r="A1233" s="5">
        <f t="shared" si="285"/>
        <v>12.249999999999783</v>
      </c>
      <c r="B1233" s="5">
        <f t="shared" si="295"/>
        <v>117.75923577069283</v>
      </c>
      <c r="C1233" s="6">
        <f t="shared" si="293"/>
        <v>4542.141951155294</v>
      </c>
      <c r="D1233" s="6">
        <f t="shared" si="286"/>
        <v>20631053.504444823</v>
      </c>
      <c r="E1233" s="7">
        <f t="shared" si="287"/>
        <v>6248571.4285714282</v>
      </c>
      <c r="F1233" s="7">
        <f t="shared" si="288"/>
        <v>124.97142857142855</v>
      </c>
      <c r="G1233" s="7">
        <f t="shared" si="289"/>
        <v>14382482.075873394</v>
      </c>
      <c r="H1233" s="6">
        <f t="shared" si="290"/>
        <v>3792.4243006121287</v>
      </c>
      <c r="I1233" s="7">
        <f t="shared" si="291"/>
        <v>-5.9991124300436196</v>
      </c>
      <c r="J1233" s="7">
        <f t="shared" si="292"/>
        <v>-66.69177384816183</v>
      </c>
      <c r="K1233" s="8">
        <f t="shared" si="296"/>
        <v>231.39433658739674</v>
      </c>
      <c r="L1233" s="8">
        <f t="shared" si="297"/>
        <v>-9.7185621366706627</v>
      </c>
      <c r="M1233" s="8">
        <f t="shared" si="294"/>
        <v>108.04067363402217</v>
      </c>
      <c r="N1233" s="8">
        <f t="shared" si="298"/>
        <v>25.000000000000007</v>
      </c>
      <c r="O1233" s="8">
        <f t="shared" si="299"/>
        <v>27.248820238198306</v>
      </c>
    </row>
    <row r="1234" spans="1:15" x14ac:dyDescent="0.3">
      <c r="A1234" s="5">
        <f t="shared" si="285"/>
        <v>12.259999999999783</v>
      </c>
      <c r="B1234" s="5">
        <f t="shared" si="295"/>
        <v>117.69924464639239</v>
      </c>
      <c r="C1234" s="6">
        <f t="shared" si="293"/>
        <v>4539.8280077894206</v>
      </c>
      <c r="D1234" s="6">
        <f t="shared" si="286"/>
        <v>20610038.340309259</v>
      </c>
      <c r="E1234" s="7">
        <f t="shared" si="287"/>
        <v>6248571.4285714282</v>
      </c>
      <c r="F1234" s="7">
        <f t="shared" si="288"/>
        <v>124.97142857142855</v>
      </c>
      <c r="G1234" s="7">
        <f t="shared" si="289"/>
        <v>14361466.911737829</v>
      </c>
      <c r="H1234" s="6">
        <f t="shared" si="290"/>
        <v>3789.6526109576098</v>
      </c>
      <c r="I1234" s="7">
        <f t="shared" si="291"/>
        <v>-6.0027752375659311</v>
      </c>
      <c r="J1234" s="7">
        <f t="shared" si="292"/>
        <v>-66.651079482429395</v>
      </c>
      <c r="K1234" s="8">
        <f t="shared" si="296"/>
        <v>231.53561630611446</v>
      </c>
      <c r="L1234" s="8">
        <f t="shared" si="297"/>
        <v>-9.7244958848568057</v>
      </c>
      <c r="M1234" s="8">
        <f t="shared" si="294"/>
        <v>107.97474876153558</v>
      </c>
      <c r="N1234" s="8">
        <f t="shared" si="298"/>
        <v>25.000000000000011</v>
      </c>
      <c r="O1234" s="8">
        <f t="shared" si="299"/>
        <v>27.251567147966604</v>
      </c>
    </row>
    <row r="1235" spans="1:15" x14ac:dyDescent="0.3">
      <c r="A1235" s="5">
        <f t="shared" si="285"/>
        <v>12.269999999999783</v>
      </c>
      <c r="B1235" s="5">
        <f t="shared" si="295"/>
        <v>117.63921689401673</v>
      </c>
      <c r="C1235" s="6">
        <f t="shared" si="293"/>
        <v>4537.512651626359</v>
      </c>
      <c r="D1235" s="6">
        <f t="shared" si="286"/>
        <v>20589021.063669272</v>
      </c>
      <c r="E1235" s="7">
        <f t="shared" si="287"/>
        <v>6248571.4285714282</v>
      </c>
      <c r="F1235" s="7">
        <f t="shared" si="288"/>
        <v>124.97142857142855</v>
      </c>
      <c r="G1235" s="7">
        <f t="shared" si="289"/>
        <v>14340449.635097843</v>
      </c>
      <c r="H1235" s="6">
        <f t="shared" si="290"/>
        <v>3786.8786137263287</v>
      </c>
      <c r="I1235" s="7">
        <f t="shared" si="291"/>
        <v>-6.0064452049613779</v>
      </c>
      <c r="J1235" s="7">
        <f t="shared" si="292"/>
        <v>-66.610355346900803</v>
      </c>
      <c r="K1235" s="8">
        <f t="shared" si="296"/>
        <v>231.67717219136742</v>
      </c>
      <c r="L1235" s="8">
        <f t="shared" si="297"/>
        <v>-9.7304412320374301</v>
      </c>
      <c r="M1235" s="8">
        <f t="shared" si="294"/>
        <v>107.90877566197929</v>
      </c>
      <c r="N1235" s="8">
        <f t="shared" si="298"/>
        <v>25.000000000000014</v>
      </c>
      <c r="O1235" s="8">
        <f t="shared" si="299"/>
        <v>27.254321108812732</v>
      </c>
    </row>
    <row r="1236" spans="1:15" x14ac:dyDescent="0.3">
      <c r="A1236" s="5">
        <f t="shared" si="285"/>
        <v>12.279999999999783</v>
      </c>
      <c r="B1236" s="5">
        <f t="shared" si="295"/>
        <v>117.57915244196711</v>
      </c>
      <c r="C1236" s="6">
        <f t="shared" si="293"/>
        <v>4535.1958799044451</v>
      </c>
      <c r="D1236" s="6">
        <f t="shared" si="286"/>
        <v>20568001.669102255</v>
      </c>
      <c r="E1236" s="7">
        <f t="shared" si="287"/>
        <v>6248571.4285714282</v>
      </c>
      <c r="F1236" s="7">
        <f t="shared" si="288"/>
        <v>124.97142857142855</v>
      </c>
      <c r="G1236" s="7">
        <f t="shared" si="289"/>
        <v>14319430.240530826</v>
      </c>
      <c r="H1236" s="6">
        <f t="shared" si="290"/>
        <v>3784.1023031269683</v>
      </c>
      <c r="I1236" s="7">
        <f t="shared" si="291"/>
        <v>-6.0101223564727233</v>
      </c>
      <c r="J1236" s="7">
        <f t="shared" si="292"/>
        <v>-66.569601373136607</v>
      </c>
      <c r="K1236" s="8">
        <f t="shared" si="296"/>
        <v>231.8190051782336</v>
      </c>
      <c r="L1236" s="8">
        <f t="shared" si="297"/>
        <v>-9.7363982174858101</v>
      </c>
      <c r="M1236" s="8">
        <f t="shared" si="294"/>
        <v>107.8427542244813</v>
      </c>
      <c r="N1236" s="8">
        <f t="shared" si="298"/>
        <v>25.000000000000004</v>
      </c>
      <c r="O1236" s="8">
        <f t="shared" si="299"/>
        <v>27.257082148796691</v>
      </c>
    </row>
    <row r="1237" spans="1:15" x14ac:dyDescent="0.3">
      <c r="A1237" s="5">
        <f t="shared" si="285"/>
        <v>12.289999999999782</v>
      </c>
      <c r="B1237" s="5">
        <f t="shared" si="295"/>
        <v>117.51905121840238</v>
      </c>
      <c r="C1237" s="6">
        <f t="shared" si="293"/>
        <v>4532.877689852663</v>
      </c>
      <c r="D1237" s="6">
        <f t="shared" si="286"/>
        <v>20546980.151164014</v>
      </c>
      <c r="E1237" s="7">
        <f t="shared" si="287"/>
        <v>6248571.4285714282</v>
      </c>
      <c r="F1237" s="7">
        <f t="shared" si="288"/>
        <v>124.97142857142855</v>
      </c>
      <c r="G1237" s="7">
        <f t="shared" si="289"/>
        <v>14298408.722592585</v>
      </c>
      <c r="H1237" s="6">
        <f t="shared" si="290"/>
        <v>3781.323673344109</v>
      </c>
      <c r="I1237" s="7">
        <f t="shared" si="291"/>
        <v>-6.0138067164607669</v>
      </c>
      <c r="J1237" s="7">
        <f t="shared" si="292"/>
        <v>-66.528817492429596</v>
      </c>
      <c r="K1237" s="8">
        <f t="shared" si="296"/>
        <v>231.96111620634386</v>
      </c>
      <c r="L1237" s="8">
        <f t="shared" si="297"/>
        <v>-9.7423668806664416</v>
      </c>
      <c r="M1237" s="8">
        <f t="shared" si="294"/>
        <v>107.77668433773594</v>
      </c>
      <c r="N1237" s="8">
        <f t="shared" si="298"/>
        <v>25.000000000000007</v>
      </c>
      <c r="O1237" s="8">
        <f t="shared" si="299"/>
        <v>27.259850296131109</v>
      </c>
    </row>
    <row r="1238" spans="1:15" x14ac:dyDescent="0.3">
      <c r="A1238" s="5">
        <f t="shared" si="285"/>
        <v>12.299999999999782</v>
      </c>
      <c r="B1238" s="5">
        <f t="shared" si="295"/>
        <v>117.45891315123778</v>
      </c>
      <c r="C1238" s="6">
        <f t="shared" si="293"/>
        <v>4530.5580786906003</v>
      </c>
      <c r="D1238" s="6">
        <f t="shared" si="286"/>
        <v>20525956.504388664</v>
      </c>
      <c r="E1238" s="7">
        <f t="shared" si="287"/>
        <v>6248571.4285714282</v>
      </c>
      <c r="F1238" s="7">
        <f t="shared" si="288"/>
        <v>124.97142857142855</v>
      </c>
      <c r="G1238" s="7">
        <f t="shared" si="289"/>
        <v>14277385.075817235</v>
      </c>
      <c r="H1238" s="6">
        <f t="shared" si="290"/>
        <v>3778.5427185380922</v>
      </c>
      <c r="I1238" s="7">
        <f t="shared" si="291"/>
        <v>-6.017498309405072</v>
      </c>
      <c r="J1238" s="7">
        <f t="shared" si="292"/>
        <v>-66.488003635803452</v>
      </c>
      <c r="K1238" s="8">
        <f t="shared" si="296"/>
        <v>232.10350621990992</v>
      </c>
      <c r="L1238" s="8">
        <f t="shared" si="297"/>
        <v>-9.7483472612362156</v>
      </c>
      <c r="M1238" s="8">
        <f t="shared" si="294"/>
        <v>107.71056589000156</v>
      </c>
      <c r="N1238" s="8">
        <f t="shared" si="298"/>
        <v>24.999999999999993</v>
      </c>
      <c r="O1238" s="8">
        <f t="shared" si="299"/>
        <v>27.262625579182178</v>
      </c>
    </row>
    <row r="1239" spans="1:15" x14ac:dyDescent="0.3">
      <c r="A1239" s="5">
        <f t="shared" si="285"/>
        <v>12.309999999999782</v>
      </c>
      <c r="B1239" s="5">
        <f t="shared" si="295"/>
        <v>117.39873816814372</v>
      </c>
      <c r="C1239" s="6">
        <f t="shared" si="293"/>
        <v>4528.2370436284009</v>
      </c>
      <c r="D1239" s="6">
        <f t="shared" si="286"/>
        <v>20504930.72328848</v>
      </c>
      <c r="E1239" s="7">
        <f t="shared" si="287"/>
        <v>6248571.4285714282</v>
      </c>
      <c r="F1239" s="7">
        <f t="shared" si="288"/>
        <v>124.97142857142855</v>
      </c>
      <c r="G1239" s="7">
        <f t="shared" si="289"/>
        <v>14256359.294717051</v>
      </c>
      <c r="H1239" s="6">
        <f t="shared" si="290"/>
        <v>3775.7594328448749</v>
      </c>
      <c r="I1239" s="7">
        <f t="shared" si="291"/>
        <v>-6.0211971599047587</v>
      </c>
      <c r="J1239" s="7">
        <f t="shared" si="292"/>
        <v>-66.447159734011137</v>
      </c>
      <c r="K1239" s="8">
        <f t="shared" si="296"/>
        <v>232.24617616775495</v>
      </c>
      <c r="L1239" s="8">
        <f t="shared" si="297"/>
        <v>-9.7543393990457066</v>
      </c>
      <c r="M1239" s="8">
        <f t="shared" si="294"/>
        <v>107.64439876909802</v>
      </c>
      <c r="N1239" s="8">
        <f t="shared" si="298"/>
        <v>25.000000000000004</v>
      </c>
      <c r="O1239" s="8">
        <f t="shared" si="299"/>
        <v>27.265408026470844</v>
      </c>
    </row>
    <row r="1240" spans="1:15" x14ac:dyDescent="0.3">
      <c r="A1240" s="5">
        <f t="shared" si="285"/>
        <v>12.319999999999782</v>
      </c>
      <c r="B1240" s="5">
        <f t="shared" si="295"/>
        <v>117.33852619654468</v>
      </c>
      <c r="C1240" s="6">
        <f t="shared" si="293"/>
        <v>4525.914581866723</v>
      </c>
      <c r="D1240" s="6">
        <f t="shared" si="286"/>
        <v>20483902.802353833</v>
      </c>
      <c r="E1240" s="7">
        <f t="shared" si="287"/>
        <v>6248571.4285714282</v>
      </c>
      <c r="F1240" s="7">
        <f t="shared" si="288"/>
        <v>124.97142857142855</v>
      </c>
      <c r="G1240" s="7">
        <f t="shared" si="289"/>
        <v>14235331.373782404</v>
      </c>
      <c r="H1240" s="6">
        <f t="shared" si="290"/>
        <v>3772.9738103758955</v>
      </c>
      <c r="I1240" s="7">
        <f t="shared" si="291"/>
        <v>-6.0249032926792339</v>
      </c>
      <c r="J1240" s="7">
        <f t="shared" si="292"/>
        <v>-66.406285717533535</v>
      </c>
      <c r="K1240" s="8">
        <f t="shared" si="296"/>
        <v>232.38912700334186</v>
      </c>
      <c r="L1240" s="8">
        <f t="shared" si="297"/>
        <v>-9.7603433341403569</v>
      </c>
      <c r="M1240" s="8">
        <f t="shared" si="294"/>
        <v>107.57818286240432</v>
      </c>
      <c r="N1240" s="8">
        <f t="shared" si="298"/>
        <v>25.000000000000011</v>
      </c>
      <c r="O1240" s="8">
        <f t="shared" si="299"/>
        <v>27.268197666673775</v>
      </c>
    </row>
    <row r="1241" spans="1:15" x14ac:dyDescent="0.3">
      <c r="A1241" s="5">
        <f t="shared" si="285"/>
        <v>12.329999999999782</v>
      </c>
      <c r="B1241" s="5">
        <f t="shared" si="295"/>
        <v>117.27827716361789</v>
      </c>
      <c r="C1241" s="6">
        <f t="shared" si="293"/>
        <v>4523.5906905966895</v>
      </c>
      <c r="D1241" s="6">
        <f t="shared" si="286"/>
        <v>20462872.736053035</v>
      </c>
      <c r="E1241" s="7">
        <f t="shared" si="287"/>
        <v>6248571.4285714282</v>
      </c>
      <c r="F1241" s="7">
        <f t="shared" si="288"/>
        <v>124.97142857142855</v>
      </c>
      <c r="G1241" s="7">
        <f t="shared" si="289"/>
        <v>14214301.307481606</v>
      </c>
      <c r="H1241" s="6">
        <f t="shared" si="290"/>
        <v>3770.1858452179258</v>
      </c>
      <c r="I1241" s="7">
        <f t="shared" si="291"/>
        <v>-6.0286167325689828</v>
      </c>
      <c r="J1241" s="7">
        <f t="shared" si="292"/>
        <v>-66.36538151657787</v>
      </c>
      <c r="K1241" s="8">
        <f t="shared" si="296"/>
        <v>232.53235968480362</v>
      </c>
      <c r="L1241" s="8">
        <f t="shared" si="297"/>
        <v>-9.766359106761751</v>
      </c>
      <c r="M1241" s="8">
        <f t="shared" si="294"/>
        <v>107.51191805685613</v>
      </c>
      <c r="N1241" s="8">
        <f t="shared" si="298"/>
        <v>25.000000000000004</v>
      </c>
      <c r="O1241" s="8">
        <f t="shared" si="299"/>
        <v>27.270994528624485</v>
      </c>
    </row>
    <row r="1242" spans="1:15" x14ac:dyDescent="0.3">
      <c r="A1242" s="5">
        <f t="shared" si="285"/>
        <v>12.339999999999781</v>
      </c>
      <c r="B1242" s="5">
        <f t="shared" si="295"/>
        <v>117.2179909962922</v>
      </c>
      <c r="C1242" s="6">
        <f t="shared" si="293"/>
        <v>4521.2653669998417</v>
      </c>
      <c r="D1242" s="6">
        <f t="shared" si="286"/>
        <v>20441840.518832214</v>
      </c>
      <c r="E1242" s="7">
        <f t="shared" si="287"/>
        <v>6248571.4285714282</v>
      </c>
      <c r="F1242" s="7">
        <f t="shared" si="288"/>
        <v>124.97142857142855</v>
      </c>
      <c r="G1242" s="7">
        <f t="shared" si="289"/>
        <v>14193269.090260785</v>
      </c>
      <c r="H1242" s="6">
        <f t="shared" si="290"/>
        <v>3767.3955314329269</v>
      </c>
      <c r="I1242" s="7">
        <f t="shared" si="291"/>
        <v>-6.0323375045363568</v>
      </c>
      <c r="J1242" s="7">
        <f t="shared" si="292"/>
        <v>-66.324447061076128</v>
      </c>
      <c r="K1242" s="8">
        <f t="shared" si="296"/>
        <v>232.67587517497375</v>
      </c>
      <c r="L1242" s="8">
        <f t="shared" si="297"/>
        <v>-9.7723867573488974</v>
      </c>
      <c r="M1242" s="8">
        <f t="shared" si="294"/>
        <v>107.4456042389433</v>
      </c>
      <c r="N1242" s="8">
        <f t="shared" si="298"/>
        <v>25.000000000000004</v>
      </c>
      <c r="O1242" s="8">
        <f t="shared" si="299"/>
        <v>27.273798641314482</v>
      </c>
    </row>
    <row r="1243" spans="1:15" x14ac:dyDescent="0.3">
      <c r="A1243" s="5">
        <f t="shared" si="285"/>
        <v>12.349999999999781</v>
      </c>
      <c r="B1243" s="5">
        <f t="shared" si="295"/>
        <v>117.15766762124684</v>
      </c>
      <c r="C1243" s="6">
        <f t="shared" si="293"/>
        <v>4518.9386082480924</v>
      </c>
      <c r="D1243" s="6">
        <f t="shared" si="286"/>
        <v>20420806.145115204</v>
      </c>
      <c r="E1243" s="7">
        <f t="shared" si="287"/>
        <v>6248571.4285714282</v>
      </c>
      <c r="F1243" s="7">
        <f t="shared" si="288"/>
        <v>124.97142857142855</v>
      </c>
      <c r="G1243" s="7">
        <f t="shared" si="289"/>
        <v>14172234.716543775</v>
      </c>
      <c r="H1243" s="6">
        <f t="shared" si="290"/>
        <v>3764.6028630579049</v>
      </c>
      <c r="I1243" s="7">
        <f t="shared" si="291"/>
        <v>-6.0360656336663387</v>
      </c>
      <c r="J1243" s="7">
        <f t="shared" si="292"/>
        <v>-66.283482280683586</v>
      </c>
      <c r="K1243" s="8">
        <f t="shared" si="296"/>
        <v>232.81967444141591</v>
      </c>
      <c r="L1243" s="8">
        <f t="shared" si="297"/>
        <v>-9.7784263265394671</v>
      </c>
      <c r="M1243" s="8">
        <f t="shared" si="294"/>
        <v>107.37924129470738</v>
      </c>
      <c r="N1243" s="8">
        <f t="shared" si="298"/>
        <v>25.000000000000018</v>
      </c>
      <c r="O1243" s="8">
        <f t="shared" si="299"/>
        <v>27.276610033894304</v>
      </c>
    </row>
    <row r="1244" spans="1:15" x14ac:dyDescent="0.3">
      <c r="A1244" s="5">
        <f t="shared" si="285"/>
        <v>12.359999999999781</v>
      </c>
      <c r="B1244" s="5">
        <f t="shared" si="295"/>
        <v>117.09730696491017</v>
      </c>
      <c r="C1244" s="6">
        <f t="shared" si="293"/>
        <v>4516.6104115036778</v>
      </c>
      <c r="D1244" s="6">
        <f t="shared" si="286"/>
        <v>20399769.609303422</v>
      </c>
      <c r="E1244" s="7">
        <f t="shared" si="287"/>
        <v>6248571.4285714282</v>
      </c>
      <c r="F1244" s="7">
        <f t="shared" si="288"/>
        <v>124.97142857142855</v>
      </c>
      <c r="G1244" s="7">
        <f t="shared" si="289"/>
        <v>14151198.180731993</v>
      </c>
      <c r="H1244" s="6">
        <f t="shared" si="290"/>
        <v>3761.8078341047662</v>
      </c>
      <c r="I1244" s="7">
        <f t="shared" si="291"/>
        <v>-6.0398011451673321</v>
      </c>
      <c r="J1244" s="7">
        <f t="shared" si="292"/>
        <v>-66.242487104777226</v>
      </c>
      <c r="K1244" s="8">
        <f t="shared" si="296"/>
        <v>232.96375845645423</v>
      </c>
      <c r="L1244" s="8">
        <f t="shared" si="297"/>
        <v>-9.784477855171076</v>
      </c>
      <c r="M1244" s="8">
        <f t="shared" si="294"/>
        <v>107.3128291097391</v>
      </c>
      <c r="N1244" s="8">
        <f t="shared" si="298"/>
        <v>25.000000000000011</v>
      </c>
      <c r="O1244" s="8">
        <f t="shared" si="299"/>
        <v>27.27942873567461</v>
      </c>
    </row>
    <row r="1245" spans="1:15" x14ac:dyDescent="0.3">
      <c r="A1245" s="5">
        <f t="shared" si="285"/>
        <v>12.369999999999781</v>
      </c>
      <c r="B1245" s="5">
        <f t="shared" si="295"/>
        <v>117.03690895345851</v>
      </c>
      <c r="C1245" s="6">
        <f t="shared" si="293"/>
        <v>4514.2807739191139</v>
      </c>
      <c r="D1245" s="6">
        <f t="shared" si="286"/>
        <v>20378730.905775756</v>
      </c>
      <c r="E1245" s="7">
        <f t="shared" si="287"/>
        <v>6248571.4285714282</v>
      </c>
      <c r="F1245" s="7">
        <f t="shared" si="288"/>
        <v>124.97142857142855</v>
      </c>
      <c r="G1245" s="7">
        <f t="shared" si="289"/>
        <v>14130159.477204327</v>
      </c>
      <c r="H1245" s="6">
        <f t="shared" si="290"/>
        <v>3759.0104385601708</v>
      </c>
      <c r="I1245" s="7">
        <f t="shared" si="291"/>
        <v>-6.0435440643719742</v>
      </c>
      <c r="J1245" s="7">
        <f t="shared" si="292"/>
        <v>-66.20146146245429</v>
      </c>
      <c r="K1245" s="8">
        <f t="shared" si="296"/>
        <v>233.10812819720471</v>
      </c>
      <c r="L1245" s="8">
        <f t="shared" si="297"/>
        <v>-9.7905413842825961</v>
      </c>
      <c r="M1245" s="8">
        <f t="shared" si="294"/>
        <v>107.24636756917592</v>
      </c>
      <c r="N1245" s="8">
        <f t="shared" si="298"/>
        <v>24.999999999999996</v>
      </c>
      <c r="O1245" s="8">
        <f t="shared" si="299"/>
        <v>27.282254776127381</v>
      </c>
    </row>
    <row r="1246" spans="1:15" x14ac:dyDescent="0.3">
      <c r="A1246" s="5">
        <f t="shared" si="285"/>
        <v>12.379999999999781</v>
      </c>
      <c r="B1246" s="5">
        <f t="shared" si="295"/>
        <v>116.97647351281479</v>
      </c>
      <c r="C1246" s="6">
        <f t="shared" si="293"/>
        <v>4511.9496926371421</v>
      </c>
      <c r="D1246" s="6">
        <f t="shared" si="286"/>
        <v>20357690.028888401</v>
      </c>
      <c r="E1246" s="7">
        <f t="shared" si="287"/>
        <v>6248571.4285714282</v>
      </c>
      <c r="F1246" s="7">
        <f t="shared" si="288"/>
        <v>124.97142857142855</v>
      </c>
      <c r="G1246" s="7">
        <f t="shared" si="289"/>
        <v>14109118.600316972</v>
      </c>
      <c r="H1246" s="6">
        <f t="shared" si="290"/>
        <v>3756.2106703853783</v>
      </c>
      <c r="I1246" s="7">
        <f t="shared" si="291"/>
        <v>-6.0472944167379374</v>
      </c>
      <c r="J1246" s="7">
        <f t="shared" si="292"/>
        <v>-66.160405282530462</v>
      </c>
      <c r="K1246" s="8">
        <f t="shared" si="296"/>
        <v>233.25278464560614</v>
      </c>
      <c r="L1246" s="8">
        <f t="shared" si="297"/>
        <v>-9.7966169551154572</v>
      </c>
      <c r="M1246" s="8">
        <f t="shared" si="294"/>
        <v>107.17985655769934</v>
      </c>
      <c r="N1246" s="8">
        <f t="shared" si="298"/>
        <v>25</v>
      </c>
      <c r="O1246" s="8">
        <f t="shared" si="299"/>
        <v>27.285088184887041</v>
      </c>
    </row>
    <row r="1247" spans="1:15" x14ac:dyDescent="0.3">
      <c r="A1247" s="5">
        <f t="shared" si="285"/>
        <v>12.38999999999978</v>
      </c>
      <c r="B1247" s="5">
        <f t="shared" si="295"/>
        <v>116.91600056864742</v>
      </c>
      <c r="C1247" s="6">
        <f t="shared" si="293"/>
        <v>4509.6171647906858</v>
      </c>
      <c r="D1247" s="6">
        <f t="shared" si="286"/>
        <v>20336646.972974785</v>
      </c>
      <c r="E1247" s="7">
        <f t="shared" si="287"/>
        <v>6248571.4285714282</v>
      </c>
      <c r="F1247" s="7">
        <f t="shared" si="288"/>
        <v>124.97142857142855</v>
      </c>
      <c r="G1247" s="7">
        <f t="shared" si="289"/>
        <v>14088075.544403356</v>
      </c>
      <c r="H1247" s="6">
        <f t="shared" si="290"/>
        <v>3753.408523516106</v>
      </c>
      <c r="I1247" s="7">
        <f t="shared" si="291"/>
        <v>-6.0510522278487198</v>
      </c>
      <c r="J1247" s="7">
        <f t="shared" si="292"/>
        <v>-66.119318493538586</v>
      </c>
      <c r="K1247" s="8">
        <f t="shared" si="296"/>
        <v>233.39772878845062</v>
      </c>
      <c r="L1247" s="8">
        <f t="shared" si="297"/>
        <v>-9.8027046091149259</v>
      </c>
      <c r="M1247" s="8">
        <f t="shared" si="294"/>
        <v>107.11329595953249</v>
      </c>
      <c r="N1247" s="8">
        <f t="shared" si="298"/>
        <v>25.000000000000007</v>
      </c>
      <c r="O1247" s="8">
        <f t="shared" si="299"/>
        <v>27.28792899175151</v>
      </c>
    </row>
    <row r="1248" spans="1:15" x14ac:dyDescent="0.3">
      <c r="A1248" s="5">
        <f t="shared" si="285"/>
        <v>12.39999999999978</v>
      </c>
      <c r="B1248" s="5">
        <f t="shared" si="295"/>
        <v>116.85549004636893</v>
      </c>
      <c r="C1248" s="6">
        <f t="shared" si="293"/>
        <v>4507.2831875028014</v>
      </c>
      <c r="D1248" s="6">
        <f t="shared" si="286"/>
        <v>20315601.732345413</v>
      </c>
      <c r="E1248" s="7">
        <f t="shared" si="287"/>
        <v>6248571.4285714282</v>
      </c>
      <c r="F1248" s="7">
        <f t="shared" si="288"/>
        <v>124.97142857142855</v>
      </c>
      <c r="G1248" s="7">
        <f t="shared" si="289"/>
        <v>14067030.303773984</v>
      </c>
      <c r="H1248" s="6">
        <f t="shared" si="290"/>
        <v>3750.6039918623751</v>
      </c>
      <c r="I1248" s="7">
        <f t="shared" si="291"/>
        <v>-6.0548175234144779</v>
      </c>
      <c r="J1248" s="7">
        <f t="shared" si="292"/>
        <v>-66.078201023726848</v>
      </c>
      <c r="K1248" s="8">
        <f t="shared" si="296"/>
        <v>233.54296161741556</v>
      </c>
      <c r="L1248" s="8">
        <f t="shared" si="297"/>
        <v>-9.8088043879314526</v>
      </c>
      <c r="M1248" s="8">
        <f t="shared" si="294"/>
        <v>107.04668565843747</v>
      </c>
      <c r="N1248" s="8">
        <f t="shared" si="298"/>
        <v>25.000000000000011</v>
      </c>
      <c r="O1248" s="8">
        <f t="shared" si="299"/>
        <v>27.290777226683424</v>
      </c>
    </row>
    <row r="1249" spans="1:15" x14ac:dyDescent="0.3">
      <c r="A1249" s="5">
        <f t="shared" si="285"/>
        <v>12.40999999999978</v>
      </c>
      <c r="B1249" s="5">
        <f t="shared" si="295"/>
        <v>116.79494187113478</v>
      </c>
      <c r="C1249" s="6">
        <f t="shared" si="293"/>
        <v>4504.9477578866272</v>
      </c>
      <c r="D1249" s="6">
        <f t="shared" si="286"/>
        <v>20294554.301287748</v>
      </c>
      <c r="E1249" s="7">
        <f t="shared" si="287"/>
        <v>6248571.4285714282</v>
      </c>
      <c r="F1249" s="7">
        <f t="shared" si="288"/>
        <v>124.97142857142855</v>
      </c>
      <c r="G1249" s="7">
        <f t="shared" si="289"/>
        <v>14045982.872716319</v>
      </c>
      <c r="H1249" s="6">
        <f t="shared" si="290"/>
        <v>3747.797069308358</v>
      </c>
      <c r="I1249" s="7">
        <f t="shared" si="291"/>
        <v>-6.058590329272846</v>
      </c>
      <c r="J1249" s="7">
        <f t="shared" si="292"/>
        <v>-66.037052801057285</v>
      </c>
      <c r="K1249" s="8">
        <f t="shared" si="296"/>
        <v>233.68848412909549</v>
      </c>
      <c r="L1249" s="8">
        <f t="shared" si="297"/>
        <v>-9.8149163334220102</v>
      </c>
      <c r="M1249" s="8">
        <f t="shared" si="294"/>
        <v>106.98002553771278</v>
      </c>
      <c r="N1249" s="8">
        <f t="shared" si="298"/>
        <v>25.000000000000021</v>
      </c>
      <c r="O1249" s="8">
        <f t="shared" si="299"/>
        <v>27.293632919811309</v>
      </c>
    </row>
    <row r="1250" spans="1:15" x14ac:dyDescent="0.3">
      <c r="A1250" s="5">
        <f t="shared" si="285"/>
        <v>12.41999999999978</v>
      </c>
      <c r="B1250" s="5">
        <f t="shared" si="295"/>
        <v>116.73435596784205</v>
      </c>
      <c r="C1250" s="6">
        <f t="shared" si="293"/>
        <v>4502.6108730453361</v>
      </c>
      <c r="D1250" s="6">
        <f t="shared" si="286"/>
        <v>20273504.674066085</v>
      </c>
      <c r="E1250" s="7">
        <f t="shared" si="287"/>
        <v>6248571.4285714282</v>
      </c>
      <c r="F1250" s="7">
        <f t="shared" si="288"/>
        <v>124.97142857142855</v>
      </c>
      <c r="G1250" s="7">
        <f t="shared" si="289"/>
        <v>14024933.245494656</v>
      </c>
      <c r="H1250" s="6">
        <f t="shared" si="290"/>
        <v>3744.9877497122279</v>
      </c>
      <c r="I1250" s="7">
        <f t="shared" si="291"/>
        <v>-6.0623706713897558</v>
      </c>
      <c r="J1250" s="7">
        <f t="shared" si="292"/>
        <v>-65.995873753204108</v>
      </c>
      <c r="K1250" s="8">
        <f t="shared" si="296"/>
        <v>233.83429732503342</v>
      </c>
      <c r="L1250" s="8">
        <f t="shared" si="297"/>
        <v>-9.8210404876514019</v>
      </c>
      <c r="M1250" s="8">
        <f t="shared" si="294"/>
        <v>106.91331548019065</v>
      </c>
      <c r="N1250" s="8">
        <f t="shared" si="298"/>
        <v>24.999999999999996</v>
      </c>
      <c r="O1250" s="8">
        <f t="shared" si="299"/>
        <v>27.29649610143067</v>
      </c>
    </row>
    <row r="1251" spans="1:15" x14ac:dyDescent="0.3">
      <c r="A1251" s="5">
        <f t="shared" si="285"/>
        <v>12.429999999999779</v>
      </c>
      <c r="B1251" s="5">
        <f t="shared" si="295"/>
        <v>116.67373226112815</v>
      </c>
      <c r="C1251" s="6">
        <f t="shared" si="293"/>
        <v>4500.2725300720858</v>
      </c>
      <c r="D1251" s="6">
        <f t="shared" si="286"/>
        <v>20252452.844921414</v>
      </c>
      <c r="E1251" s="7">
        <f t="shared" si="287"/>
        <v>6248571.4285714282</v>
      </c>
      <c r="F1251" s="7">
        <f t="shared" si="288"/>
        <v>124.97142857142855</v>
      </c>
      <c r="G1251" s="7">
        <f t="shared" si="289"/>
        <v>14003881.416349985</v>
      </c>
      <c r="H1251" s="6">
        <f t="shared" si="290"/>
        <v>3742.1760269060014</v>
      </c>
      <c r="I1251" s="7">
        <f t="shared" si="291"/>
        <v>-6.0661585758603014</v>
      </c>
      <c r="J1251" s="7">
        <f t="shared" si="292"/>
        <v>-65.954663807552166</v>
      </c>
      <c r="K1251" s="8">
        <f t="shared" si="296"/>
        <v>233.98040221175447</v>
      </c>
      <c r="L1251" s="8">
        <f t="shared" si="297"/>
        <v>-9.8271768928936858</v>
      </c>
      <c r="M1251" s="8">
        <f t="shared" si="294"/>
        <v>106.84655536823446</v>
      </c>
      <c r="N1251" s="8">
        <f t="shared" si="298"/>
        <v>24.999999999999993</v>
      </c>
      <c r="O1251" s="8">
        <f t="shared" si="299"/>
        <v>27.29936680200532</v>
      </c>
    </row>
    <row r="1252" spans="1:15" x14ac:dyDescent="0.3">
      <c r="A1252" s="5">
        <f t="shared" si="285"/>
        <v>12.439999999999779</v>
      </c>
      <c r="B1252" s="5">
        <f t="shared" si="295"/>
        <v>116.61307067536954</v>
      </c>
      <c r="C1252" s="6">
        <f t="shared" si="293"/>
        <v>4497.9327260499676</v>
      </c>
      <c r="D1252" s="6">
        <f t="shared" si="286"/>
        <v>20231398.808071293</v>
      </c>
      <c r="E1252" s="7">
        <f t="shared" si="287"/>
        <v>6248571.4285714282</v>
      </c>
      <c r="F1252" s="7">
        <f t="shared" si="288"/>
        <v>124.97142857142855</v>
      </c>
      <c r="G1252" s="7">
        <f t="shared" si="289"/>
        <v>13982827.379499864</v>
      </c>
      <c r="H1252" s="6">
        <f t="shared" si="290"/>
        <v>3739.3618946953857</v>
      </c>
      <c r="I1252" s="7">
        <f t="shared" si="291"/>
        <v>-6.0699540689095501</v>
      </c>
      <c r="J1252" s="7">
        <f t="shared" si="292"/>
        <v>-65.913422891195111</v>
      </c>
      <c r="K1252" s="8">
        <f t="shared" si="296"/>
        <v>234.12679980079693</v>
      </c>
      <c r="L1252" s="8">
        <f t="shared" si="297"/>
        <v>-9.8333255916334696</v>
      </c>
      <c r="M1252" s="8">
        <f t="shared" si="294"/>
        <v>106.77974508373607</v>
      </c>
      <c r="N1252" s="8">
        <f t="shared" si="298"/>
        <v>25.000000000000007</v>
      </c>
      <c r="O1252" s="8">
        <f t="shared" si="299"/>
        <v>27.302245052168431</v>
      </c>
    </row>
    <row r="1253" spans="1:15" x14ac:dyDescent="0.3">
      <c r="A1253" s="5">
        <f t="shared" si="285"/>
        <v>12.449999999999779</v>
      </c>
      <c r="B1253" s="5">
        <f t="shared" si="295"/>
        <v>116.55237113468044</v>
      </c>
      <c r="C1253" s="6">
        <f t="shared" si="293"/>
        <v>4495.5914580519593</v>
      </c>
      <c r="D1253" s="6">
        <f t="shared" si="286"/>
        <v>20210342.557709742</v>
      </c>
      <c r="E1253" s="7">
        <f t="shared" si="287"/>
        <v>6248571.4285714282</v>
      </c>
      <c r="F1253" s="7">
        <f t="shared" si="288"/>
        <v>124.97142857142855</v>
      </c>
      <c r="G1253" s="7">
        <f t="shared" si="289"/>
        <v>13961771.129138313</v>
      </c>
      <c r="H1253" s="6">
        <f t="shared" si="290"/>
        <v>3736.5453468596247</v>
      </c>
      <c r="I1253" s="7">
        <f t="shared" si="291"/>
        <v>-6.0737571768933964</v>
      </c>
      <c r="J1253" s="7">
        <f t="shared" si="292"/>
        <v>-65.872150930934041</v>
      </c>
      <c r="K1253" s="8">
        <f t="shared" si="296"/>
        <v>234.27349110874528</v>
      </c>
      <c r="L1253" s="8">
        <f t="shared" si="297"/>
        <v>-9.8394866265673002</v>
      </c>
      <c r="M1253" s="8">
        <f t="shared" si="294"/>
        <v>106.71288450811315</v>
      </c>
      <c r="N1253" s="8">
        <f t="shared" si="298"/>
        <v>25.000000000000007</v>
      </c>
      <c r="O1253" s="8">
        <f t="shared" si="299"/>
        <v>27.305130882723738</v>
      </c>
    </row>
    <row r="1254" spans="1:15" x14ac:dyDescent="0.3">
      <c r="A1254" s="5">
        <f t="shared" si="285"/>
        <v>12.459999999999779</v>
      </c>
      <c r="B1254" s="5">
        <f t="shared" si="295"/>
        <v>116.4916335629115</v>
      </c>
      <c r="C1254" s="6">
        <f t="shared" si="293"/>
        <v>4493.2487231408722</v>
      </c>
      <c r="D1254" s="6">
        <f t="shared" si="286"/>
        <v>20189284.088007078</v>
      </c>
      <c r="E1254" s="7">
        <f t="shared" si="287"/>
        <v>6248571.4285714282</v>
      </c>
      <c r="F1254" s="7">
        <f t="shared" si="288"/>
        <v>124.97142857142855</v>
      </c>
      <c r="G1254" s="7">
        <f t="shared" si="289"/>
        <v>13940712.659435648</v>
      </c>
      <c r="H1254" s="6">
        <f t="shared" si="290"/>
        <v>3733.7263771513371</v>
      </c>
      <c r="I1254" s="7">
        <f t="shared" si="291"/>
        <v>-6.0775679262994364</v>
      </c>
      <c r="J1254" s="7">
        <f t="shared" si="292"/>
        <v>-65.830847853275586</v>
      </c>
      <c r="K1254" s="8">
        <f t="shared" si="296"/>
        <v>234.42047715726397</v>
      </c>
      <c r="L1254" s="8">
        <f t="shared" si="297"/>
        <v>-9.845660040605086</v>
      </c>
      <c r="M1254" s="8">
        <f t="shared" si="294"/>
        <v>106.64597352230642</v>
      </c>
      <c r="N1254" s="8">
        <f t="shared" si="298"/>
        <v>25.000000000000011</v>
      </c>
      <c r="O1254" s="8">
        <f t="shared" si="299"/>
        <v>27.308024324646858</v>
      </c>
    </row>
    <row r="1255" spans="1:15" x14ac:dyDescent="0.3">
      <c r="A1255" s="5">
        <f t="shared" si="285"/>
        <v>12.469999999999779</v>
      </c>
      <c r="B1255" s="5">
        <f t="shared" si="295"/>
        <v>116.43085788364851</v>
      </c>
      <c r="C1255" s="6">
        <f t="shared" si="293"/>
        <v>4490.9045183692997</v>
      </c>
      <c r="D1255" s="6">
        <f t="shared" si="286"/>
        <v>20168223.393109791</v>
      </c>
      <c r="E1255" s="7">
        <f t="shared" si="287"/>
        <v>6248571.4285714282</v>
      </c>
      <c r="F1255" s="7">
        <f t="shared" si="288"/>
        <v>124.97142857142855</v>
      </c>
      <c r="G1255" s="7">
        <f t="shared" si="289"/>
        <v>13919651.964538362</v>
      </c>
      <c r="H1255" s="6">
        <f t="shared" si="290"/>
        <v>3730.9049792963588</v>
      </c>
      <c r="I1255" s="7">
        <f t="shared" si="291"/>
        <v>-6.0813863437478135</v>
      </c>
      <c r="J1255" s="7">
        <f t="shared" si="292"/>
        <v>-65.789513584430281</v>
      </c>
      <c r="K1255" s="8">
        <f t="shared" si="296"/>
        <v>234.56775897312994</v>
      </c>
      <c r="L1255" s="8">
        <f t="shared" si="297"/>
        <v>-9.8518458768714563</v>
      </c>
      <c r="M1255" s="8">
        <f t="shared" si="294"/>
        <v>106.57901200677706</v>
      </c>
      <c r="N1255" s="8">
        <f t="shared" si="298"/>
        <v>25.000000000000004</v>
      </c>
      <c r="O1255" s="8">
        <f t="shared" si="299"/>
        <v>27.310925409086412</v>
      </c>
    </row>
    <row r="1256" spans="1:15" x14ac:dyDescent="0.3">
      <c r="A1256" s="5">
        <f t="shared" si="285"/>
        <v>12.479999999999778</v>
      </c>
      <c r="B1256" s="5">
        <f t="shared" si="295"/>
        <v>116.37004402021104</v>
      </c>
      <c r="C1256" s="6">
        <f t="shared" si="293"/>
        <v>4488.5588407795685</v>
      </c>
      <c r="D1256" s="6">
        <f t="shared" si="286"/>
        <v>20147160.467140425</v>
      </c>
      <c r="E1256" s="7">
        <f t="shared" si="287"/>
        <v>6248571.4285714282</v>
      </c>
      <c r="F1256" s="7">
        <f t="shared" si="288"/>
        <v>124.97142857142855</v>
      </c>
      <c r="G1256" s="7">
        <f t="shared" si="289"/>
        <v>13898589.038568996</v>
      </c>
      <c r="H1256" s="6">
        <f t="shared" si="290"/>
        <v>3728.0811469935838</v>
      </c>
      <c r="I1256" s="7">
        <f t="shared" si="291"/>
        <v>-6.0852124559921057</v>
      </c>
      <c r="J1256" s="7">
        <f t="shared" si="292"/>
        <v>-65.748148050311016</v>
      </c>
      <c r="K1256" s="8">
        <f t="shared" si="296"/>
        <v>234.71533758826692</v>
      </c>
      <c r="L1256" s="8">
        <f t="shared" si="297"/>
        <v>-9.8580441787072104</v>
      </c>
      <c r="M1256" s="8">
        <f t="shared" si="294"/>
        <v>106.51199984150384</v>
      </c>
      <c r="N1256" s="8">
        <f t="shared" si="298"/>
        <v>25.000000000000007</v>
      </c>
      <c r="O1256" s="8">
        <f t="shared" si="299"/>
        <v>27.313834167365314</v>
      </c>
    </row>
    <row r="1257" spans="1:15" x14ac:dyDescent="0.3">
      <c r="A1257" s="5">
        <f t="shared" si="285"/>
        <v>12.489999999999778</v>
      </c>
      <c r="B1257" s="5">
        <f t="shared" si="295"/>
        <v>116.30919189565113</v>
      </c>
      <c r="C1257" s="6">
        <f t="shared" si="293"/>
        <v>4486.2116874036856</v>
      </c>
      <c r="D1257" s="6">
        <f t="shared" si="286"/>
        <v>20126095.304197423</v>
      </c>
      <c r="E1257" s="7">
        <f t="shared" si="287"/>
        <v>6248571.4285714282</v>
      </c>
      <c r="F1257" s="7">
        <f t="shared" si="288"/>
        <v>124.97142857142855</v>
      </c>
      <c r="G1257" s="7">
        <f t="shared" si="289"/>
        <v>13877523.875625994</v>
      </c>
      <c r="H1257" s="6">
        <f t="shared" si="290"/>
        <v>3725.2548739148028</v>
      </c>
      <c r="I1257" s="7">
        <f t="shared" si="291"/>
        <v>-6.089046289920188</v>
      </c>
      <c r="J1257" s="7">
        <f t="shared" si="292"/>
        <v>-65.706751176531128</v>
      </c>
      <c r="K1257" s="8">
        <f t="shared" si="296"/>
        <v>234.86321403977868</v>
      </c>
      <c r="L1257" s="8">
        <f t="shared" si="297"/>
        <v>-9.8642549896707035</v>
      </c>
      <c r="M1257" s="8">
        <f t="shared" si="294"/>
        <v>106.44493690598043</v>
      </c>
      <c r="N1257" s="8">
        <f t="shared" si="298"/>
        <v>25.000000000000018</v>
      </c>
      <c r="O1257" s="8">
        <f t="shared" si="299"/>
        <v>27.316750630982003</v>
      </c>
    </row>
    <row r="1258" spans="1:15" x14ac:dyDescent="0.3">
      <c r="A1258" s="5">
        <f t="shared" si="285"/>
        <v>12.499999999999778</v>
      </c>
      <c r="B1258" s="5">
        <f t="shared" si="295"/>
        <v>116.24830143275193</v>
      </c>
      <c r="C1258" s="6">
        <f t="shared" si="293"/>
        <v>4483.8630552632885</v>
      </c>
      <c r="D1258" s="6">
        <f t="shared" si="286"/>
        <v>20105027.898355033</v>
      </c>
      <c r="E1258" s="7">
        <f t="shared" si="287"/>
        <v>6248571.4285714282</v>
      </c>
      <c r="F1258" s="7">
        <f t="shared" si="288"/>
        <v>124.97142857142855</v>
      </c>
      <c r="G1258" s="7">
        <f t="shared" si="289"/>
        <v>13856456.469783604</v>
      </c>
      <c r="H1258" s="6">
        <f t="shared" si="290"/>
        <v>3722.426153704544</v>
      </c>
      <c r="I1258" s="7">
        <f t="shared" si="291"/>
        <v>-6.0928878725551128</v>
      </c>
      <c r="J1258" s="7">
        <f t="shared" si="292"/>
        <v>-65.665322888402869</v>
      </c>
      <c r="K1258" s="8">
        <f t="shared" si="296"/>
        <v>235.01138936998291</v>
      </c>
      <c r="L1258" s="8">
        <f t="shared" si="297"/>
        <v>-9.8704783535392817</v>
      </c>
      <c r="M1258" s="8">
        <f t="shared" si="294"/>
        <v>106.37782307921265</v>
      </c>
      <c r="N1258" s="8">
        <f t="shared" si="298"/>
        <v>24.999999999999996</v>
      </c>
      <c r="O1258" s="8">
        <f t="shared" si="299"/>
        <v>27.319674831611607</v>
      </c>
    </row>
    <row r="1259" spans="1:15" x14ac:dyDescent="0.3">
      <c r="A1259" s="5">
        <f t="shared" si="285"/>
        <v>12.509999999999778</v>
      </c>
      <c r="B1259" s="5">
        <f t="shared" si="295"/>
        <v>116.18737255402638</v>
      </c>
      <c r="C1259" s="6">
        <f t="shared" si="293"/>
        <v>4481.5129413695886</v>
      </c>
      <c r="D1259" s="6">
        <f t="shared" si="286"/>
        <v>20083958.243663102</v>
      </c>
      <c r="E1259" s="7">
        <f t="shared" si="287"/>
        <v>6248571.4285714282</v>
      </c>
      <c r="F1259" s="7">
        <f t="shared" si="288"/>
        <v>124.97142857142855</v>
      </c>
      <c r="G1259" s="7">
        <f t="shared" si="289"/>
        <v>13835386.815091673</v>
      </c>
      <c r="H1259" s="6">
        <f t="shared" si="290"/>
        <v>3719.5949799799</v>
      </c>
      <c r="I1259" s="7">
        <f t="shared" si="291"/>
        <v>-6.0967372310560366</v>
      </c>
      <c r="J1259" s="7">
        <f t="shared" si="292"/>
        <v>-65.623863110935559</v>
      </c>
      <c r="K1259" s="8">
        <f t="shared" si="296"/>
        <v>235.1598646264471</v>
      </c>
      <c r="L1259" s="8">
        <f t="shared" si="297"/>
        <v>-9.8767143143107781</v>
      </c>
      <c r="M1259" s="8">
        <f t="shared" si="294"/>
        <v>106.31065823971561</v>
      </c>
      <c r="N1259" s="8">
        <f t="shared" si="298"/>
        <v>25.000000000000007</v>
      </c>
      <c r="O1259" s="8">
        <f t="shared" si="299"/>
        <v>27.322606801107419</v>
      </c>
    </row>
    <row r="1260" spans="1:15" x14ac:dyDescent="0.3">
      <c r="A1260" s="5">
        <f t="shared" si="285"/>
        <v>12.519999999999778</v>
      </c>
      <c r="B1260" s="5">
        <f t="shared" si="295"/>
        <v>116.12640518171582</v>
      </c>
      <c r="C1260" s="6">
        <f t="shared" si="293"/>
        <v>4479.1613427233242</v>
      </c>
      <c r="D1260" s="6">
        <f t="shared" si="286"/>
        <v>20062886.334147014</v>
      </c>
      <c r="E1260" s="7">
        <f t="shared" si="287"/>
        <v>6248571.4285714282</v>
      </c>
      <c r="F1260" s="7">
        <f t="shared" si="288"/>
        <v>124.97142857142855</v>
      </c>
      <c r="G1260" s="7">
        <f t="shared" si="289"/>
        <v>13814314.905575585</v>
      </c>
      <c r="H1260" s="6">
        <f t="shared" si="290"/>
        <v>3716.7613463303755</v>
      </c>
      <c r="I1260" s="7">
        <f t="shared" si="291"/>
        <v>-6.1005943927190689</v>
      </c>
      <c r="J1260" s="7">
        <f t="shared" si="292"/>
        <v>-65.582371768833909</v>
      </c>
      <c r="K1260" s="8">
        <f t="shared" si="296"/>
        <v>235.30864086202121</v>
      </c>
      <c r="L1260" s="8">
        <f t="shared" si="297"/>
        <v>-9.8829629162048889</v>
      </c>
      <c r="M1260" s="8">
        <f t="shared" si="294"/>
        <v>106.24344226551094</v>
      </c>
      <c r="N1260" s="8">
        <f t="shared" si="298"/>
        <v>24.999999999999996</v>
      </c>
      <c r="O1260" s="8">
        <f t="shared" si="299"/>
        <v>27.325546571501928</v>
      </c>
    </row>
    <row r="1261" spans="1:15" x14ac:dyDescent="0.3">
      <c r="A1261" s="5">
        <f t="shared" si="285"/>
        <v>12.529999999999777</v>
      </c>
      <c r="B1261" s="5">
        <f t="shared" si="295"/>
        <v>116.06539923778864</v>
      </c>
      <c r="C1261" s="6">
        <f t="shared" si="293"/>
        <v>4476.8082563147045</v>
      </c>
      <c r="D1261" s="6">
        <f t="shared" si="286"/>
        <v>20041812.163807504</v>
      </c>
      <c r="E1261" s="7">
        <f t="shared" si="287"/>
        <v>6248571.4285714282</v>
      </c>
      <c r="F1261" s="7">
        <f t="shared" si="288"/>
        <v>124.97142857142855</v>
      </c>
      <c r="G1261" s="7">
        <f t="shared" si="289"/>
        <v>13793240.735236075</v>
      </c>
      <c r="H1261" s="6">
        <f t="shared" si="290"/>
        <v>3713.9252463177118</v>
      </c>
      <c r="I1261" s="7">
        <f t="shared" si="291"/>
        <v>-6.1044593849782238</v>
      </c>
      <c r="J1261" s="7">
        <f t="shared" si="292"/>
        <v>-65.540848786496255</v>
      </c>
      <c r="K1261" s="8">
        <f t="shared" si="296"/>
        <v>235.45771913487434</v>
      </c>
      <c r="L1261" s="8">
        <f t="shared" si="297"/>
        <v>-9.8892242036647211</v>
      </c>
      <c r="M1261" s="8">
        <f t="shared" si="294"/>
        <v>106.17617503412391</v>
      </c>
      <c r="N1261" s="8">
        <f t="shared" si="298"/>
        <v>25.000000000000007</v>
      </c>
      <c r="O1261" s="8">
        <f t="shared" si="299"/>
        <v>27.328494175008295</v>
      </c>
    </row>
    <row r="1262" spans="1:15" x14ac:dyDescent="0.3">
      <c r="A1262" s="5">
        <f t="shared" si="285"/>
        <v>12.539999999999777</v>
      </c>
      <c r="B1262" s="5">
        <f t="shared" si="295"/>
        <v>116.00435464393885</v>
      </c>
      <c r="C1262" s="6">
        <f t="shared" si="293"/>
        <v>4474.4536791233559</v>
      </c>
      <c r="D1262" s="6">
        <f t="shared" si="286"/>
        <v>20020735.726620536</v>
      </c>
      <c r="E1262" s="7">
        <f t="shared" si="287"/>
        <v>6248571.4285714282</v>
      </c>
      <c r="F1262" s="7">
        <f t="shared" si="288"/>
        <v>124.97142857142855</v>
      </c>
      <c r="G1262" s="7">
        <f t="shared" si="289"/>
        <v>13772164.298049107</v>
      </c>
      <c r="H1262" s="6">
        <f t="shared" si="290"/>
        <v>3711.0866734757228</v>
      </c>
      <c r="I1262" s="7">
        <f t="shared" si="291"/>
        <v>-6.1083322354063014</v>
      </c>
      <c r="J1262" s="7">
        <f t="shared" si="292"/>
        <v>-65.499294088012761</v>
      </c>
      <c r="K1262" s="8">
        <f t="shared" si="296"/>
        <v>235.60710050852876</v>
      </c>
      <c r="L1262" s="8">
        <f t="shared" si="297"/>
        <v>-9.8954982213582063</v>
      </c>
      <c r="M1262" s="8">
        <f t="shared" si="294"/>
        <v>106.10885642258064</v>
      </c>
      <c r="N1262" s="8">
        <f t="shared" si="298"/>
        <v>25.000000000000004</v>
      </c>
      <c r="O1262" s="8">
        <f t="shared" si="299"/>
        <v>27.331449644021514</v>
      </c>
    </row>
    <row r="1263" spans="1:15" x14ac:dyDescent="0.3">
      <c r="A1263" s="5">
        <f t="shared" si="285"/>
        <v>12.549999999999777</v>
      </c>
      <c r="B1263" s="5">
        <f t="shared" si="295"/>
        <v>115.94327132158479</v>
      </c>
      <c r="C1263" s="6">
        <f t="shared" si="293"/>
        <v>4472.0976081182698</v>
      </c>
      <c r="D1263" s="6">
        <f t="shared" si="286"/>
        <v>19999657.016537149</v>
      </c>
      <c r="E1263" s="7">
        <f t="shared" si="287"/>
        <v>6248571.4285714282</v>
      </c>
      <c r="F1263" s="7">
        <f t="shared" si="288"/>
        <v>124.97142857142855</v>
      </c>
      <c r="G1263" s="7">
        <f t="shared" si="289"/>
        <v>13751085.587965719</v>
      </c>
      <c r="H1263" s="6">
        <f t="shared" si="290"/>
        <v>3708.2456213101254</v>
      </c>
      <c r="I1263" s="7">
        <f t="shared" si="291"/>
        <v>-6.1122129717158344</v>
      </c>
      <c r="J1263" s="7">
        <f t="shared" si="292"/>
        <v>-65.457707597163676</v>
      </c>
      <c r="K1263" s="8">
        <f t="shared" si="296"/>
        <v>235.75678605189646</v>
      </c>
      <c r="L1263" s="8">
        <f t="shared" si="297"/>
        <v>-9.9017850141796497</v>
      </c>
      <c r="M1263" s="8">
        <f t="shared" si="294"/>
        <v>106.04148630740514</v>
      </c>
      <c r="N1263" s="8">
        <f t="shared" si="298"/>
        <v>25.000000000000021</v>
      </c>
      <c r="O1263" s="8">
        <f t="shared" si="299"/>
        <v>27.334413011119846</v>
      </c>
    </row>
    <row r="1264" spans="1:15" x14ac:dyDescent="0.3">
      <c r="A1264" s="5">
        <f t="shared" si="285"/>
        <v>12.559999999999777</v>
      </c>
      <c r="B1264" s="5">
        <f t="shared" si="295"/>
        <v>115.88214919186763</v>
      </c>
      <c r="C1264" s="6">
        <f t="shared" si="293"/>
        <v>4469.7400402577514</v>
      </c>
      <c r="D1264" s="6">
        <f t="shared" si="286"/>
        <v>19978576.027483366</v>
      </c>
      <c r="E1264" s="7">
        <f t="shared" si="287"/>
        <v>6248571.4285714282</v>
      </c>
      <c r="F1264" s="7">
        <f t="shared" si="288"/>
        <v>124.97142857142855</v>
      </c>
      <c r="G1264" s="7">
        <f t="shared" si="289"/>
        <v>13730004.598911937</v>
      </c>
      <c r="H1264" s="6">
        <f t="shared" si="290"/>
        <v>3705.4020832983751</v>
      </c>
      <c r="I1264" s="7">
        <f t="shared" si="291"/>
        <v>-6.1161016217599853</v>
      </c>
      <c r="J1264" s="7">
        <f t="shared" si="292"/>
        <v>-65.41608923741758</v>
      </c>
      <c r="K1264" s="8">
        <f t="shared" si="296"/>
        <v>235.90677683931369</v>
      </c>
      <c r="L1264" s="8">
        <f t="shared" si="297"/>
        <v>-9.9080846272511742</v>
      </c>
      <c r="M1264" s="8">
        <f t="shared" si="294"/>
        <v>105.97406456461646</v>
      </c>
      <c r="N1264" s="8">
        <f t="shared" si="298"/>
        <v>24.999999999999996</v>
      </c>
      <c r="O1264" s="8">
        <f t="shared" si="299"/>
        <v>27.337384309065971</v>
      </c>
    </row>
    <row r="1265" spans="1:15" x14ac:dyDescent="0.3">
      <c r="A1265" s="5">
        <f t="shared" si="285"/>
        <v>12.569999999999776</v>
      </c>
      <c r="B1265" s="5">
        <f t="shared" si="295"/>
        <v>115.82098817565003</v>
      </c>
      <c r="C1265" s="6">
        <f t="shared" si="293"/>
        <v>4467.3809724893581</v>
      </c>
      <c r="D1265" s="6">
        <f t="shared" si="286"/>
        <v>19957492.753359962</v>
      </c>
      <c r="E1265" s="7">
        <f t="shared" si="287"/>
        <v>6248571.4285714282</v>
      </c>
      <c r="F1265" s="7">
        <f t="shared" si="288"/>
        <v>124.97142857142855</v>
      </c>
      <c r="G1265" s="7">
        <f t="shared" si="289"/>
        <v>13708921.324788533</v>
      </c>
      <c r="H1265" s="6">
        <f t="shared" si="290"/>
        <v>3702.5560528894812</v>
      </c>
      <c r="I1265" s="7">
        <f t="shared" si="291"/>
        <v>-6.1199982135335382</v>
      </c>
      <c r="J1265" s="7">
        <f t="shared" si="292"/>
        <v>-65.374438931929447</v>
      </c>
      <c r="K1265" s="8">
        <f t="shared" si="296"/>
        <v>236.05707395057931</v>
      </c>
      <c r="L1265" s="8">
        <f t="shared" si="297"/>
        <v>-9.9143971059243299</v>
      </c>
      <c r="M1265" s="8">
        <f t="shared" si="294"/>
        <v>105.90659106972569</v>
      </c>
      <c r="N1265" s="8">
        <f t="shared" si="298"/>
        <v>25</v>
      </c>
      <c r="O1265" s="8">
        <f t="shared" si="299"/>
        <v>27.340363570808588</v>
      </c>
    </row>
    <row r="1266" spans="1:15" x14ac:dyDescent="0.3">
      <c r="A1266" s="5">
        <f t="shared" si="285"/>
        <v>12.579999999999776</v>
      </c>
      <c r="B1266" s="5">
        <f t="shared" si="295"/>
        <v>115.75978819351469</v>
      </c>
      <c r="C1266" s="6">
        <f t="shared" si="293"/>
        <v>4465.0204017498527</v>
      </c>
      <c r="D1266" s="6">
        <f t="shared" si="286"/>
        <v>19936407.188042417</v>
      </c>
      <c r="E1266" s="7">
        <f t="shared" si="287"/>
        <v>6248571.4285714282</v>
      </c>
      <c r="F1266" s="7">
        <f t="shared" si="288"/>
        <v>124.97142857142855</v>
      </c>
      <c r="G1266" s="7">
        <f t="shared" si="289"/>
        <v>13687835.759470988</v>
      </c>
      <c r="H1266" s="6">
        <f t="shared" si="290"/>
        <v>3699.7075235038496</v>
      </c>
      <c r="I1266" s="7">
        <f t="shared" si="291"/>
        <v>-6.1239027751737796</v>
      </c>
      <c r="J1266" s="7">
        <f t="shared" si="292"/>
        <v>-65.332756603539011</v>
      </c>
      <c r="K1266" s="8">
        <f t="shared" si="296"/>
        <v>236.20767847098864</v>
      </c>
      <c r="L1266" s="8">
        <f t="shared" si="297"/>
        <v>-9.9207224957815221</v>
      </c>
      <c r="M1266" s="8">
        <f t="shared" si="294"/>
        <v>105.83906569773318</v>
      </c>
      <c r="N1266" s="8">
        <f t="shared" si="298"/>
        <v>25</v>
      </c>
      <c r="O1266" s="8">
        <f t="shared" si="299"/>
        <v>27.343350829483466</v>
      </c>
    </row>
    <row r="1267" spans="1:15" x14ac:dyDescent="0.3">
      <c r="A1267" s="5">
        <f t="shared" si="285"/>
        <v>12.589999999999776</v>
      </c>
      <c r="B1267" s="5">
        <f t="shared" si="295"/>
        <v>115.69854916576296</v>
      </c>
      <c r="C1267" s="6">
        <f t="shared" si="293"/>
        <v>4462.6583249651421</v>
      </c>
      <c r="D1267" s="6">
        <f t="shared" si="286"/>
        <v>19915319.325380687</v>
      </c>
      <c r="E1267" s="7">
        <f t="shared" si="287"/>
        <v>6248571.4285714282</v>
      </c>
      <c r="F1267" s="7">
        <f t="shared" si="288"/>
        <v>124.97142857142855</v>
      </c>
      <c r="G1267" s="7">
        <f t="shared" si="289"/>
        <v>13666747.896809258</v>
      </c>
      <c r="H1267" s="6">
        <f t="shared" si="290"/>
        <v>3696.8564885330966</v>
      </c>
      <c r="I1267" s="7">
        <f t="shared" si="291"/>
        <v>-6.1278153349614994</v>
      </c>
      <c r="J1267" s="7">
        <f t="shared" si="292"/>
        <v>-65.291042174768734</v>
      </c>
      <c r="K1267" s="8">
        <f t="shared" si="296"/>
        <v>236.3585914913721</v>
      </c>
      <c r="L1267" s="8">
        <f t="shared" si="297"/>
        <v>-9.9270608426376263</v>
      </c>
      <c r="M1267" s="8">
        <f t="shared" si="294"/>
        <v>105.77148832312533</v>
      </c>
      <c r="N1267" s="8">
        <f t="shared" si="298"/>
        <v>25.000000000000011</v>
      </c>
      <c r="O1267" s="8">
        <f t="shared" si="299"/>
        <v>27.346346118414996</v>
      </c>
    </row>
    <row r="1268" spans="1:15" x14ac:dyDescent="0.3">
      <c r="A1268" s="5">
        <f t="shared" si="285"/>
        <v>12.599999999999776</v>
      </c>
      <c r="B1268" s="5">
        <f t="shared" si="295"/>
        <v>115.63727101241334</v>
      </c>
      <c r="C1268" s="6">
        <f t="shared" si="293"/>
        <v>4460.2947390502286</v>
      </c>
      <c r="D1268" s="6">
        <f t="shared" si="286"/>
        <v>19894229.159199148</v>
      </c>
      <c r="E1268" s="7">
        <f t="shared" si="287"/>
        <v>6248571.4285714282</v>
      </c>
      <c r="F1268" s="7">
        <f t="shared" si="288"/>
        <v>124.97142857142855</v>
      </c>
      <c r="G1268" s="7">
        <f t="shared" si="289"/>
        <v>13645657.730627719</v>
      </c>
      <c r="H1268" s="6">
        <f t="shared" si="290"/>
        <v>3694.0029413398847</v>
      </c>
      <c r="I1268" s="7">
        <f t="shared" si="291"/>
        <v>-6.1317359213219111</v>
      </c>
      <c r="J1268" s="7">
        <f t="shared" si="292"/>
        <v>-65.249295567822131</v>
      </c>
      <c r="K1268" s="8">
        <f t="shared" si="296"/>
        <v>236.50981410813085</v>
      </c>
      <c r="L1268" s="8">
        <f t="shared" si="297"/>
        <v>-9.9334121925414944</v>
      </c>
      <c r="M1268" s="8">
        <f t="shared" si="294"/>
        <v>105.70385881987184</v>
      </c>
      <c r="N1268" s="8">
        <f t="shared" si="298"/>
        <v>24.999999999999996</v>
      </c>
      <c r="O1268" s="8">
        <f t="shared" si="299"/>
        <v>27.349349471117428</v>
      </c>
    </row>
    <row r="1269" spans="1:15" x14ac:dyDescent="0.3">
      <c r="A1269" s="5">
        <f t="shared" ref="A1269:A1332" si="300">A1268+$B$5</f>
        <v>12.609999999999776</v>
      </c>
      <c r="B1269" s="5">
        <f t="shared" si="295"/>
        <v>115.57595365320012</v>
      </c>
      <c r="C1269" s="6">
        <f t="shared" si="293"/>
        <v>4457.9296409091476</v>
      </c>
      <c r="D1269" s="6">
        <f t="shared" ref="D1269:D1332" si="301">POWER(C1269,2)</f>
        <v>19873136.68329636</v>
      </c>
      <c r="E1269" s="7">
        <f t="shared" ref="E1269:E1332" si="302">4*$B$2*$B$3*POWER($B$1,2)</f>
        <v>6248571.4285714282</v>
      </c>
      <c r="F1269" s="7">
        <f t="shared" ref="F1269:F1332" si="303">POWER($B$1,2)*2*$B$2</f>
        <v>124.97142857142855</v>
      </c>
      <c r="G1269" s="7">
        <f t="shared" ref="G1269:G1332" si="304">D1269-E1269</f>
        <v>13624565.254724931</v>
      </c>
      <c r="H1269" s="6">
        <f t="shared" ref="H1269:H1332" si="305">SQRT(G1269)</f>
        <v>3691.1468752577334</v>
      </c>
      <c r="I1269" s="7">
        <f t="shared" ref="I1269:I1332" si="306">(-C1269+H1269)/F1269</f>
        <v>-6.1356645628256743</v>
      </c>
      <c r="J1269" s="7">
        <f t="shared" ref="J1269:J1332" si="307">(-C1269-H1269)/F1269</f>
        <v>-65.20751670458182</v>
      </c>
      <c r="K1269" s="8">
        <f t="shared" si="296"/>
        <v>236.661347423276</v>
      </c>
      <c r="L1269" s="8">
        <f t="shared" si="297"/>
        <v>-9.9397765917775907</v>
      </c>
      <c r="M1269" s="8">
        <f t="shared" si="294"/>
        <v>105.63617706142253</v>
      </c>
      <c r="N1269" s="8">
        <f t="shared" si="298"/>
        <v>25.000000000000014</v>
      </c>
      <c r="O1269" s="8">
        <f t="shared" si="299"/>
        <v>27.352360921296437</v>
      </c>
    </row>
    <row r="1270" spans="1:15" x14ac:dyDescent="0.3">
      <c r="A1270" s="5">
        <f t="shared" si="300"/>
        <v>12.619999999999775</v>
      </c>
      <c r="B1270" s="5">
        <f t="shared" si="295"/>
        <v>115.51459700757187</v>
      </c>
      <c r="C1270" s="6">
        <f t="shared" si="293"/>
        <v>4455.5630274349141</v>
      </c>
      <c r="D1270" s="6">
        <f t="shared" si="301"/>
        <v>19852041.891444977</v>
      </c>
      <c r="E1270" s="7">
        <f t="shared" si="302"/>
        <v>6248571.4285714282</v>
      </c>
      <c r="F1270" s="7">
        <f t="shared" si="303"/>
        <v>124.97142857142855</v>
      </c>
      <c r="G1270" s="7">
        <f t="shared" si="304"/>
        <v>13603470.462873548</v>
      </c>
      <c r="H1270" s="6">
        <f t="shared" si="305"/>
        <v>3688.2882835908513</v>
      </c>
      <c r="I1270" s="7">
        <f t="shared" si="306"/>
        <v>-6.1396012881898043</v>
      </c>
      <c r="J1270" s="7">
        <f t="shared" si="307"/>
        <v>-65.165705506607651</v>
      </c>
      <c r="K1270" s="8">
        <f t="shared" si="296"/>
        <v>236.81319254446387</v>
      </c>
      <c r="L1270" s="8">
        <f t="shared" si="297"/>
        <v>-9.946154086867482</v>
      </c>
      <c r="M1270" s="8">
        <f t="shared" si="294"/>
        <v>105.56844292070438</v>
      </c>
      <c r="N1270" s="8">
        <f t="shared" si="298"/>
        <v>25.000000000000011</v>
      </c>
      <c r="O1270" s="8">
        <f t="shared" si="299"/>
        <v>27.355380502850263</v>
      </c>
    </row>
    <row r="1271" spans="1:15" x14ac:dyDescent="0.3">
      <c r="A1271" s="5">
        <f t="shared" si="300"/>
        <v>12.629999999999775</v>
      </c>
      <c r="B1271" s="5">
        <f t="shared" si="295"/>
        <v>115.45320099468996</v>
      </c>
      <c r="C1271" s="6">
        <f t="shared" si="293"/>
        <v>4453.1948955094695</v>
      </c>
      <c r="D1271" s="6">
        <f t="shared" si="301"/>
        <v>19830944.777391594</v>
      </c>
      <c r="E1271" s="7">
        <f t="shared" si="302"/>
        <v>6248571.4285714282</v>
      </c>
      <c r="F1271" s="7">
        <f t="shared" si="303"/>
        <v>124.97142857142855</v>
      </c>
      <c r="G1271" s="7">
        <f t="shared" si="304"/>
        <v>13582373.348820165</v>
      </c>
      <c r="H1271" s="6">
        <f t="shared" si="305"/>
        <v>3685.4271596139524</v>
      </c>
      <c r="I1271" s="7">
        <f t="shared" si="306"/>
        <v>-6.1435461262787152</v>
      </c>
      <c r="J1271" s="7">
        <f t="shared" si="307"/>
        <v>-65.123861895134851</v>
      </c>
      <c r="K1271" s="8">
        <f t="shared" si="296"/>
        <v>236.96535058503613</v>
      </c>
      <c r="L1271" s="8">
        <f t="shared" si="297"/>
        <v>-9.9525447245715171</v>
      </c>
      <c r="M1271" s="8">
        <f t="shared" si="294"/>
        <v>105.50065627011844</v>
      </c>
      <c r="N1271" s="8">
        <f t="shared" si="298"/>
        <v>25.000000000000007</v>
      </c>
      <c r="O1271" s="8">
        <f t="shared" si="299"/>
        <v>27.358408249871349</v>
      </c>
    </row>
    <row r="1272" spans="1:15" x14ac:dyDescent="0.3">
      <c r="A1272" s="5">
        <f t="shared" si="300"/>
        <v>12.639999999999775</v>
      </c>
      <c r="B1272" s="5">
        <f t="shared" si="295"/>
        <v>115.39176553342718</v>
      </c>
      <c r="C1272" s="6">
        <f t="shared" si="293"/>
        <v>4450.8252420036197</v>
      </c>
      <c r="D1272" s="6">
        <f t="shared" si="301"/>
        <v>19809845.334856581</v>
      </c>
      <c r="E1272" s="7">
        <f t="shared" si="302"/>
        <v>6248571.4285714282</v>
      </c>
      <c r="F1272" s="7">
        <f t="shared" si="303"/>
        <v>124.97142857142855</v>
      </c>
      <c r="G1272" s="7">
        <f t="shared" si="304"/>
        <v>13561273.906285152</v>
      </c>
      <c r="H1272" s="6">
        <f t="shared" si="305"/>
        <v>3682.5634965720756</v>
      </c>
      <c r="I1272" s="7">
        <f t="shared" si="306"/>
        <v>-6.1474991061051778</v>
      </c>
      <c r="J1272" s="7">
        <f t="shared" si="307"/>
        <v>-65.0819857910721</v>
      </c>
      <c r="K1272" s="8">
        <f t="shared" si="296"/>
        <v>237.11782266405686</v>
      </c>
      <c r="L1272" s="8">
        <f t="shared" si="297"/>
        <v>-9.9589485518903871</v>
      </c>
      <c r="M1272" s="8">
        <f t="shared" si="294"/>
        <v>105.43281698153679</v>
      </c>
      <c r="N1272" s="8">
        <f t="shared" si="298"/>
        <v>25.000000000000004</v>
      </c>
      <c r="O1272" s="8">
        <f t="shared" si="299"/>
        <v>27.361444196647614</v>
      </c>
    </row>
    <row r="1273" spans="1:15" x14ac:dyDescent="0.3">
      <c r="A1273" s="5">
        <f t="shared" si="300"/>
        <v>12.649999999999775</v>
      </c>
      <c r="B1273" s="5">
        <f t="shared" si="295"/>
        <v>115.33029054236613</v>
      </c>
      <c r="C1273" s="6">
        <f t="shared" si="293"/>
        <v>4448.4540637769787</v>
      </c>
      <c r="D1273" s="6">
        <f t="shared" si="301"/>
        <v>19788743.557533916</v>
      </c>
      <c r="E1273" s="7">
        <f t="shared" si="302"/>
        <v>6248571.4285714282</v>
      </c>
      <c r="F1273" s="7">
        <f t="shared" si="303"/>
        <v>124.97142857142855</v>
      </c>
      <c r="G1273" s="7">
        <f t="shared" si="304"/>
        <v>13540172.128962487</v>
      </c>
      <c r="H1273" s="6">
        <f t="shared" si="305"/>
        <v>3679.6972876803993</v>
      </c>
      <c r="I1273" s="7">
        <f t="shared" si="306"/>
        <v>-6.1514602568313412</v>
      </c>
      <c r="J1273" s="7">
        <f t="shared" si="307"/>
        <v>-65.040077114999605</v>
      </c>
      <c r="K1273" s="8">
        <f t="shared" si="296"/>
        <v>237.27060990635172</v>
      </c>
      <c r="L1273" s="8">
        <f t="shared" si="297"/>
        <v>-9.9653656160667712</v>
      </c>
      <c r="M1273" s="8">
        <f t="shared" si="294"/>
        <v>105.36492492629935</v>
      </c>
      <c r="N1273" s="8">
        <f t="shared" si="298"/>
        <v>25.000000000000007</v>
      </c>
      <c r="O1273" s="8">
        <f t="shared" si="299"/>
        <v>27.364488377663957</v>
      </c>
    </row>
    <row r="1274" spans="1:15" x14ac:dyDescent="0.3">
      <c r="A1274" s="5">
        <f t="shared" si="300"/>
        <v>12.659999999999775</v>
      </c>
      <c r="B1274" s="5">
        <f t="shared" si="295"/>
        <v>115.26877593979782</v>
      </c>
      <c r="C1274" s="6">
        <f t="shared" si="293"/>
        <v>4446.0813576779155</v>
      </c>
      <c r="D1274" s="6">
        <f t="shared" si="301"/>
        <v>19767639.439091098</v>
      </c>
      <c r="E1274" s="7">
        <f t="shared" si="302"/>
        <v>6248571.4285714282</v>
      </c>
      <c r="F1274" s="7">
        <f t="shared" si="303"/>
        <v>124.97142857142855</v>
      </c>
      <c r="G1274" s="7">
        <f t="shared" si="304"/>
        <v>13519068.010519668</v>
      </c>
      <c r="H1274" s="6">
        <f t="shared" si="305"/>
        <v>3676.8285261240658</v>
      </c>
      <c r="I1274" s="7">
        <f t="shared" si="306"/>
        <v>-6.1554296077697179</v>
      </c>
      <c r="J1274" s="7">
        <f t="shared" si="307"/>
        <v>-64.998135787167215</v>
      </c>
      <c r="K1274" s="8">
        <f t="shared" si="296"/>
        <v>237.42371344254624</v>
      </c>
      <c r="L1274" s="8">
        <f t="shared" si="297"/>
        <v>-9.9717959645869421</v>
      </c>
      <c r="M1274" s="8">
        <f t="shared" si="294"/>
        <v>105.29697997521087</v>
      </c>
      <c r="N1274" s="8">
        <f t="shared" si="298"/>
        <v>24.999999999999996</v>
      </c>
      <c r="O1274" s="8">
        <f t="shared" si="299"/>
        <v>27.367540827603626</v>
      </c>
    </row>
    <row r="1275" spans="1:15" x14ac:dyDescent="0.3">
      <c r="A1275" s="5">
        <f t="shared" si="300"/>
        <v>12.669999999999774</v>
      </c>
      <c r="B1275" s="5">
        <f t="shared" si="295"/>
        <v>115.20722164372012</v>
      </c>
      <c r="C1275" s="6">
        <f t="shared" si="293"/>
        <v>4443.7071205434904</v>
      </c>
      <c r="D1275" s="6">
        <f t="shared" si="301"/>
        <v>19746532.973168921</v>
      </c>
      <c r="E1275" s="7">
        <f t="shared" si="302"/>
        <v>6248571.4285714282</v>
      </c>
      <c r="F1275" s="7">
        <f t="shared" si="303"/>
        <v>124.97142857142855</v>
      </c>
      <c r="G1275" s="7">
        <f t="shared" si="304"/>
        <v>13497961.544597492</v>
      </c>
      <c r="H1275" s="6">
        <f t="shared" si="305"/>
        <v>3673.9572050579864</v>
      </c>
      <c r="I1275" s="7">
        <f t="shared" si="306"/>
        <v>-6.1594071883842361</v>
      </c>
      <c r="J1275" s="7">
        <f t="shared" si="307"/>
        <v>-64.9561617274924</v>
      </c>
      <c r="K1275" s="8">
        <f t="shared" si="296"/>
        <v>237.57713440910624</v>
      </c>
      <c r="L1275" s="8">
        <f t="shared" si="297"/>
        <v>-9.9782396451824606</v>
      </c>
      <c r="M1275" s="8">
        <f t="shared" si="294"/>
        <v>105.22898199853766</v>
      </c>
      <c r="N1275" s="8">
        <f t="shared" si="298"/>
        <v>25.000000000000004</v>
      </c>
      <c r="O1275" s="8">
        <f t="shared" si="299"/>
        <v>27.370601581349788</v>
      </c>
    </row>
    <row r="1276" spans="1:15" x14ac:dyDescent="0.3">
      <c r="A1276" s="5">
        <f t="shared" si="300"/>
        <v>12.679999999999774</v>
      </c>
      <c r="B1276" s="5">
        <f t="shared" si="295"/>
        <v>115.14562757183627</v>
      </c>
      <c r="C1276" s="6">
        <f t="shared" si="293"/>
        <v>4441.3313491993986</v>
      </c>
      <c r="D1276" s="6">
        <f t="shared" si="301"/>
        <v>19725424.153381351</v>
      </c>
      <c r="E1276" s="7">
        <f t="shared" si="302"/>
        <v>6248571.4285714282</v>
      </c>
      <c r="F1276" s="7">
        <f t="shared" si="303"/>
        <v>124.97142857142855</v>
      </c>
      <c r="G1276" s="7">
        <f t="shared" si="304"/>
        <v>13476852.724809922</v>
      </c>
      <c r="H1276" s="6">
        <f t="shared" si="305"/>
        <v>3671.0833176066603</v>
      </c>
      <c r="I1276" s="7">
        <f t="shared" si="306"/>
        <v>-6.1633930282912308</v>
      </c>
      <c r="J1276" s="7">
        <f t="shared" si="307"/>
        <v>-64.914154855558323</v>
      </c>
      <c r="K1276" s="8">
        <f t="shared" si="296"/>
        <v>237.73087394837603</v>
      </c>
      <c r="L1276" s="8">
        <f t="shared" si="297"/>
        <v>-9.9846967058317926</v>
      </c>
      <c r="M1276" s="8">
        <f t="shared" si="294"/>
        <v>105.16093086600448</v>
      </c>
      <c r="N1276" s="8">
        <f t="shared" si="298"/>
        <v>24.999999999999996</v>
      </c>
      <c r="O1276" s="8">
        <f t="shared" si="299"/>
        <v>27.373670673986862</v>
      </c>
    </row>
    <row r="1277" spans="1:15" x14ac:dyDescent="0.3">
      <c r="A1277" s="5">
        <f t="shared" si="300"/>
        <v>12.689999999999774</v>
      </c>
      <c r="B1277" s="5">
        <f t="shared" si="295"/>
        <v>115.08399364155336</v>
      </c>
      <c r="C1277" s="6">
        <f t="shared" si="293"/>
        <v>4438.9540404599156</v>
      </c>
      <c r="D1277" s="6">
        <f t="shared" si="301"/>
        <v>19704312.97331541</v>
      </c>
      <c r="E1277" s="7">
        <f t="shared" si="302"/>
        <v>6248571.4285714282</v>
      </c>
      <c r="F1277" s="7">
        <f t="shared" si="303"/>
        <v>124.97142857142855</v>
      </c>
      <c r="G1277" s="7">
        <f t="shared" si="304"/>
        <v>13455741.544743981</v>
      </c>
      <c r="H1277" s="6">
        <f t="shared" si="305"/>
        <v>3668.2068568639884</v>
      </c>
      <c r="I1277" s="7">
        <f t="shared" si="306"/>
        <v>-6.1673871572605075</v>
      </c>
      <c r="J1277" s="7">
        <f t="shared" si="307"/>
        <v>-64.872115090611956</v>
      </c>
      <c r="K1277" s="8">
        <f t="shared" si="296"/>
        <v>237.88493320861957</v>
      </c>
      <c r="L1277" s="8">
        <f t="shared" si="297"/>
        <v>-9.9911671947620206</v>
      </c>
      <c r="M1277" s="8">
        <f t="shared" si="294"/>
        <v>105.09282644679135</v>
      </c>
      <c r="N1277" s="8">
        <f t="shared" si="298"/>
        <v>25.000000000000007</v>
      </c>
      <c r="O1277" s="8">
        <f t="shared" si="299"/>
        <v>27.376748140802121</v>
      </c>
    </row>
    <row r="1278" spans="1:15" x14ac:dyDescent="0.3">
      <c r="A1278" s="5">
        <f t="shared" si="300"/>
        <v>12.699999999999774</v>
      </c>
      <c r="B1278" s="5">
        <f t="shared" si="295"/>
        <v>115.02231976998075</v>
      </c>
      <c r="C1278" s="6">
        <f t="shared" si="293"/>
        <v>4436.5751911278285</v>
      </c>
      <c r="D1278" s="6">
        <f t="shared" si="301"/>
        <v>19683199.426530927</v>
      </c>
      <c r="E1278" s="7">
        <f t="shared" si="302"/>
        <v>6248571.4285714282</v>
      </c>
      <c r="F1278" s="7">
        <f t="shared" si="303"/>
        <v>124.97142857142855</v>
      </c>
      <c r="G1278" s="7">
        <f t="shared" si="304"/>
        <v>13434627.997959498</v>
      </c>
      <c r="H1278" s="6">
        <f t="shared" si="305"/>
        <v>3665.3278158930748</v>
      </c>
      <c r="I1278" s="7">
        <f t="shared" si="306"/>
        <v>-6.1713896052163655</v>
      </c>
      <c r="J1278" s="7">
        <f t="shared" si="307"/>
        <v>-64.830042351561872</v>
      </c>
      <c r="K1278" s="8">
        <f t="shared" si="296"/>
        <v>238.03931334405979</v>
      </c>
      <c r="L1278" s="8">
        <f t="shared" si="297"/>
        <v>-9.9976511604505109</v>
      </c>
      <c r="M1278" s="8">
        <f t="shared" si="294"/>
        <v>105.02466860953024</v>
      </c>
      <c r="N1278" s="8">
        <f t="shared" si="298"/>
        <v>25.000000000000007</v>
      </c>
      <c r="O1278" s="8">
        <f t="shared" si="299"/>
        <v>27.379834017287092</v>
      </c>
    </row>
    <row r="1279" spans="1:15" x14ac:dyDescent="0.3">
      <c r="A1279" s="5">
        <f t="shared" si="300"/>
        <v>12.709999999999773</v>
      </c>
      <c r="B1279" s="5">
        <f t="shared" si="295"/>
        <v>114.96060587392859</v>
      </c>
      <c r="C1279" s="6">
        <f t="shared" si="293"/>
        <v>4434.194797994388</v>
      </c>
      <c r="D1279" s="6">
        <f t="shared" si="301"/>
        <v>19662083.50656049</v>
      </c>
      <c r="E1279" s="7">
        <f t="shared" si="302"/>
        <v>6248571.4285714282</v>
      </c>
      <c r="F1279" s="7">
        <f t="shared" si="303"/>
        <v>124.97142857142855</v>
      </c>
      <c r="G1279" s="7">
        <f t="shared" si="304"/>
        <v>13413512.07798906</v>
      </c>
      <c r="H1279" s="6">
        <f t="shared" si="305"/>
        <v>3662.4461877260478</v>
      </c>
      <c r="I1279" s="7">
        <f t="shared" si="306"/>
        <v>-6.1754004022386626</v>
      </c>
      <c r="J1279" s="7">
        <f t="shared" si="307"/>
        <v>-64.787936556976533</v>
      </c>
      <c r="K1279" s="8">
        <f t="shared" si="296"/>
        <v>238.19401551491984</v>
      </c>
      <c r="L1279" s="8">
        <f t="shared" si="297"/>
        <v>-10.004148651626632</v>
      </c>
      <c r="M1279" s="8">
        <f t="shared" si="294"/>
        <v>104.95645722230195</v>
      </c>
      <c r="N1279" s="8">
        <f t="shared" si="298"/>
        <v>25.000000000000011</v>
      </c>
      <c r="O1279" s="8">
        <f t="shared" si="299"/>
        <v>27.382928339139131</v>
      </c>
    </row>
    <row r="1280" spans="1:15" x14ac:dyDescent="0.3">
      <c r="A1280" s="5">
        <f t="shared" si="300"/>
        <v>12.719999999999773</v>
      </c>
      <c r="B1280" s="5">
        <f t="shared" si="295"/>
        <v>114.8988518699062</v>
      </c>
      <c r="C1280" s="6">
        <f t="shared" si="293"/>
        <v>4431.8128578392389</v>
      </c>
      <c r="D1280" s="6">
        <f t="shared" si="301"/>
        <v>19640965.206909202</v>
      </c>
      <c r="E1280" s="7">
        <f t="shared" si="302"/>
        <v>6248571.4285714282</v>
      </c>
      <c r="F1280" s="7">
        <f t="shared" si="303"/>
        <v>124.97142857142855</v>
      </c>
      <c r="G1280" s="7">
        <f t="shared" si="304"/>
        <v>13392393.778337773</v>
      </c>
      <c r="H1280" s="6">
        <f t="shared" si="305"/>
        <v>3659.5619653638564</v>
      </c>
      <c r="I1280" s="7">
        <f t="shared" si="306"/>
        <v>-6.1794195785638752</v>
      </c>
      <c r="J1280" s="7">
        <f t="shared" si="307"/>
        <v>-64.745797625081934</v>
      </c>
      <c r="K1280" s="8">
        <f t="shared" si="296"/>
        <v>238.34904088746376</v>
      </c>
      <c r="L1280" s="8">
        <f t="shared" si="297"/>
        <v>-10.010659717273477</v>
      </c>
      <c r="M1280" s="8">
        <f t="shared" si="294"/>
        <v>104.88819215263271</v>
      </c>
      <c r="N1280" s="8">
        <f t="shared" si="298"/>
        <v>25.000000000000011</v>
      </c>
      <c r="O1280" s="8">
        <f t="shared" si="299"/>
        <v>27.386031142262912</v>
      </c>
    </row>
    <row r="1281" spans="1:15" x14ac:dyDescent="0.3">
      <c r="A1281" s="5">
        <f t="shared" si="300"/>
        <v>12.729999999999773</v>
      </c>
      <c r="B1281" s="5">
        <f t="shared" si="295"/>
        <v>114.83705767412056</v>
      </c>
      <c r="C1281" s="6">
        <f t="shared" si="293"/>
        <v>4429.4293674303644</v>
      </c>
      <c r="D1281" s="6">
        <f t="shared" si="301"/>
        <v>19619844.521054558</v>
      </c>
      <c r="E1281" s="7">
        <f t="shared" si="302"/>
        <v>6248571.4285714282</v>
      </c>
      <c r="F1281" s="7">
        <f t="shared" si="303"/>
        <v>124.97142857142855</v>
      </c>
      <c r="G1281" s="7">
        <f t="shared" si="304"/>
        <v>13371273.092483129</v>
      </c>
      <c r="H1281" s="6">
        <f t="shared" si="305"/>
        <v>3656.675141776082</v>
      </c>
      <c r="I1281" s="7">
        <f t="shared" si="306"/>
        <v>-6.1834471645861662</v>
      </c>
      <c r="J1281" s="7">
        <f t="shared" si="307"/>
        <v>-64.703625473759871</v>
      </c>
      <c r="K1281" s="8">
        <f t="shared" si="296"/>
        <v>238.50439063403783</v>
      </c>
      <c r="L1281" s="8">
        <f t="shared" si="297"/>
        <v>-10.017184406629587</v>
      </c>
      <c r="M1281" s="8">
        <f t="shared" si="294"/>
        <v>104.81987326749098</v>
      </c>
      <c r="N1281" s="8">
        <f t="shared" si="298"/>
        <v>25.000000000000007</v>
      </c>
      <c r="O1281" s="8">
        <f t="shared" si="299"/>
        <v>27.389142462771982</v>
      </c>
    </row>
    <row r="1282" spans="1:15" x14ac:dyDescent="0.3">
      <c r="A1282" s="5">
        <f t="shared" si="300"/>
        <v>12.739999999999773</v>
      </c>
      <c r="B1282" s="5">
        <f t="shared" si="295"/>
        <v>114.77522320247469</v>
      </c>
      <c r="C1282" s="6">
        <f t="shared" si="293"/>
        <v>4427.0443235240236</v>
      </c>
      <c r="D1282" s="6">
        <f t="shared" si="301"/>
        <v>19598721.44244628</v>
      </c>
      <c r="E1282" s="7">
        <f t="shared" si="302"/>
        <v>6248571.4285714282</v>
      </c>
      <c r="F1282" s="7">
        <f t="shared" si="303"/>
        <v>124.97142857142855</v>
      </c>
      <c r="G1282" s="7">
        <f t="shared" si="304"/>
        <v>13350150.013874851</v>
      </c>
      <c r="H1282" s="6">
        <f t="shared" si="305"/>
        <v>3653.7857099007397</v>
      </c>
      <c r="I1282" s="7">
        <f t="shared" si="306"/>
        <v>-6.1874831908584689</v>
      </c>
      <c r="J1282" s="7">
        <f t="shared" si="307"/>
        <v>-64.661420020545677</v>
      </c>
      <c r="K1282" s="8">
        <f t="shared" si="296"/>
        <v>238.66006593311235</v>
      </c>
      <c r="L1282" s="8">
        <f t="shared" si="297"/>
        <v>-10.023722769190718</v>
      </c>
      <c r="M1282" s="8">
        <f t="shared" si="294"/>
        <v>104.75150043328398</v>
      </c>
      <c r="N1282" s="8">
        <f t="shared" si="298"/>
        <v>25</v>
      </c>
      <c r="O1282" s="8">
        <f t="shared" si="299"/>
        <v>27.392262336990299</v>
      </c>
    </row>
    <row r="1283" spans="1:15" x14ac:dyDescent="0.3">
      <c r="A1283" s="5">
        <f t="shared" si="300"/>
        <v>12.749999999999773</v>
      </c>
      <c r="B1283" s="5">
        <f t="shared" si="295"/>
        <v>114.71334837056611</v>
      </c>
      <c r="C1283" s="6">
        <f t="shared" si="293"/>
        <v>4424.6577228646929</v>
      </c>
      <c r="D1283" s="6">
        <f t="shared" si="301"/>
        <v>19577595.964506168</v>
      </c>
      <c r="E1283" s="7">
        <f t="shared" si="302"/>
        <v>6248571.4285714282</v>
      </c>
      <c r="F1283" s="7">
        <f t="shared" si="303"/>
        <v>124.97142857142855</v>
      </c>
      <c r="G1283" s="7">
        <f t="shared" si="304"/>
        <v>13329024.535934739</v>
      </c>
      <c r="H1283" s="6">
        <f t="shared" si="305"/>
        <v>3650.8936626440845</v>
      </c>
      <c r="I1283" s="7">
        <f t="shared" si="306"/>
        <v>-6.1915276880935757</v>
      </c>
      <c r="J1283" s="7">
        <f t="shared" si="307"/>
        <v>-64.619181182626264</v>
      </c>
      <c r="K1283" s="8">
        <f t="shared" si="296"/>
        <v>238.81606796932363</v>
      </c>
      <c r="L1283" s="8">
        <f t="shared" si="297"/>
        <v>-10.030274854711591</v>
      </c>
      <c r="M1283" s="8">
        <f t="shared" si="294"/>
        <v>104.68307351585452</v>
      </c>
      <c r="N1283" s="8">
        <f t="shared" si="298"/>
        <v>25.000000000000014</v>
      </c>
      <c r="O1283" s="8">
        <f t="shared" si="299"/>
        <v>27.395390801453814</v>
      </c>
    </row>
    <row r="1284" spans="1:15" x14ac:dyDescent="0.3">
      <c r="A1284" s="5">
        <f t="shared" si="300"/>
        <v>12.759999999999772</v>
      </c>
      <c r="B1284" s="5">
        <f t="shared" si="295"/>
        <v>114.65143309368517</v>
      </c>
      <c r="C1284" s="6">
        <f t="shared" si="293"/>
        <v>4422.2695621849989</v>
      </c>
      <c r="D1284" s="6">
        <f t="shared" si="301"/>
        <v>19556468.080627903</v>
      </c>
      <c r="E1284" s="7">
        <f t="shared" si="302"/>
        <v>6248571.4285714282</v>
      </c>
      <c r="F1284" s="7">
        <f t="shared" si="303"/>
        <v>124.97142857142855</v>
      </c>
      <c r="G1284" s="7">
        <f t="shared" si="304"/>
        <v>13307896.652056474</v>
      </c>
      <c r="H1284" s="6">
        <f t="shared" si="305"/>
        <v>3647.9989928804084</v>
      </c>
      <c r="I1284" s="7">
        <f t="shared" si="306"/>
        <v>-6.1955806871652204</v>
      </c>
      <c r="J1284" s="7">
        <f t="shared" si="307"/>
        <v>-64.576908876837976</v>
      </c>
      <c r="K1284" s="8">
        <f t="shared" si="296"/>
        <v>238.97239793351562</v>
      </c>
      <c r="L1284" s="8">
        <f t="shared" si="297"/>
        <v>-10.036840713207654</v>
      </c>
      <c r="M1284" s="8">
        <f t="shared" si="294"/>
        <v>104.61459238047752</v>
      </c>
      <c r="N1284" s="8">
        <f t="shared" si="298"/>
        <v>25.000000000000004</v>
      </c>
      <c r="O1284" s="8">
        <f t="shared" si="299"/>
        <v>27.398527892911975</v>
      </c>
    </row>
    <row r="1285" spans="1:15" x14ac:dyDescent="0.3">
      <c r="A1285" s="5">
        <f t="shared" si="300"/>
        <v>12.769999999999772</v>
      </c>
      <c r="B1285" s="5">
        <f t="shared" si="295"/>
        <v>114.58947728681352</v>
      </c>
      <c r="C1285" s="6">
        <f t="shared" si="293"/>
        <v>4419.8798382056639</v>
      </c>
      <c r="D1285" s="6">
        <f t="shared" si="301"/>
        <v>19535337.784176927</v>
      </c>
      <c r="E1285" s="7">
        <f t="shared" si="302"/>
        <v>6248571.4285714282</v>
      </c>
      <c r="F1285" s="7">
        <f t="shared" si="303"/>
        <v>124.97142857142855</v>
      </c>
      <c r="G1285" s="7">
        <f t="shared" si="304"/>
        <v>13286766.355605498</v>
      </c>
      <c r="H1285" s="6">
        <f t="shared" si="305"/>
        <v>3645.1016934518434</v>
      </c>
      <c r="I1285" s="7">
        <f t="shared" si="306"/>
        <v>-6.1996422191092186</v>
      </c>
      <c r="J1285" s="7">
        <f t="shared" si="307"/>
        <v>-64.534603019664573</v>
      </c>
      <c r="K1285" s="8">
        <f t="shared" si="296"/>
        <v>239.12905702278414</v>
      </c>
      <c r="L1285" s="8">
        <f t="shared" si="297"/>
        <v>-10.043420394956932</v>
      </c>
      <c r="M1285" s="8">
        <f t="shared" si="294"/>
        <v>104.54605689185658</v>
      </c>
      <c r="N1285" s="8">
        <f t="shared" si="298"/>
        <v>25.000000000000007</v>
      </c>
      <c r="O1285" s="8">
        <f t="shared" si="299"/>
        <v>27.40167364832946</v>
      </c>
    </row>
    <row r="1286" spans="1:15" x14ac:dyDescent="0.3">
      <c r="A1286" s="5">
        <f t="shared" si="300"/>
        <v>12.779999999999772</v>
      </c>
      <c r="B1286" s="5">
        <f t="shared" si="295"/>
        <v>114.52748086462243</v>
      </c>
      <c r="C1286" s="6">
        <f t="shared" si="293"/>
        <v>4417.4885476354366</v>
      </c>
      <c r="D1286" s="6">
        <f t="shared" si="301"/>
        <v>19514205.068490241</v>
      </c>
      <c r="E1286" s="7">
        <f t="shared" si="302"/>
        <v>6248571.4285714282</v>
      </c>
      <c r="F1286" s="7">
        <f t="shared" si="303"/>
        <v>124.97142857142855</v>
      </c>
      <c r="G1286" s="7">
        <f t="shared" si="304"/>
        <v>13265633.639918812</v>
      </c>
      <c r="H1286" s="6">
        <f t="shared" si="305"/>
        <v>3642.2017571681572</v>
      </c>
      <c r="I1286" s="7">
        <f t="shared" si="306"/>
        <v>-6.2037123151245508</v>
      </c>
      <c r="J1286" s="7">
        <f t="shared" si="307"/>
        <v>-64.492263527234982</v>
      </c>
      <c r="K1286" s="8">
        <f t="shared" si="296"/>
        <v>239.28604644051836</v>
      </c>
      <c r="L1286" s="8">
        <f t="shared" si="297"/>
        <v>-10.05001395050177</v>
      </c>
      <c r="M1286" s="8">
        <f t="shared" si="294"/>
        <v>104.47746691412067</v>
      </c>
      <c r="N1286" s="8">
        <f t="shared" si="298"/>
        <v>25</v>
      </c>
      <c r="O1286" s="8">
        <f t="shared" si="299"/>
        <v>27.404828104887624</v>
      </c>
    </row>
    <row r="1287" spans="1:15" x14ac:dyDescent="0.3">
      <c r="A1287" s="5">
        <f t="shared" si="300"/>
        <v>12.789999999999772</v>
      </c>
      <c r="B1287" s="5">
        <f t="shared" si="295"/>
        <v>114.46544374147119</v>
      </c>
      <c r="C1287" s="6">
        <f t="shared" si="293"/>
        <v>4415.0956871710314</v>
      </c>
      <c r="D1287" s="6">
        <f t="shared" si="301"/>
        <v>19493069.926876243</v>
      </c>
      <c r="E1287" s="7">
        <f t="shared" si="302"/>
        <v>6248571.4285714282</v>
      </c>
      <c r="F1287" s="7">
        <f t="shared" si="303"/>
        <v>124.97142857142855</v>
      </c>
      <c r="G1287" s="7">
        <f t="shared" si="304"/>
        <v>13244498.498304814</v>
      </c>
      <c r="H1287" s="6">
        <f t="shared" si="305"/>
        <v>3639.2991768065476</v>
      </c>
      <c r="I1287" s="7">
        <f t="shared" si="306"/>
        <v>-6.2077910065745172</v>
      </c>
      <c r="J1287" s="7">
        <f t="shared" si="307"/>
        <v>-64.449890315321284</v>
      </c>
      <c r="K1287" s="8">
        <f t="shared" si="296"/>
        <v>239.44336739644564</v>
      </c>
      <c r="L1287" s="8">
        <f t="shared" si="297"/>
        <v>-10.056621430650715</v>
      </c>
      <c r="M1287" s="8">
        <f t="shared" si="294"/>
        <v>104.40882231082048</v>
      </c>
      <c r="N1287" s="8">
        <f t="shared" si="298"/>
        <v>25</v>
      </c>
      <c r="O1287" s="8">
        <f t="shared" si="299"/>
        <v>27.407991299986264</v>
      </c>
    </row>
    <row r="1288" spans="1:15" x14ac:dyDescent="0.3">
      <c r="A1288" s="5">
        <f t="shared" si="300"/>
        <v>12.799999999999772</v>
      </c>
      <c r="B1288" s="5">
        <f t="shared" si="295"/>
        <v>114.40336583140545</v>
      </c>
      <c r="C1288" s="6">
        <f t="shared" ref="C1288:C1351" si="308">$B$1*B1288</f>
        <v>4412.7012534970672</v>
      </c>
      <c r="D1288" s="6">
        <f t="shared" si="301"/>
        <v>19471932.352614589</v>
      </c>
      <c r="E1288" s="7">
        <f t="shared" si="302"/>
        <v>6248571.4285714282</v>
      </c>
      <c r="F1288" s="7">
        <f t="shared" si="303"/>
        <v>124.97142857142855</v>
      </c>
      <c r="G1288" s="7">
        <f t="shared" si="304"/>
        <v>13223360.92404316</v>
      </c>
      <c r="H1288" s="6">
        <f t="shared" si="305"/>
        <v>3636.3939451114425</v>
      </c>
      <c r="I1288" s="7">
        <f t="shared" si="306"/>
        <v>-6.211878324987854</v>
      </c>
      <c r="J1288" s="7">
        <f t="shared" si="307"/>
        <v>-64.407483299336505</v>
      </c>
      <c r="K1288" s="8">
        <f t="shared" si="296"/>
        <v>239.60102110667435</v>
      </c>
      <c r="L1288" s="8">
        <f t="shared" si="297"/>
        <v>-10.063242886480321</v>
      </c>
      <c r="M1288" s="8">
        <f t="shared" ref="M1288:M1351" si="309">B1288+L1288</f>
        <v>104.34012294492513</v>
      </c>
      <c r="N1288" s="8">
        <f t="shared" si="298"/>
        <v>25.000000000000004</v>
      </c>
      <c r="O1288" s="8">
        <f t="shared" si="299"/>
        <v>27.411163271245165</v>
      </c>
    </row>
    <row r="1289" spans="1:15" x14ac:dyDescent="0.3">
      <c r="A1289" s="5">
        <f t="shared" si="300"/>
        <v>12.809999999999771</v>
      </c>
      <c r="B1289" s="5">
        <f t="shared" ref="B1289:B1352" si="310">I1288*$B$5+B1288</f>
        <v>114.34124704815558</v>
      </c>
      <c r="C1289" s="6">
        <f t="shared" si="308"/>
        <v>4410.3052432860004</v>
      </c>
      <c r="D1289" s="6">
        <f t="shared" si="301"/>
        <v>19450792.338955987</v>
      </c>
      <c r="E1289" s="7">
        <f t="shared" si="302"/>
        <v>6248571.4285714282</v>
      </c>
      <c r="F1289" s="7">
        <f t="shared" si="303"/>
        <v>124.97142857142855</v>
      </c>
      <c r="G1289" s="7">
        <f t="shared" si="304"/>
        <v>13202220.910384558</v>
      </c>
      <c r="H1289" s="6">
        <f t="shared" si="305"/>
        <v>3633.4860547942876</v>
      </c>
      <c r="I1289" s="7">
        <f t="shared" si="306"/>
        <v>-6.2159743020598883</v>
      </c>
      <c r="J1289" s="7">
        <f t="shared" si="307"/>
        <v>-64.365042394332448</v>
      </c>
      <c r="K1289" s="8">
        <f t="shared" ref="K1289:K1352" si="311">-$B$1*I1289</f>
        <v>239.75900879373853</v>
      </c>
      <c r="L1289" s="8">
        <f t="shared" ref="L1289:L1352" si="312">-$B$2*K1289</f>
        <v>-10.069878369337017</v>
      </c>
      <c r="M1289" s="8">
        <f t="shared" si="309"/>
        <v>104.27136867881856</v>
      </c>
      <c r="N1289" s="8">
        <f t="shared" ref="N1289:N1352" si="313">K1289*M1289/1000</f>
        <v>25.000000000000011</v>
      </c>
      <c r="O1289" s="8">
        <f t="shared" ref="O1289:O1352" si="314">B1289*K1289/1000</f>
        <v>27.414344056505765</v>
      </c>
    </row>
    <row r="1290" spans="1:15" x14ac:dyDescent="0.3">
      <c r="A1290" s="5">
        <f t="shared" si="300"/>
        <v>12.819999999999771</v>
      </c>
      <c r="B1290" s="5">
        <f t="shared" si="310"/>
        <v>114.27908730513498</v>
      </c>
      <c r="C1290" s="6">
        <f t="shared" si="308"/>
        <v>4407.9076531980636</v>
      </c>
      <c r="D1290" s="6">
        <f t="shared" si="301"/>
        <v>19429649.87912206</v>
      </c>
      <c r="E1290" s="7">
        <f t="shared" si="302"/>
        <v>6248571.4285714282</v>
      </c>
      <c r="F1290" s="7">
        <f t="shared" si="303"/>
        <v>124.97142857142855</v>
      </c>
      <c r="G1290" s="7">
        <f t="shared" si="304"/>
        <v>13181078.450550631</v>
      </c>
      <c r="H1290" s="6">
        <f t="shared" si="305"/>
        <v>3630.5754985333429</v>
      </c>
      <c r="I1290" s="7">
        <f t="shared" si="306"/>
        <v>-6.220078969653688</v>
      </c>
      <c r="J1290" s="7">
        <f t="shared" si="307"/>
        <v>-64.322567514997559</v>
      </c>
      <c r="K1290" s="8">
        <f t="shared" si="311"/>
        <v>239.91733168664223</v>
      </c>
      <c r="L1290" s="8">
        <f t="shared" si="312"/>
        <v>-10.076527930838973</v>
      </c>
      <c r="M1290" s="8">
        <f t="shared" si="309"/>
        <v>104.202559374296</v>
      </c>
      <c r="N1290" s="8">
        <f t="shared" si="313"/>
        <v>25.000000000000004</v>
      </c>
      <c r="O1290" s="8">
        <f t="shared" si="314"/>
        <v>27.417533693832816</v>
      </c>
    </row>
    <row r="1291" spans="1:15" x14ac:dyDescent="0.3">
      <c r="A1291" s="5">
        <f t="shared" si="300"/>
        <v>12.829999999999771</v>
      </c>
      <c r="B1291" s="5">
        <f t="shared" si="310"/>
        <v>114.21688651543845</v>
      </c>
      <c r="C1291" s="6">
        <f t="shared" si="308"/>
        <v>4405.5084798811968</v>
      </c>
      <c r="D1291" s="6">
        <f t="shared" si="301"/>
        <v>19408504.966305133</v>
      </c>
      <c r="E1291" s="7">
        <f t="shared" si="302"/>
        <v>6248571.4285714282</v>
      </c>
      <c r="F1291" s="7">
        <f t="shared" si="303"/>
        <v>124.97142857142855</v>
      </c>
      <c r="G1291" s="7">
        <f t="shared" si="304"/>
        <v>13159933.537733704</v>
      </c>
      <c r="H1291" s="6">
        <f t="shared" si="305"/>
        <v>3627.6622689734645</v>
      </c>
      <c r="I1291" s="7">
        <f t="shared" si="306"/>
        <v>-6.2241923598012425</v>
      </c>
      <c r="J1291" s="7">
        <f t="shared" si="307"/>
        <v>-64.280058575654593</v>
      </c>
      <c r="K1291" s="8">
        <f t="shared" si="311"/>
        <v>240.07599102090506</v>
      </c>
      <c r="L1291" s="8">
        <f t="shared" si="312"/>
        <v>-10.083191622878012</v>
      </c>
      <c r="M1291" s="8">
        <f t="shared" si="309"/>
        <v>104.13369489256044</v>
      </c>
      <c r="N1291" s="8">
        <f t="shared" si="313"/>
        <v>25.000000000000007</v>
      </c>
      <c r="O1291" s="8">
        <f t="shared" si="314"/>
        <v>27.420732221516133</v>
      </c>
    </row>
    <row r="1292" spans="1:15" x14ac:dyDescent="0.3">
      <c r="A1292" s="5">
        <f t="shared" si="300"/>
        <v>12.839999999999771</v>
      </c>
      <c r="B1292" s="5">
        <f t="shared" si="310"/>
        <v>114.15464459184044</v>
      </c>
      <c r="C1292" s="6">
        <f t="shared" si="308"/>
        <v>4403.107719970988</v>
      </c>
      <c r="D1292" s="6">
        <f t="shared" si="301"/>
        <v>19387357.593668111</v>
      </c>
      <c r="E1292" s="7">
        <f t="shared" si="302"/>
        <v>6248571.4285714282</v>
      </c>
      <c r="F1292" s="7">
        <f t="shared" si="303"/>
        <v>124.97142857142855</v>
      </c>
      <c r="G1292" s="7">
        <f t="shared" si="304"/>
        <v>13138786.165096682</v>
      </c>
      <c r="H1292" s="6">
        <f t="shared" si="305"/>
        <v>3624.7463587259012</v>
      </c>
      <c r="I1292" s="7">
        <f t="shared" si="306"/>
        <v>-6.2283145047046276</v>
      </c>
      <c r="J1292" s="7">
        <f t="shared" si="307"/>
        <v>-64.237515490258616</v>
      </c>
      <c r="K1292" s="8">
        <f t="shared" si="311"/>
        <v>240.23498803860704</v>
      </c>
      <c r="L1292" s="8">
        <f t="shared" si="312"/>
        <v>-10.089869497621494</v>
      </c>
      <c r="M1292" s="8">
        <f t="shared" si="309"/>
        <v>104.06477509421894</v>
      </c>
      <c r="N1292" s="8">
        <f t="shared" si="313"/>
        <v>25.000000000000021</v>
      </c>
      <c r="O1292" s="8">
        <f t="shared" si="314"/>
        <v>27.423939678072227</v>
      </c>
    </row>
    <row r="1293" spans="1:15" x14ac:dyDescent="0.3">
      <c r="A1293" s="5">
        <f t="shared" si="300"/>
        <v>12.84999999999977</v>
      </c>
      <c r="B1293" s="5">
        <f t="shared" si="310"/>
        <v>114.09236144679339</v>
      </c>
      <c r="C1293" s="6">
        <f t="shared" si="308"/>
        <v>4400.7053700906017</v>
      </c>
      <c r="D1293" s="6">
        <f t="shared" si="301"/>
        <v>19366207.754344258</v>
      </c>
      <c r="E1293" s="7">
        <f t="shared" si="302"/>
        <v>6248571.4285714282</v>
      </c>
      <c r="F1293" s="7">
        <f t="shared" si="303"/>
        <v>124.97142857142855</v>
      </c>
      <c r="G1293" s="7">
        <f t="shared" si="304"/>
        <v>13117636.325772829</v>
      </c>
      <c r="H1293" s="6">
        <f t="shared" si="305"/>
        <v>3621.8277603680754</v>
      </c>
      <c r="I1293" s="7">
        <f t="shared" si="306"/>
        <v>-6.2324454367371809</v>
      </c>
      <c r="J1293" s="7">
        <f t="shared" si="307"/>
        <v>-64.194938172394544</v>
      </c>
      <c r="K1293" s="8">
        <f t="shared" si="311"/>
        <v>240.39432398843411</v>
      </c>
      <c r="L1293" s="8">
        <f t="shared" si="312"/>
        <v>-10.096561607514232</v>
      </c>
      <c r="M1293" s="8">
        <f t="shared" si="309"/>
        <v>103.99579983927916</v>
      </c>
      <c r="N1293" s="8">
        <f t="shared" si="313"/>
        <v>25.000000000000018</v>
      </c>
      <c r="O1293" s="8">
        <f t="shared" si="314"/>
        <v>27.427156102245981</v>
      </c>
    </row>
    <row r="1294" spans="1:15" x14ac:dyDescent="0.3">
      <c r="A1294" s="5">
        <f t="shared" si="300"/>
        <v>12.85999999999977</v>
      </c>
      <c r="B1294" s="5">
        <f t="shared" si="310"/>
        <v>114.03003699242602</v>
      </c>
      <c r="C1294" s="6">
        <f t="shared" si="308"/>
        <v>4398.3014268507177</v>
      </c>
      <c r="D1294" s="6">
        <f t="shared" si="301"/>
        <v>19345055.441437058</v>
      </c>
      <c r="E1294" s="7">
        <f t="shared" si="302"/>
        <v>6248571.4285714282</v>
      </c>
      <c r="F1294" s="7">
        <f t="shared" si="303"/>
        <v>124.97142857142855</v>
      </c>
      <c r="G1294" s="7">
        <f t="shared" si="304"/>
        <v>13096484.012865629</v>
      </c>
      <c r="H1294" s="6">
        <f t="shared" si="305"/>
        <v>3618.9064664433686</v>
      </c>
      <c r="I1294" s="7">
        <f t="shared" si="306"/>
        <v>-6.2365851884447245</v>
      </c>
      <c r="J1294" s="7">
        <f t="shared" si="307"/>
        <v>-64.152326535275051</v>
      </c>
      <c r="K1294" s="8">
        <f t="shared" si="311"/>
        <v>240.55400012572508</v>
      </c>
      <c r="L1294" s="8">
        <f t="shared" si="312"/>
        <v>-10.103268005280452</v>
      </c>
      <c r="M1294" s="8">
        <f t="shared" si="309"/>
        <v>103.92676898714556</v>
      </c>
      <c r="N1294" s="8">
        <f t="shared" si="313"/>
        <v>25.000000000000014</v>
      </c>
      <c r="O1294" s="8">
        <f t="shared" si="314"/>
        <v>27.430381533012486</v>
      </c>
    </row>
    <row r="1295" spans="1:15" x14ac:dyDescent="0.3">
      <c r="A1295" s="5">
        <f t="shared" si="300"/>
        <v>12.86999999999977</v>
      </c>
      <c r="B1295" s="5">
        <f t="shared" si="310"/>
        <v>113.96767114054157</v>
      </c>
      <c r="C1295" s="6">
        <f t="shared" si="308"/>
        <v>4395.8958868494601</v>
      </c>
      <c r="D1295" s="6">
        <f t="shared" si="301"/>
        <v>19323900.648020003</v>
      </c>
      <c r="E1295" s="7">
        <f t="shared" si="302"/>
        <v>6248571.4285714282</v>
      </c>
      <c r="F1295" s="7">
        <f t="shared" si="303"/>
        <v>124.97142857142855</v>
      </c>
      <c r="G1295" s="7">
        <f t="shared" si="304"/>
        <v>13075329.219448574</v>
      </c>
      <c r="H1295" s="6">
        <f t="shared" si="305"/>
        <v>3615.9824694609033</v>
      </c>
      <c r="I1295" s="7">
        <f t="shared" si="306"/>
        <v>-6.2407337925467523</v>
      </c>
      <c r="J1295" s="7">
        <f t="shared" si="307"/>
        <v>-64.109680491738175</v>
      </c>
      <c r="K1295" s="8">
        <f t="shared" si="311"/>
        <v>240.71401771251757</v>
      </c>
      <c r="L1295" s="8">
        <f t="shared" si="312"/>
        <v>-10.109988743925737</v>
      </c>
      <c r="M1295" s="8">
        <f t="shared" si="309"/>
        <v>103.85768239661583</v>
      </c>
      <c r="N1295" s="8">
        <f t="shared" si="313"/>
        <v>25.000000000000007</v>
      </c>
      <c r="O1295" s="8">
        <f t="shared" si="314"/>
        <v>27.433616009578703</v>
      </c>
    </row>
    <row r="1296" spans="1:15" x14ac:dyDescent="0.3">
      <c r="A1296" s="5">
        <f t="shared" si="300"/>
        <v>12.87999999999977</v>
      </c>
      <c r="B1296" s="5">
        <f t="shared" si="310"/>
        <v>113.9052638026161</v>
      </c>
      <c r="C1296" s="6">
        <f t="shared" si="308"/>
        <v>4393.4887466723349</v>
      </c>
      <c r="D1296" s="6">
        <f t="shared" si="301"/>
        <v>19302743.367136445</v>
      </c>
      <c r="E1296" s="7">
        <f t="shared" si="302"/>
        <v>6248571.4285714282</v>
      </c>
      <c r="F1296" s="7">
        <f t="shared" si="303"/>
        <v>124.97142857142855</v>
      </c>
      <c r="G1296" s="7">
        <f t="shared" si="304"/>
        <v>13054171.938565016</v>
      </c>
      <c r="H1296" s="6">
        <f t="shared" si="305"/>
        <v>3613.0557618953262</v>
      </c>
      <c r="I1296" s="7">
        <f t="shared" si="306"/>
        <v>-6.2448912819376563</v>
      </c>
      <c r="J1296" s="7">
        <f t="shared" si="307"/>
        <v>-64.066999954245134</v>
      </c>
      <c r="K1296" s="8">
        <f t="shared" si="311"/>
        <v>240.87437801759529</v>
      </c>
      <c r="L1296" s="8">
        <f t="shared" si="312"/>
        <v>-10.116723876739002</v>
      </c>
      <c r="M1296" s="8">
        <f t="shared" si="309"/>
        <v>103.7885399258771</v>
      </c>
      <c r="N1296" s="8">
        <f t="shared" si="313"/>
        <v>25.000000000000004</v>
      </c>
      <c r="O1296" s="8">
        <f t="shared" si="314"/>
        <v>27.436859571385266</v>
      </c>
    </row>
    <row r="1297" spans="1:15" x14ac:dyDescent="0.3">
      <c r="A1297" s="5">
        <f t="shared" si="300"/>
        <v>12.88999999999977</v>
      </c>
      <c r="B1297" s="5">
        <f t="shared" si="310"/>
        <v>113.84281488979673</v>
      </c>
      <c r="C1297" s="6">
        <f t="shared" si="308"/>
        <v>4391.0800028921594</v>
      </c>
      <c r="D1297" s="6">
        <f t="shared" si="301"/>
        <v>19281583.591799408</v>
      </c>
      <c r="E1297" s="7">
        <f t="shared" si="302"/>
        <v>6248571.4285714282</v>
      </c>
      <c r="F1297" s="7">
        <f t="shared" si="303"/>
        <v>124.97142857142855</v>
      </c>
      <c r="G1297" s="7">
        <f t="shared" si="304"/>
        <v>13033012.163227979</v>
      </c>
      <c r="H1297" s="6">
        <f t="shared" si="305"/>
        <v>3610.1263361865854</v>
      </c>
      <c r="I1297" s="7">
        <f t="shared" si="306"/>
        <v>-6.2490576896879508</v>
      </c>
      <c r="J1297" s="7">
        <f t="shared" si="307"/>
        <v>-64.024284834877946</v>
      </c>
      <c r="K1297" s="8">
        <f t="shared" si="311"/>
        <v>241.03508231653524</v>
      </c>
      <c r="L1297" s="8">
        <f t="shared" si="312"/>
        <v>-10.123473457294478</v>
      </c>
      <c r="M1297" s="8">
        <f t="shared" si="309"/>
        <v>103.71934143250225</v>
      </c>
      <c r="N1297" s="8">
        <f t="shared" si="313"/>
        <v>25.000000000000004</v>
      </c>
      <c r="O1297" s="8">
        <f t="shared" si="314"/>
        <v>27.44011225810824</v>
      </c>
    </row>
    <row r="1298" spans="1:15" x14ac:dyDescent="0.3">
      <c r="A1298" s="5">
        <f t="shared" si="300"/>
        <v>12.899999999999769</v>
      </c>
      <c r="B1298" s="5">
        <f t="shared" si="310"/>
        <v>113.78032431289985</v>
      </c>
      <c r="C1298" s="6">
        <f t="shared" si="308"/>
        <v>4388.6696520689939</v>
      </c>
      <c r="D1298" s="6">
        <f t="shared" si="301"/>
        <v>19260421.314991385</v>
      </c>
      <c r="E1298" s="7">
        <f t="shared" si="302"/>
        <v>6248571.4285714282</v>
      </c>
      <c r="F1298" s="7">
        <f t="shared" si="303"/>
        <v>124.97142857142855</v>
      </c>
      <c r="G1298" s="7">
        <f t="shared" si="304"/>
        <v>13011849.886419956</v>
      </c>
      <c r="H1298" s="6">
        <f t="shared" si="305"/>
        <v>3607.1941847397065</v>
      </c>
      <c r="I1298" s="7">
        <f t="shared" si="306"/>
        <v>-6.2532330490455097</v>
      </c>
      <c r="J1298" s="7">
        <f t="shared" si="307"/>
        <v>-63.981535045337118</v>
      </c>
      <c r="K1298" s="8">
        <f t="shared" si="311"/>
        <v>241.19613189175536</v>
      </c>
      <c r="L1298" s="8">
        <f t="shared" si="312"/>
        <v>-10.130237539453724</v>
      </c>
      <c r="M1298" s="8">
        <f t="shared" si="309"/>
        <v>103.65008677344613</v>
      </c>
      <c r="N1298" s="8">
        <f t="shared" si="313"/>
        <v>25</v>
      </c>
      <c r="O1298" s="8">
        <f t="shared" si="314"/>
        <v>27.443374109660891</v>
      </c>
    </row>
    <row r="1299" spans="1:15" x14ac:dyDescent="0.3">
      <c r="A1299" s="5">
        <f t="shared" si="300"/>
        <v>12.909999999999769</v>
      </c>
      <c r="B1299" s="5">
        <f t="shared" si="310"/>
        <v>113.71779198240939</v>
      </c>
      <c r="C1299" s="6">
        <f t="shared" si="308"/>
        <v>4386.2576907500761</v>
      </c>
      <c r="D1299" s="6">
        <f t="shared" si="301"/>
        <v>19239256.529664189</v>
      </c>
      <c r="E1299" s="7">
        <f t="shared" si="302"/>
        <v>6248571.4285714282</v>
      </c>
      <c r="F1299" s="7">
        <f t="shared" si="303"/>
        <v>124.97142857142855</v>
      </c>
      <c r="G1299" s="7">
        <f t="shared" si="304"/>
        <v>12990685.10109276</v>
      </c>
      <c r="H1299" s="6">
        <f t="shared" si="305"/>
        <v>3604.2592999245712</v>
      </c>
      <c r="I1299" s="7">
        <f t="shared" si="306"/>
        <v>-6.2574173934368256</v>
      </c>
      <c r="J1299" s="7">
        <f t="shared" si="307"/>
        <v>-63.938750496939342</v>
      </c>
      <c r="K1299" s="8">
        <f t="shared" si="311"/>
        <v>241.35752803256327</v>
      </c>
      <c r="L1299" s="8">
        <f t="shared" si="312"/>
        <v>-10.137016177367656</v>
      </c>
      <c r="M1299" s="8">
        <f t="shared" si="309"/>
        <v>103.58077580504174</v>
      </c>
      <c r="N1299" s="8">
        <f t="shared" si="313"/>
        <v>25.000000000000011</v>
      </c>
      <c r="O1299" s="8">
        <f t="shared" si="314"/>
        <v>27.446645166195573</v>
      </c>
    </row>
    <row r="1300" spans="1:15" x14ac:dyDescent="0.3">
      <c r="A1300" s="5">
        <f t="shared" si="300"/>
        <v>12.919999999999769</v>
      </c>
      <c r="B1300" s="5">
        <f t="shared" si="310"/>
        <v>113.65521780847503</v>
      </c>
      <c r="C1300" s="6">
        <f t="shared" si="308"/>
        <v>4383.8441154697512</v>
      </c>
      <c r="D1300" s="6">
        <f t="shared" si="301"/>
        <v>19218089.228738766</v>
      </c>
      <c r="E1300" s="7">
        <f t="shared" si="302"/>
        <v>6248571.4285714282</v>
      </c>
      <c r="F1300" s="7">
        <f t="shared" si="303"/>
        <v>124.97142857142855</v>
      </c>
      <c r="G1300" s="7">
        <f t="shared" si="304"/>
        <v>12969517.800167337</v>
      </c>
      <c r="H1300" s="6">
        <f t="shared" si="305"/>
        <v>3601.3216740756911</v>
      </c>
      <c r="I1300" s="7">
        <f t="shared" si="306"/>
        <v>-6.2616107564682455</v>
      </c>
      <c r="J1300" s="7">
        <f t="shared" si="307"/>
        <v>-63.895931100615122</v>
      </c>
      <c r="K1300" s="8">
        <f t="shared" si="311"/>
        <v>241.51927203520376</v>
      </c>
      <c r="L1300" s="8">
        <f t="shared" si="312"/>
        <v>-10.143809425478556</v>
      </c>
      <c r="M1300" s="8">
        <f t="shared" si="309"/>
        <v>103.51140838299648</v>
      </c>
      <c r="N1300" s="8">
        <f t="shared" si="313"/>
        <v>24.999999999999996</v>
      </c>
      <c r="O1300" s="8">
        <f t="shared" si="314"/>
        <v>27.449925468105416</v>
      </c>
    </row>
    <row r="1301" spans="1:15" x14ac:dyDescent="0.3">
      <c r="A1301" s="5">
        <f t="shared" si="300"/>
        <v>12.929999999999769</v>
      </c>
      <c r="B1301" s="5">
        <f t="shared" si="310"/>
        <v>113.59260170091035</v>
      </c>
      <c r="C1301" s="6">
        <f t="shared" si="308"/>
        <v>4381.4289227493991</v>
      </c>
      <c r="D1301" s="6">
        <f t="shared" si="301"/>
        <v>19196919.405104961</v>
      </c>
      <c r="E1301" s="7">
        <f t="shared" si="302"/>
        <v>6248571.4285714282</v>
      </c>
      <c r="F1301" s="7">
        <f t="shared" si="303"/>
        <v>124.97142857142855</v>
      </c>
      <c r="G1301" s="7">
        <f t="shared" si="304"/>
        <v>12948347.976533532</v>
      </c>
      <c r="H1301" s="6">
        <f t="shared" si="305"/>
        <v>3598.3812994919717</v>
      </c>
      <c r="I1301" s="7">
        <f t="shared" si="306"/>
        <v>-6.2658131719272898</v>
      </c>
      <c r="J1301" s="7">
        <f t="shared" si="307"/>
        <v>-63.85307676690627</v>
      </c>
      <c r="K1301" s="8">
        <f t="shared" si="311"/>
        <v>241.68136520290975</v>
      </c>
      <c r="L1301" s="8">
        <f t="shared" si="312"/>
        <v>-10.150617338522208</v>
      </c>
      <c r="M1301" s="8">
        <f t="shared" si="309"/>
        <v>103.44198436238814</v>
      </c>
      <c r="N1301" s="8">
        <f t="shared" si="313"/>
        <v>25.000000000000007</v>
      </c>
      <c r="O1301" s="8">
        <f t="shared" si="314"/>
        <v>27.45321505602638</v>
      </c>
    </row>
    <row r="1302" spans="1:15" x14ac:dyDescent="0.3">
      <c r="A1302" s="5">
        <f t="shared" si="300"/>
        <v>12.939999999999769</v>
      </c>
      <c r="B1302" s="5">
        <f t="shared" si="310"/>
        <v>113.52994356919108</v>
      </c>
      <c r="C1302" s="6">
        <f t="shared" si="308"/>
        <v>4379.0121090973698</v>
      </c>
      <c r="D1302" s="6">
        <f t="shared" si="301"/>
        <v>19175747.051621396</v>
      </c>
      <c r="E1302" s="7">
        <f t="shared" si="302"/>
        <v>6248571.4285714282</v>
      </c>
      <c r="F1302" s="7">
        <f t="shared" si="303"/>
        <v>124.97142857142855</v>
      </c>
      <c r="G1302" s="7">
        <f t="shared" si="304"/>
        <v>12927175.623049967</v>
      </c>
      <c r="H1302" s="6">
        <f t="shared" si="305"/>
        <v>3595.4381684364935</v>
      </c>
      <c r="I1302" s="7">
        <f t="shared" si="306"/>
        <v>-6.270024673783877</v>
      </c>
      <c r="J1302" s="7">
        <f t="shared" si="307"/>
        <v>-63.81018740596371</v>
      </c>
      <c r="K1302" s="8">
        <f t="shared" si="311"/>
        <v>241.84380884594952</v>
      </c>
      <c r="L1302" s="8">
        <f t="shared" si="312"/>
        <v>-10.157439971529879</v>
      </c>
      <c r="M1302" s="8">
        <f t="shared" si="309"/>
        <v>103.37250359766119</v>
      </c>
      <c r="N1302" s="8">
        <f t="shared" si="313"/>
        <v>25.000000000000004</v>
      </c>
      <c r="O1302" s="8">
        <f t="shared" si="314"/>
        <v>27.456513970838881</v>
      </c>
    </row>
    <row r="1303" spans="1:15" x14ac:dyDescent="0.3">
      <c r="A1303" s="5">
        <f t="shared" si="300"/>
        <v>12.949999999999768</v>
      </c>
      <c r="B1303" s="5">
        <f t="shared" si="310"/>
        <v>113.46724332245324</v>
      </c>
      <c r="C1303" s="6">
        <f t="shared" si="308"/>
        <v>4376.5936710089109</v>
      </c>
      <c r="D1303" s="6">
        <f t="shared" si="301"/>
        <v>19154572.161115255</v>
      </c>
      <c r="E1303" s="7">
        <f t="shared" si="302"/>
        <v>6248571.4285714282</v>
      </c>
      <c r="F1303" s="7">
        <f t="shared" si="303"/>
        <v>124.97142857142855</v>
      </c>
      <c r="G1303" s="7">
        <f t="shared" si="304"/>
        <v>12906000.732543826</v>
      </c>
      <c r="H1303" s="6">
        <f t="shared" si="305"/>
        <v>3592.4922731362731</v>
      </c>
      <c r="I1303" s="7">
        <f t="shared" si="306"/>
        <v>-6.2742452961916619</v>
      </c>
      <c r="J1303" s="7">
        <f t="shared" si="307"/>
        <v>-63.76726292754492</v>
      </c>
      <c r="K1303" s="8">
        <f t="shared" si="311"/>
        <v>242.00660428167836</v>
      </c>
      <c r="L1303" s="8">
        <f t="shared" si="312"/>
        <v>-10.164277379830491</v>
      </c>
      <c r="M1303" s="8">
        <f t="shared" si="309"/>
        <v>103.30296594262275</v>
      </c>
      <c r="N1303" s="8">
        <f t="shared" si="313"/>
        <v>25</v>
      </c>
      <c r="O1303" s="8">
        <f t="shared" si="314"/>
        <v>27.459822253669852</v>
      </c>
    </row>
    <row r="1304" spans="1:15" x14ac:dyDescent="0.3">
      <c r="A1304" s="5">
        <f t="shared" si="300"/>
        <v>12.959999999999768</v>
      </c>
      <c r="B1304" s="5">
        <f t="shared" si="310"/>
        <v>113.40450086949133</v>
      </c>
      <c r="C1304" s="6">
        <f t="shared" si="308"/>
        <v>4374.173604966094</v>
      </c>
      <c r="D1304" s="6">
        <f t="shared" si="301"/>
        <v>19133394.726382073</v>
      </c>
      <c r="E1304" s="7">
        <f t="shared" si="302"/>
        <v>6248571.4285714282</v>
      </c>
      <c r="F1304" s="7">
        <f t="shared" si="303"/>
        <v>124.97142857142855</v>
      </c>
      <c r="G1304" s="7">
        <f t="shared" si="304"/>
        <v>12884823.297810644</v>
      </c>
      <c r="H1304" s="6">
        <f t="shared" si="305"/>
        <v>3589.543605782028</v>
      </c>
      <c r="I1304" s="7">
        <f t="shared" si="306"/>
        <v>-6.2784750734893269</v>
      </c>
      <c r="J1304" s="7">
        <f t="shared" si="307"/>
        <v>-63.724303241011505</v>
      </c>
      <c r="K1304" s="8">
        <f t="shared" si="311"/>
        <v>242.16975283458831</v>
      </c>
      <c r="L1304" s="8">
        <f t="shared" si="312"/>
        <v>-10.171129619052708</v>
      </c>
      <c r="M1304" s="8">
        <f t="shared" si="309"/>
        <v>103.23337125043862</v>
      </c>
      <c r="N1304" s="8">
        <f t="shared" si="313"/>
        <v>25.000000000000014</v>
      </c>
      <c r="O1304" s="8">
        <f t="shared" si="314"/>
        <v>27.463139945894572</v>
      </c>
    </row>
    <row r="1305" spans="1:15" x14ac:dyDescent="0.3">
      <c r="A1305" s="5">
        <f t="shared" si="300"/>
        <v>12.969999999999768</v>
      </c>
      <c r="B1305" s="5">
        <f t="shared" si="310"/>
        <v>113.34171611875644</v>
      </c>
      <c r="C1305" s="6">
        <f t="shared" si="308"/>
        <v>4371.7519074377478</v>
      </c>
      <c r="D1305" s="6">
        <f t="shared" si="301"/>
        <v>19112214.740185585</v>
      </c>
      <c r="E1305" s="7">
        <f t="shared" si="302"/>
        <v>6248571.4285714282</v>
      </c>
      <c r="F1305" s="7">
        <f t="shared" si="303"/>
        <v>124.97142857142855</v>
      </c>
      <c r="G1305" s="7">
        <f t="shared" si="304"/>
        <v>12863643.311614156</v>
      </c>
      <c r="H1305" s="6">
        <f t="shared" si="305"/>
        <v>3586.5921585279466</v>
      </c>
      <c r="I1305" s="7">
        <f t="shared" si="306"/>
        <v>-6.2827140402018857</v>
      </c>
      <c r="J1305" s="7">
        <f t="shared" si="307"/>
        <v>-63.681308255326783</v>
      </c>
      <c r="K1305" s="8">
        <f t="shared" si="311"/>
        <v>242.33325583635843</v>
      </c>
      <c r="L1305" s="8">
        <f t="shared" si="312"/>
        <v>-10.177996745127054</v>
      </c>
      <c r="M1305" s="8">
        <f t="shared" si="309"/>
        <v>103.16371937362939</v>
      </c>
      <c r="N1305" s="8">
        <f t="shared" si="313"/>
        <v>25.000000000000018</v>
      </c>
      <c r="O1305" s="8">
        <f t="shared" si="314"/>
        <v>27.466467089138515</v>
      </c>
    </row>
    <row r="1306" spans="1:15" x14ac:dyDescent="0.3">
      <c r="A1306" s="5">
        <f t="shared" si="300"/>
        <v>12.979999999999768</v>
      </c>
      <c r="B1306" s="5">
        <f t="shared" si="310"/>
        <v>113.27888897835442</v>
      </c>
      <c r="C1306" s="6">
        <f t="shared" si="308"/>
        <v>4369.3285748793842</v>
      </c>
      <c r="D1306" s="6">
        <f t="shared" si="301"/>
        <v>19091032.195257511</v>
      </c>
      <c r="E1306" s="7">
        <f t="shared" si="302"/>
        <v>6248571.4285714282</v>
      </c>
      <c r="F1306" s="7">
        <f t="shared" si="303"/>
        <v>124.97142857142855</v>
      </c>
      <c r="G1306" s="7">
        <f t="shared" si="304"/>
        <v>12842460.766686082</v>
      </c>
      <c r="H1306" s="6">
        <f t="shared" si="305"/>
        <v>3583.6379234914457</v>
      </c>
      <c r="I1306" s="7">
        <f t="shared" si="306"/>
        <v>-6.2869622310420334</v>
      </c>
      <c r="J1306" s="7">
        <f t="shared" si="307"/>
        <v>-63.638277879053291</v>
      </c>
      <c r="K1306" s="8">
        <f t="shared" si="311"/>
        <v>242.49711462590699</v>
      </c>
      <c r="L1306" s="8">
        <f t="shared" si="312"/>
        <v>-10.184878814288092</v>
      </c>
      <c r="M1306" s="8">
        <f t="shared" si="309"/>
        <v>103.09401016406632</v>
      </c>
      <c r="N1306" s="8">
        <f t="shared" si="313"/>
        <v>25.000000000000011</v>
      </c>
      <c r="O1306" s="8">
        <f t="shared" si="314"/>
        <v>27.469803725279402</v>
      </c>
    </row>
    <row r="1307" spans="1:15" x14ac:dyDescent="0.3">
      <c r="A1307" s="5">
        <f t="shared" si="300"/>
        <v>12.989999999999768</v>
      </c>
      <c r="B1307" s="5">
        <f t="shared" si="310"/>
        <v>113.216019356044</v>
      </c>
      <c r="C1307" s="6">
        <f t="shared" si="308"/>
        <v>4366.9036037331252</v>
      </c>
      <c r="D1307" s="6">
        <f t="shared" si="301"/>
        <v>19069847.084297355</v>
      </c>
      <c r="E1307" s="7">
        <f t="shared" si="302"/>
        <v>6248571.4285714282</v>
      </c>
      <c r="F1307" s="7">
        <f t="shared" si="303"/>
        <v>124.97142857142855</v>
      </c>
      <c r="G1307" s="7">
        <f t="shared" si="304"/>
        <v>12821275.655725926</v>
      </c>
      <c r="H1307" s="6">
        <f t="shared" si="305"/>
        <v>3580.680892752931</v>
      </c>
      <c r="I1307" s="7">
        <f t="shared" si="306"/>
        <v>-6.2912196809114782</v>
      </c>
      <c r="J1307" s="7">
        <f t="shared" si="307"/>
        <v>-63.595212020350253</v>
      </c>
      <c r="K1307" s="8">
        <f t="shared" si="311"/>
        <v>242.66133054944271</v>
      </c>
      <c r="L1307" s="8">
        <f t="shared" si="312"/>
        <v>-10.191775883076593</v>
      </c>
      <c r="M1307" s="8">
        <f t="shared" si="309"/>
        <v>103.02424347296741</v>
      </c>
      <c r="N1307" s="8">
        <f t="shared" si="313"/>
        <v>25.000000000000011</v>
      </c>
      <c r="O1307" s="8">
        <f t="shared" si="314"/>
        <v>27.473149896449097</v>
      </c>
    </row>
    <row r="1308" spans="1:15" x14ac:dyDescent="0.3">
      <c r="A1308" s="5">
        <f t="shared" si="300"/>
        <v>12.999999999999767</v>
      </c>
      <c r="B1308" s="5">
        <f t="shared" si="310"/>
        <v>113.15310715923489</v>
      </c>
      <c r="C1308" s="6">
        <f t="shared" si="308"/>
        <v>4364.4769904276309</v>
      </c>
      <c r="D1308" s="6">
        <f t="shared" si="301"/>
        <v>19048659.39997223</v>
      </c>
      <c r="E1308" s="7">
        <f t="shared" si="302"/>
        <v>6248571.4285714282</v>
      </c>
      <c r="F1308" s="7">
        <f t="shared" si="303"/>
        <v>124.97142857142855</v>
      </c>
      <c r="G1308" s="7">
        <f t="shared" si="304"/>
        <v>12800087.971400801</v>
      </c>
      <c r="H1308" s="6">
        <f t="shared" si="305"/>
        <v>3577.7210583555561</v>
      </c>
      <c r="I1308" s="7">
        <f t="shared" si="306"/>
        <v>-6.2954864249022915</v>
      </c>
      <c r="J1308" s="7">
        <f t="shared" si="307"/>
        <v>-63.552110586971104</v>
      </c>
      <c r="K1308" s="8">
        <f t="shared" si="311"/>
        <v>242.82590496051694</v>
      </c>
      <c r="L1308" s="8">
        <f t="shared" si="312"/>
        <v>-10.19868800834171</v>
      </c>
      <c r="M1308" s="8">
        <f t="shared" si="309"/>
        <v>102.95441915089319</v>
      </c>
      <c r="N1308" s="8">
        <f t="shared" si="313"/>
        <v>25.000000000000014</v>
      </c>
      <c r="O1308" s="8">
        <f t="shared" si="314"/>
        <v>27.476505645035562</v>
      </c>
    </row>
    <row r="1309" spans="1:15" x14ac:dyDescent="0.3">
      <c r="A1309" s="5">
        <f t="shared" si="300"/>
        <v>13.009999999999767</v>
      </c>
      <c r="B1309" s="5">
        <f t="shared" si="310"/>
        <v>113.09015229498587</v>
      </c>
      <c r="C1309" s="6">
        <f t="shared" si="308"/>
        <v>4362.0487313780259</v>
      </c>
      <c r="D1309" s="6">
        <f t="shared" si="301"/>
        <v>19027469.134916645</v>
      </c>
      <c r="E1309" s="7">
        <f t="shared" si="302"/>
        <v>6248571.4285714282</v>
      </c>
      <c r="F1309" s="7">
        <f t="shared" si="303"/>
        <v>124.97142857142855</v>
      </c>
      <c r="G1309" s="7">
        <f t="shared" si="304"/>
        <v>12778897.706345215</v>
      </c>
      <c r="H1309" s="6">
        <f t="shared" si="305"/>
        <v>3574.7584123049792</v>
      </c>
      <c r="I1309" s="7">
        <f t="shared" si="306"/>
        <v>-6.2997624982982714</v>
      </c>
      <c r="J1309" s="7">
        <f t="shared" si="307"/>
        <v>-63.508973486260913</v>
      </c>
      <c r="K1309" s="8">
        <f t="shared" si="311"/>
        <v>242.99083922007617</v>
      </c>
      <c r="L1309" s="8">
        <f t="shared" si="312"/>
        <v>-10.205615247243198</v>
      </c>
      <c r="M1309" s="8">
        <f t="shared" si="309"/>
        <v>102.88453704774267</v>
      </c>
      <c r="N1309" s="8">
        <f t="shared" si="313"/>
        <v>25.000000000000007</v>
      </c>
      <c r="O1309" s="8">
        <f t="shared" si="314"/>
        <v>27.479871013684839</v>
      </c>
    </row>
    <row r="1310" spans="1:15" x14ac:dyDescent="0.3">
      <c r="A1310" s="5">
        <f t="shared" si="300"/>
        <v>13.019999999999767</v>
      </c>
      <c r="B1310" s="5">
        <f t="shared" si="310"/>
        <v>113.02715467000289</v>
      </c>
      <c r="C1310" s="6">
        <f t="shared" si="308"/>
        <v>4359.6188229858253</v>
      </c>
      <c r="D1310" s="6">
        <f t="shared" si="301"/>
        <v>19006276.281732313</v>
      </c>
      <c r="E1310" s="7">
        <f t="shared" si="302"/>
        <v>6248571.4285714282</v>
      </c>
      <c r="F1310" s="7">
        <f t="shared" si="303"/>
        <v>124.97142857142855</v>
      </c>
      <c r="G1310" s="7">
        <f t="shared" si="304"/>
        <v>12757704.853160884</v>
      </c>
      <c r="H1310" s="6">
        <f t="shared" si="305"/>
        <v>3571.7929465691154</v>
      </c>
      <c r="I1310" s="7">
        <f t="shared" si="306"/>
        <v>-6.3040479365763264</v>
      </c>
      <c r="J1310" s="7">
        <f t="shared" si="307"/>
        <v>-63.465800625153861</v>
      </c>
      <c r="K1310" s="8">
        <f t="shared" si="311"/>
        <v>243.15613469651544</v>
      </c>
      <c r="L1310" s="8">
        <f t="shared" si="312"/>
        <v>-10.212557657253647</v>
      </c>
      <c r="M1310" s="8">
        <f t="shared" si="309"/>
        <v>102.81459701274923</v>
      </c>
      <c r="N1310" s="8">
        <f t="shared" si="313"/>
        <v>25.000000000000007</v>
      </c>
      <c r="O1310" s="8">
        <f t="shared" si="314"/>
        <v>27.483246045303105</v>
      </c>
    </row>
    <row r="1311" spans="1:15" x14ac:dyDescent="0.3">
      <c r="A1311" s="5">
        <f t="shared" si="300"/>
        <v>13.029999999999767</v>
      </c>
      <c r="B1311" s="5">
        <f t="shared" si="310"/>
        <v>112.96411419063712</v>
      </c>
      <c r="C1311" s="6">
        <f t="shared" si="308"/>
        <v>4357.18726163886</v>
      </c>
      <c r="D1311" s="6">
        <f t="shared" si="301"/>
        <v>18985080.832987949</v>
      </c>
      <c r="E1311" s="7">
        <f t="shared" si="302"/>
        <v>6248571.4285714282</v>
      </c>
      <c r="F1311" s="7">
        <f t="shared" si="303"/>
        <v>124.97142857142855</v>
      </c>
      <c r="G1311" s="7">
        <f t="shared" si="304"/>
        <v>12736509.40441652</v>
      </c>
      <c r="H1311" s="6">
        <f t="shared" si="305"/>
        <v>3568.8246530778897</v>
      </c>
      <c r="I1311" s="7">
        <f t="shared" si="306"/>
        <v>-6.3083427754078567</v>
      </c>
      <c r="J1311" s="7">
        <f t="shared" si="307"/>
        <v>-63.422591910170624</v>
      </c>
      <c r="K1311" s="8">
        <f t="shared" si="311"/>
        <v>243.3217927657316</v>
      </c>
      <c r="L1311" s="8">
        <f t="shared" si="312"/>
        <v>-10.219515296160726</v>
      </c>
      <c r="M1311" s="8">
        <f t="shared" si="309"/>
        <v>102.7445988944764</v>
      </c>
      <c r="N1311" s="8">
        <f t="shared" si="313"/>
        <v>25.000000000000004</v>
      </c>
      <c r="O1311" s="8">
        <f t="shared" si="314"/>
        <v>27.486630783058644</v>
      </c>
    </row>
    <row r="1312" spans="1:15" x14ac:dyDescent="0.3">
      <c r="A1312" s="5">
        <f t="shared" si="300"/>
        <v>13.039999999999766</v>
      </c>
      <c r="B1312" s="5">
        <f t="shared" si="310"/>
        <v>112.90103076288304</v>
      </c>
      <c r="C1312" s="6">
        <f t="shared" si="308"/>
        <v>4354.7540437112029</v>
      </c>
      <c r="D1312" s="6">
        <f t="shared" si="301"/>
        <v>18963882.781219073</v>
      </c>
      <c r="E1312" s="7">
        <f t="shared" si="302"/>
        <v>6248571.4285714282</v>
      </c>
      <c r="F1312" s="7">
        <f t="shared" si="303"/>
        <v>124.97142857142855</v>
      </c>
      <c r="G1312" s="7">
        <f t="shared" si="304"/>
        <v>12715311.352647644</v>
      </c>
      <c r="H1312" s="6">
        <f t="shared" si="305"/>
        <v>3565.8535237229871</v>
      </c>
      <c r="I1312" s="7">
        <f t="shared" si="306"/>
        <v>-6.3126470506601642</v>
      </c>
      <c r="J1312" s="7">
        <f t="shared" si="307"/>
        <v>-63.379347247415801</v>
      </c>
      <c r="K1312" s="8">
        <f t="shared" si="311"/>
        <v>243.48781481117774</v>
      </c>
      <c r="L1312" s="8">
        <f t="shared" si="312"/>
        <v>-10.226488222069465</v>
      </c>
      <c r="M1312" s="8">
        <f t="shared" si="309"/>
        <v>102.67454254081358</v>
      </c>
      <c r="N1312" s="8">
        <f t="shared" si="313"/>
        <v>25.000000000000007</v>
      </c>
      <c r="O1312" s="8">
        <f t="shared" si="314"/>
        <v>27.490025270383946</v>
      </c>
    </row>
    <row r="1313" spans="1:15" x14ac:dyDescent="0.3">
      <c r="A1313" s="5">
        <f t="shared" si="300"/>
        <v>13.049999999999766</v>
      </c>
      <c r="B1313" s="5">
        <f t="shared" si="310"/>
        <v>112.83790429237644</v>
      </c>
      <c r="C1313" s="6">
        <f t="shared" si="308"/>
        <v>4352.3191655630908</v>
      </c>
      <c r="D1313" s="6">
        <f t="shared" si="301"/>
        <v>18942682.118927799</v>
      </c>
      <c r="E1313" s="7">
        <f t="shared" si="302"/>
        <v>6248571.4285714282</v>
      </c>
      <c r="F1313" s="7">
        <f t="shared" si="303"/>
        <v>124.97142857142855</v>
      </c>
      <c r="G1313" s="7">
        <f t="shared" si="304"/>
        <v>12694110.69035637</v>
      </c>
      <c r="H1313" s="6">
        <f t="shared" si="305"/>
        <v>3562.8795503575993</v>
      </c>
      <c r="I1313" s="7">
        <f t="shared" si="306"/>
        <v>-6.3169607983978526</v>
      </c>
      <c r="J1313" s="7">
        <f t="shared" si="307"/>
        <v>-63.336066542575267</v>
      </c>
      <c r="K1313" s="8">
        <f t="shared" si="311"/>
        <v>243.65420222391717</v>
      </c>
      <c r="L1313" s="8">
        <f t="shared" si="312"/>
        <v>-10.23347649340452</v>
      </c>
      <c r="M1313" s="8">
        <f t="shared" si="309"/>
        <v>102.60442779897191</v>
      </c>
      <c r="N1313" s="8">
        <f t="shared" si="313"/>
        <v>25.000000000000011</v>
      </c>
      <c r="O1313" s="8">
        <f t="shared" si="314"/>
        <v>27.493429550977702</v>
      </c>
    </row>
    <row r="1314" spans="1:15" x14ac:dyDescent="0.3">
      <c r="A1314" s="5">
        <f t="shared" si="300"/>
        <v>13.059999999999766</v>
      </c>
      <c r="B1314" s="5">
        <f t="shared" si="310"/>
        <v>112.77473468439246</v>
      </c>
      <c r="C1314" s="6">
        <f t="shared" si="308"/>
        <v>4349.8826235408515</v>
      </c>
      <c r="D1314" s="6">
        <f t="shared" si="301"/>
        <v>18921478.838582642</v>
      </c>
      <c r="E1314" s="7">
        <f t="shared" si="302"/>
        <v>6248571.4285714282</v>
      </c>
      <c r="F1314" s="7">
        <f t="shared" si="303"/>
        <v>124.97142857142855</v>
      </c>
      <c r="G1314" s="7">
        <f t="shared" si="304"/>
        <v>12672907.410011213</v>
      </c>
      <c r="H1314" s="6">
        <f t="shared" si="305"/>
        <v>3559.9027247961726</v>
      </c>
      <c r="I1314" s="7">
        <f t="shared" si="306"/>
        <v>-6.3212840548842628</v>
      </c>
      <c r="J1314" s="7">
        <f t="shared" si="307"/>
        <v>-63.292749700913554</v>
      </c>
      <c r="K1314" s="8">
        <f t="shared" si="311"/>
        <v>243.82095640267869</v>
      </c>
      <c r="L1314" s="8">
        <f t="shared" si="312"/>
        <v>-10.240480168912503</v>
      </c>
      <c r="M1314" s="8">
        <f t="shared" si="309"/>
        <v>102.53425451547996</v>
      </c>
      <c r="N1314" s="8">
        <f t="shared" si="313"/>
        <v>25</v>
      </c>
      <c r="O1314" s="8">
        <f t="shared" si="314"/>
        <v>27.49684366880691</v>
      </c>
    </row>
    <row r="1315" spans="1:15" x14ac:dyDescent="0.3">
      <c r="A1315" s="5">
        <f t="shared" si="300"/>
        <v>13.069999999999766</v>
      </c>
      <c r="B1315" s="5">
        <f t="shared" si="310"/>
        <v>112.71152184384361</v>
      </c>
      <c r="C1315" s="6">
        <f t="shared" si="308"/>
        <v>4347.4444139768248</v>
      </c>
      <c r="D1315" s="6">
        <f t="shared" si="301"/>
        <v>18900272.932618298</v>
      </c>
      <c r="E1315" s="7">
        <f t="shared" si="302"/>
        <v>6248571.4285714282</v>
      </c>
      <c r="F1315" s="7">
        <f t="shared" si="303"/>
        <v>124.97142857142855</v>
      </c>
      <c r="G1315" s="7">
        <f t="shared" si="304"/>
        <v>12651701.504046869</v>
      </c>
      <c r="H1315" s="6">
        <f t="shared" si="305"/>
        <v>3556.9230388141473</v>
      </c>
      <c r="I1315" s="7">
        <f t="shared" si="306"/>
        <v>-6.3256168565829256</v>
      </c>
      <c r="J1315" s="7">
        <f t="shared" si="307"/>
        <v>-63.24939662727116</v>
      </c>
      <c r="K1315" s="8">
        <f t="shared" si="311"/>
        <v>243.98807875391284</v>
      </c>
      <c r="L1315" s="8">
        <f t="shared" si="312"/>
        <v>-10.247499307664338</v>
      </c>
      <c r="M1315" s="8">
        <f t="shared" si="309"/>
        <v>102.46402253617927</v>
      </c>
      <c r="N1315" s="8">
        <f t="shared" si="313"/>
        <v>25.000000000000007</v>
      </c>
      <c r="O1315" s="8">
        <f t="shared" si="314"/>
        <v>27.500267668109082</v>
      </c>
    </row>
    <row r="1316" spans="1:15" x14ac:dyDescent="0.3">
      <c r="A1316" s="5">
        <f t="shared" si="300"/>
        <v>13.079999999999766</v>
      </c>
      <c r="B1316" s="5">
        <f t="shared" si="310"/>
        <v>112.64826567527778</v>
      </c>
      <c r="C1316" s="6">
        <f t="shared" si="308"/>
        <v>4345.0045331892861</v>
      </c>
      <c r="D1316" s="6">
        <f t="shared" si="301"/>
        <v>18879064.393435445</v>
      </c>
      <c r="E1316" s="7">
        <f t="shared" si="302"/>
        <v>6248571.4285714282</v>
      </c>
      <c r="F1316" s="7">
        <f t="shared" si="303"/>
        <v>124.97142857142855</v>
      </c>
      <c r="G1316" s="7">
        <f t="shared" si="304"/>
        <v>12630492.964864016</v>
      </c>
      <c r="H1316" s="6">
        <f t="shared" si="305"/>
        <v>3553.940484147704</v>
      </c>
      <c r="I1316" s="7">
        <f t="shared" si="306"/>
        <v>-6.3299592401589804</v>
      </c>
      <c r="J1316" s="7">
        <f t="shared" si="307"/>
        <v>-63.206007226061885</v>
      </c>
      <c r="K1316" s="8">
        <f t="shared" si="311"/>
        <v>244.15557069184638</v>
      </c>
      <c r="L1316" s="8">
        <f t="shared" si="312"/>
        <v>-10.254533969057547</v>
      </c>
      <c r="M1316" s="8">
        <f t="shared" si="309"/>
        <v>102.39373170622024</v>
      </c>
      <c r="N1316" s="8">
        <f t="shared" si="313"/>
        <v>25.000000000000007</v>
      </c>
      <c r="O1316" s="8">
        <f t="shared" si="314"/>
        <v>27.503701593394176</v>
      </c>
    </row>
    <row r="1317" spans="1:15" x14ac:dyDescent="0.3">
      <c r="A1317" s="5">
        <f t="shared" si="300"/>
        <v>13.089999999999765</v>
      </c>
      <c r="B1317" s="5">
        <f t="shared" si="310"/>
        <v>112.58496608287619</v>
      </c>
      <c r="C1317" s="6">
        <f t="shared" si="308"/>
        <v>4342.5629774823674</v>
      </c>
      <c r="D1317" s="6">
        <f t="shared" si="301"/>
        <v>18857853.213400524</v>
      </c>
      <c r="E1317" s="7">
        <f t="shared" si="302"/>
        <v>6248571.4285714282</v>
      </c>
      <c r="F1317" s="7">
        <f t="shared" si="303"/>
        <v>124.97142857142855</v>
      </c>
      <c r="G1317" s="7">
        <f t="shared" si="304"/>
        <v>12609281.784829095</v>
      </c>
      <c r="H1317" s="6">
        <f t="shared" si="305"/>
        <v>3550.9550524934971</v>
      </c>
      <c r="I1317" s="7">
        <f t="shared" si="306"/>
        <v>-6.3343112424806733</v>
      </c>
      <c r="J1317" s="7">
        <f t="shared" si="307"/>
        <v>-63.162581401270081</v>
      </c>
      <c r="K1317" s="8">
        <f t="shared" si="311"/>
        <v>244.32343363854025</v>
      </c>
      <c r="L1317" s="8">
        <f t="shared" si="312"/>
        <v>-10.26158421281869</v>
      </c>
      <c r="M1317" s="8">
        <f t="shared" si="309"/>
        <v>102.3233818700575</v>
      </c>
      <c r="N1317" s="8">
        <f t="shared" si="313"/>
        <v>25.000000000000007</v>
      </c>
      <c r="O1317" s="8">
        <f t="shared" si="314"/>
        <v>27.507145489446906</v>
      </c>
    </row>
    <row r="1318" spans="1:15" x14ac:dyDescent="0.3">
      <c r="A1318" s="5">
        <f t="shared" si="300"/>
        <v>13.099999999999765</v>
      </c>
      <c r="B1318" s="5">
        <f t="shared" si="310"/>
        <v>112.52162297045139</v>
      </c>
      <c r="C1318" s="6">
        <f t="shared" si="308"/>
        <v>4340.1197431459823</v>
      </c>
      <c r="D1318" s="6">
        <f t="shared" si="301"/>
        <v>18836639.384845547</v>
      </c>
      <c r="E1318" s="7">
        <f t="shared" si="302"/>
        <v>6248571.4285714282</v>
      </c>
      <c r="F1318" s="7">
        <f t="shared" si="303"/>
        <v>124.97142857142855</v>
      </c>
      <c r="G1318" s="7">
        <f t="shared" si="304"/>
        <v>12588067.956274118</v>
      </c>
      <c r="H1318" s="6">
        <f t="shared" si="305"/>
        <v>3547.966735508398</v>
      </c>
      <c r="I1318" s="7">
        <f t="shared" si="306"/>
        <v>-6.3386729006208178</v>
      </c>
      <c r="J1318" s="7">
        <f t="shared" si="307"/>
        <v>-63.119119056447957</v>
      </c>
      <c r="K1318" s="8">
        <f t="shared" si="311"/>
        <v>244.4916690239458</v>
      </c>
      <c r="L1318" s="8">
        <f t="shared" si="312"/>
        <v>-10.268650099005722</v>
      </c>
      <c r="M1318" s="8">
        <f t="shared" si="309"/>
        <v>102.25297287144566</v>
      </c>
      <c r="N1318" s="8">
        <f t="shared" si="313"/>
        <v>25.000000000000004</v>
      </c>
      <c r="O1318" s="8">
        <f t="shared" si="314"/>
        <v>27.510599401328818</v>
      </c>
    </row>
    <row r="1319" spans="1:15" x14ac:dyDescent="0.3">
      <c r="A1319" s="5">
        <f t="shared" si="300"/>
        <v>13.109999999999765</v>
      </c>
      <c r="B1319" s="5">
        <f t="shared" si="310"/>
        <v>112.45823624144518</v>
      </c>
      <c r="C1319" s="6">
        <f t="shared" si="308"/>
        <v>4337.6748264557427</v>
      </c>
      <c r="D1319" s="6">
        <f t="shared" si="301"/>
        <v>18815422.900067858</v>
      </c>
      <c r="E1319" s="7">
        <f t="shared" si="302"/>
        <v>6248571.4285714282</v>
      </c>
      <c r="F1319" s="7">
        <f t="shared" si="303"/>
        <v>124.97142857142855</v>
      </c>
      <c r="G1319" s="7">
        <f t="shared" si="304"/>
        <v>12566851.471496429</v>
      </c>
      <c r="H1319" s="6">
        <f t="shared" si="305"/>
        <v>3544.9755248092233</v>
      </c>
      <c r="I1319" s="7">
        <f t="shared" si="306"/>
        <v>-6.3430442518582959</v>
      </c>
      <c r="J1319" s="7">
        <f t="shared" si="307"/>
        <v>-63.075620094712818</v>
      </c>
      <c r="K1319" s="8">
        <f t="shared" si="311"/>
        <v>244.66027828596282</v>
      </c>
      <c r="L1319" s="8">
        <f t="shared" si="312"/>
        <v>-10.275731688010437</v>
      </c>
      <c r="M1319" s="8">
        <f t="shared" si="309"/>
        <v>102.18250455343474</v>
      </c>
      <c r="N1319" s="8">
        <f t="shared" si="313"/>
        <v>25.000000000000007</v>
      </c>
      <c r="O1319" s="8">
        <f t="shared" si="314"/>
        <v>27.514063374380527</v>
      </c>
    </row>
    <row r="1320" spans="1:15" x14ac:dyDescent="0.3">
      <c r="A1320" s="5">
        <f t="shared" si="300"/>
        <v>13.119999999999765</v>
      </c>
      <c r="B1320" s="5">
        <f t="shared" si="310"/>
        <v>112.3948057989266</v>
      </c>
      <c r="C1320" s="6">
        <f t="shared" si="308"/>
        <v>4335.2282236728825</v>
      </c>
      <c r="D1320" s="6">
        <f t="shared" si="301"/>
        <v>18794203.751329936</v>
      </c>
      <c r="E1320" s="7">
        <f t="shared" si="302"/>
        <v>6248571.4285714282</v>
      </c>
      <c r="F1320" s="7">
        <f t="shared" si="303"/>
        <v>124.97142857142855</v>
      </c>
      <c r="G1320" s="7">
        <f t="shared" si="304"/>
        <v>12545632.322758507</v>
      </c>
      <c r="H1320" s="6">
        <f t="shared" si="305"/>
        <v>3541.981411972472</v>
      </c>
      <c r="I1320" s="7">
        <f t="shared" si="306"/>
        <v>-6.3474253336795545</v>
      </c>
      <c r="J1320" s="7">
        <f t="shared" si="307"/>
        <v>-63.032084418744276</v>
      </c>
      <c r="K1320" s="8">
        <f t="shared" si="311"/>
        <v>244.8292628704971</v>
      </c>
      <c r="L1320" s="8">
        <f t="shared" si="312"/>
        <v>-10.282829040560877</v>
      </c>
      <c r="M1320" s="8">
        <f t="shared" si="309"/>
        <v>102.11197675836573</v>
      </c>
      <c r="N1320" s="8">
        <f t="shared" si="313"/>
        <v>25.000000000000014</v>
      </c>
      <c r="O1320" s="8">
        <f t="shared" si="314"/>
        <v>27.51753745422387</v>
      </c>
    </row>
    <row r="1321" spans="1:15" x14ac:dyDescent="0.3">
      <c r="A1321" s="5">
        <f t="shared" si="300"/>
        <v>13.129999999999765</v>
      </c>
      <c r="B1321" s="5">
        <f t="shared" si="310"/>
        <v>112.3313315455898</v>
      </c>
      <c r="C1321" s="6">
        <f t="shared" si="308"/>
        <v>4332.7799310441778</v>
      </c>
      <c r="D1321" s="6">
        <f t="shared" si="301"/>
        <v>18772981.930859189</v>
      </c>
      <c r="E1321" s="7">
        <f t="shared" si="302"/>
        <v>6248571.4285714282</v>
      </c>
      <c r="F1321" s="7">
        <f t="shared" si="303"/>
        <v>124.97142857142855</v>
      </c>
      <c r="G1321" s="7">
        <f t="shared" si="304"/>
        <v>12524410.50228776</v>
      </c>
      <c r="H1321" s="6">
        <f t="shared" si="305"/>
        <v>3538.9843885340551</v>
      </c>
      <c r="I1321" s="7">
        <f t="shared" si="306"/>
        <v>-6.3518161837801328</v>
      </c>
      <c r="J1321" s="7">
        <f t="shared" si="307"/>
        <v>-62.988511930781485</v>
      </c>
      <c r="K1321" s="8">
        <f t="shared" si="311"/>
        <v>244.99862423151939</v>
      </c>
      <c r="L1321" s="8">
        <f t="shared" si="312"/>
        <v>-10.289942217723814</v>
      </c>
      <c r="M1321" s="8">
        <f t="shared" si="309"/>
        <v>102.04138932786599</v>
      </c>
      <c r="N1321" s="8">
        <f t="shared" si="313"/>
        <v>25.000000000000011</v>
      </c>
      <c r="O1321" s="8">
        <f t="shared" si="314"/>
        <v>27.521021686764175</v>
      </c>
    </row>
    <row r="1322" spans="1:15" x14ac:dyDescent="0.3">
      <c r="A1322" s="5">
        <f t="shared" si="300"/>
        <v>13.139999999999764</v>
      </c>
      <c r="B1322" s="5">
        <f t="shared" si="310"/>
        <v>112.267813383752</v>
      </c>
      <c r="C1322" s="6">
        <f t="shared" si="308"/>
        <v>4330.3299448018624</v>
      </c>
      <c r="D1322" s="6">
        <f t="shared" si="301"/>
        <v>18751757.430847701</v>
      </c>
      <c r="E1322" s="7">
        <f t="shared" si="302"/>
        <v>6248571.4285714282</v>
      </c>
      <c r="F1322" s="7">
        <f t="shared" si="303"/>
        <v>124.97142857142855</v>
      </c>
      <c r="G1322" s="7">
        <f t="shared" si="304"/>
        <v>12503186.002276272</v>
      </c>
      <c r="H1322" s="6">
        <f t="shared" si="305"/>
        <v>3535.9844459890192</v>
      </c>
      <c r="I1322" s="7">
        <f t="shared" si="306"/>
        <v>-6.3562168400661916</v>
      </c>
      <c r="J1322" s="7">
        <f t="shared" si="307"/>
        <v>-62.944902532620233</v>
      </c>
      <c r="K1322" s="8">
        <f t="shared" si="311"/>
        <v>245.16836383112451</v>
      </c>
      <c r="L1322" s="8">
        <f t="shared" si="312"/>
        <v>-10.297071280907229</v>
      </c>
      <c r="M1322" s="8">
        <f t="shared" si="309"/>
        <v>101.97074210284477</v>
      </c>
      <c r="N1322" s="8">
        <f t="shared" si="313"/>
        <v>25.000000000000011</v>
      </c>
      <c r="O1322" s="8">
        <f t="shared" si="314"/>
        <v>27.524516118192501</v>
      </c>
    </row>
    <row r="1323" spans="1:15" x14ac:dyDescent="0.3">
      <c r="A1323" s="5">
        <f t="shared" si="300"/>
        <v>13.149999999999764</v>
      </c>
      <c r="B1323" s="5">
        <f t="shared" si="310"/>
        <v>112.20425121535133</v>
      </c>
      <c r="C1323" s="6">
        <f t="shared" si="308"/>
        <v>4327.8782611635515</v>
      </c>
      <c r="D1323" s="6">
        <f t="shared" si="301"/>
        <v>18730530.243452046</v>
      </c>
      <c r="E1323" s="7">
        <f t="shared" si="302"/>
        <v>6248571.4285714282</v>
      </c>
      <c r="F1323" s="7">
        <f t="shared" si="303"/>
        <v>124.97142857142855</v>
      </c>
      <c r="G1323" s="7">
        <f t="shared" si="304"/>
        <v>12481958.814880617</v>
      </c>
      <c r="H1323" s="6">
        <f t="shared" si="305"/>
        <v>3532.9815757912775</v>
      </c>
      <c r="I1323" s="7">
        <f t="shared" si="306"/>
        <v>-6.3606273406560581</v>
      </c>
      <c r="J1323" s="7">
        <f t="shared" si="307"/>
        <v>-62.90125612561021</v>
      </c>
      <c r="K1323" s="8">
        <f t="shared" si="311"/>
        <v>245.33848313959081</v>
      </c>
      <c r="L1323" s="8">
        <f t="shared" si="312"/>
        <v>-10.304216291862813</v>
      </c>
      <c r="M1323" s="8">
        <f t="shared" si="309"/>
        <v>101.90003492348852</v>
      </c>
      <c r="N1323" s="8">
        <f t="shared" si="313"/>
        <v>25.000000000000004</v>
      </c>
      <c r="O1323" s="8">
        <f t="shared" si="314"/>
        <v>27.528020794987885</v>
      </c>
    </row>
    <row r="1324" spans="1:15" x14ac:dyDescent="0.3">
      <c r="A1324" s="5">
        <f t="shared" si="300"/>
        <v>13.159999999999764</v>
      </c>
      <c r="B1324" s="5">
        <f t="shared" si="310"/>
        <v>112.14064494194477</v>
      </c>
      <c r="C1324" s="6">
        <f t="shared" si="308"/>
        <v>4325.4248763321548</v>
      </c>
      <c r="D1324" s="6">
        <f t="shared" si="301"/>
        <v>18709300.360793035</v>
      </c>
      <c r="E1324" s="7">
        <f t="shared" si="302"/>
        <v>6248571.4285714282</v>
      </c>
      <c r="F1324" s="7">
        <f t="shared" si="303"/>
        <v>124.97142857142855</v>
      </c>
      <c r="G1324" s="7">
        <f t="shared" si="304"/>
        <v>12460728.932221606</v>
      </c>
      <c r="H1324" s="6">
        <f t="shared" si="305"/>
        <v>3529.9757693533261</v>
      </c>
      <c r="I1324" s="7">
        <f t="shared" si="306"/>
        <v>-6.365047723881804</v>
      </c>
      <c r="J1324" s="7">
        <f t="shared" si="307"/>
        <v>-62.857572610652007</v>
      </c>
      <c r="K1324" s="8">
        <f t="shared" si="311"/>
        <v>245.50898363544098</v>
      </c>
      <c r="L1324" s="8">
        <f t="shared" si="312"/>
        <v>-10.311377312688521</v>
      </c>
      <c r="M1324" s="8">
        <f t="shared" si="309"/>
        <v>101.82926762925625</v>
      </c>
      <c r="N1324" s="8">
        <f t="shared" si="313"/>
        <v>25.000000000000014</v>
      </c>
      <c r="O1324" s="8">
        <f t="shared" si="314"/>
        <v>27.531535763919717</v>
      </c>
    </row>
    <row r="1325" spans="1:15" x14ac:dyDescent="0.3">
      <c r="A1325" s="5">
        <f t="shared" si="300"/>
        <v>13.169999999999764</v>
      </c>
      <c r="B1325" s="5">
        <f t="shared" si="310"/>
        <v>112.07699446470595</v>
      </c>
      <c r="C1325" s="6">
        <f t="shared" si="308"/>
        <v>4322.9697864958007</v>
      </c>
      <c r="D1325" s="6">
        <f t="shared" si="301"/>
        <v>18688067.774955548</v>
      </c>
      <c r="E1325" s="7">
        <f t="shared" si="302"/>
        <v>6248571.4285714282</v>
      </c>
      <c r="F1325" s="7">
        <f t="shared" si="303"/>
        <v>124.97142857142855</v>
      </c>
      <c r="G1325" s="7">
        <f t="shared" si="304"/>
        <v>12439496.346384119</v>
      </c>
      <c r="H1325" s="6">
        <f t="shared" si="305"/>
        <v>3526.9670180459752</v>
      </c>
      <c r="I1325" s="7">
        <f t="shared" si="306"/>
        <v>-6.3694780282907857</v>
      </c>
      <c r="J1325" s="7">
        <f t="shared" si="307"/>
        <v>-62.813851888194378</v>
      </c>
      <c r="K1325" s="8">
        <f t="shared" si="311"/>
        <v>245.67986680550172</v>
      </c>
      <c r="L1325" s="8">
        <f t="shared" si="312"/>
        <v>-10.318554405831071</v>
      </c>
      <c r="M1325" s="8">
        <f t="shared" si="309"/>
        <v>101.75844005887488</v>
      </c>
      <c r="N1325" s="8">
        <f t="shared" si="313"/>
        <v>25.000000000000011</v>
      </c>
      <c r="O1325" s="8">
        <f t="shared" si="314"/>
        <v>27.53506107204991</v>
      </c>
    </row>
    <row r="1326" spans="1:15" x14ac:dyDescent="0.3">
      <c r="A1326" s="5">
        <f t="shared" si="300"/>
        <v>13.179999999999763</v>
      </c>
      <c r="B1326" s="5">
        <f t="shared" si="310"/>
        <v>112.01329968442305</v>
      </c>
      <c r="C1326" s="6">
        <f t="shared" si="308"/>
        <v>4320.5129878277457</v>
      </c>
      <c r="D1326" s="6">
        <f t="shared" si="301"/>
        <v>18666832.477988236</v>
      </c>
      <c r="E1326" s="7">
        <f t="shared" si="302"/>
        <v>6248571.4285714282</v>
      </c>
      <c r="F1326" s="7">
        <f t="shared" si="303"/>
        <v>124.97142857142855</v>
      </c>
      <c r="G1326" s="7">
        <f t="shared" si="304"/>
        <v>12418261.049416807</v>
      </c>
      <c r="H1326" s="6">
        <f t="shared" si="305"/>
        <v>3523.9553131980556</v>
      </c>
      <c r="I1326" s="7">
        <f t="shared" si="306"/>
        <v>-6.3739182926472706</v>
      </c>
      <c r="J1326" s="7">
        <f t="shared" si="307"/>
        <v>-62.770093858231164</v>
      </c>
      <c r="K1326" s="8">
        <f t="shared" si="311"/>
        <v>245.85113414496615</v>
      </c>
      <c r="L1326" s="8">
        <f t="shared" si="312"/>
        <v>-10.325747634088577</v>
      </c>
      <c r="M1326" s="8">
        <f t="shared" si="309"/>
        <v>101.68755205033447</v>
      </c>
      <c r="N1326" s="8">
        <f t="shared" si="313"/>
        <v>25.000000000000007</v>
      </c>
      <c r="O1326" s="8">
        <f t="shared" si="314"/>
        <v>27.538596766735385</v>
      </c>
    </row>
    <row r="1327" spans="1:15" x14ac:dyDescent="0.3">
      <c r="A1327" s="5">
        <f t="shared" si="300"/>
        <v>13.189999999999763</v>
      </c>
      <c r="B1327" s="5">
        <f t="shared" si="310"/>
        <v>111.94956050149658</v>
      </c>
      <c r="C1327" s="6">
        <f t="shared" si="308"/>
        <v>4318.0544764862962</v>
      </c>
      <c r="D1327" s="6">
        <f t="shared" si="301"/>
        <v>18645594.461903341</v>
      </c>
      <c r="E1327" s="7">
        <f t="shared" si="302"/>
        <v>6248571.4285714282</v>
      </c>
      <c r="F1327" s="7">
        <f t="shared" si="303"/>
        <v>124.97142857142855</v>
      </c>
      <c r="G1327" s="7">
        <f t="shared" si="304"/>
        <v>12397023.033331912</v>
      </c>
      <c r="H1327" s="6">
        <f t="shared" si="305"/>
        <v>3520.9406460961413</v>
      </c>
      <c r="I1327" s="7">
        <f t="shared" si="306"/>
        <v>-6.3783685559340251</v>
      </c>
      <c r="J1327" s="7">
        <f t="shared" si="307"/>
        <v>-62.726298420298434</v>
      </c>
      <c r="K1327" s="8">
        <f t="shared" si="311"/>
        <v>246.02278715745524</v>
      </c>
      <c r="L1327" s="8">
        <f t="shared" si="312"/>
        <v>-10.332957060613118</v>
      </c>
      <c r="M1327" s="8">
        <f t="shared" si="309"/>
        <v>101.61660344088347</v>
      </c>
      <c r="N1327" s="8">
        <f t="shared" si="313"/>
        <v>25.000000000000007</v>
      </c>
      <c r="O1327" s="8">
        <f t="shared" si="314"/>
        <v>27.542142895630349</v>
      </c>
    </row>
    <row r="1328" spans="1:15" x14ac:dyDescent="0.3">
      <c r="A1328" s="5">
        <f t="shared" si="300"/>
        <v>13.199999999999763</v>
      </c>
      <c r="B1328" s="5">
        <f t="shared" si="310"/>
        <v>111.88577681593723</v>
      </c>
      <c r="C1328" s="6">
        <f t="shared" si="308"/>
        <v>4315.5942486147214</v>
      </c>
      <c r="D1328" s="6">
        <f t="shared" si="301"/>
        <v>18624353.718676463</v>
      </c>
      <c r="E1328" s="7">
        <f t="shared" si="302"/>
        <v>6248571.4285714282</v>
      </c>
      <c r="F1328" s="7">
        <f t="shared" si="303"/>
        <v>124.97142857142855</v>
      </c>
      <c r="G1328" s="7">
        <f t="shared" si="304"/>
        <v>12375782.290105034</v>
      </c>
      <c r="H1328" s="6">
        <f t="shared" si="305"/>
        <v>3517.9230079842614</v>
      </c>
      <c r="I1328" s="7">
        <f t="shared" si="306"/>
        <v>-6.3828288573539336</v>
      </c>
      <c r="J1328" s="7">
        <f t="shared" si="307"/>
        <v>-62.682465473471531</v>
      </c>
      <c r="K1328" s="8">
        <f t="shared" si="311"/>
        <v>246.19482735508029</v>
      </c>
      <c r="L1328" s="8">
        <f t="shared" si="312"/>
        <v>-10.340182748913371</v>
      </c>
      <c r="M1328" s="8">
        <f t="shared" si="309"/>
        <v>101.54559406702387</v>
      </c>
      <c r="N1328" s="8">
        <f t="shared" si="313"/>
        <v>25.000000000000007</v>
      </c>
      <c r="O1328" s="8">
        <f t="shared" si="314"/>
        <v>27.545699506688713</v>
      </c>
    </row>
    <row r="1329" spans="1:15" x14ac:dyDescent="0.3">
      <c r="A1329" s="5">
        <f t="shared" si="300"/>
        <v>13.209999999999763</v>
      </c>
      <c r="B1329" s="5">
        <f t="shared" si="310"/>
        <v>111.82194852736369</v>
      </c>
      <c r="C1329" s="6">
        <f t="shared" si="308"/>
        <v>4313.1323003411708</v>
      </c>
      <c r="D1329" s="6">
        <f t="shared" si="301"/>
        <v>18603110.240246318</v>
      </c>
      <c r="E1329" s="7">
        <f t="shared" si="302"/>
        <v>6248571.4285714282</v>
      </c>
      <c r="F1329" s="7">
        <f t="shared" si="303"/>
        <v>124.97142857142855</v>
      </c>
      <c r="G1329" s="7">
        <f t="shared" si="304"/>
        <v>12354538.811674889</v>
      </c>
      <c r="H1329" s="6">
        <f t="shared" si="305"/>
        <v>3514.9023900636116</v>
      </c>
      <c r="I1329" s="7">
        <f t="shared" si="306"/>
        <v>-6.3872992363316357</v>
      </c>
      <c r="J1329" s="7">
        <f t="shared" si="307"/>
        <v>-62.63859491636201</v>
      </c>
      <c r="K1329" s="8">
        <f t="shared" si="311"/>
        <v>246.36725625850593</v>
      </c>
      <c r="L1329" s="8">
        <f t="shared" si="312"/>
        <v>-10.347424762857248</v>
      </c>
      <c r="M1329" s="8">
        <f t="shared" si="309"/>
        <v>101.47452376450644</v>
      </c>
      <c r="N1329" s="8">
        <f t="shared" si="313"/>
        <v>25.000000000000007</v>
      </c>
      <c r="O1329" s="8">
        <f t="shared" si="314"/>
        <v>27.549266648166473</v>
      </c>
    </row>
    <row r="1330" spans="1:15" x14ac:dyDescent="0.3">
      <c r="A1330" s="5">
        <f t="shared" si="300"/>
        <v>13.219999999999763</v>
      </c>
      <c r="B1330" s="5">
        <f t="shared" si="310"/>
        <v>111.75807553500037</v>
      </c>
      <c r="C1330" s="6">
        <f t="shared" si="308"/>
        <v>4310.6686277785857</v>
      </c>
      <c r="D1330" s="6">
        <f t="shared" si="301"/>
        <v>18581864.018514514</v>
      </c>
      <c r="E1330" s="7">
        <f t="shared" si="302"/>
        <v>6248571.4285714282</v>
      </c>
      <c r="F1330" s="7">
        <f t="shared" si="303"/>
        <v>124.97142857142855</v>
      </c>
      <c r="G1330" s="7">
        <f t="shared" si="304"/>
        <v>12333292.589943085</v>
      </c>
      <c r="H1330" s="6">
        <f t="shared" si="305"/>
        <v>3511.8787834922614</v>
      </c>
      <c r="I1330" s="7">
        <f t="shared" si="306"/>
        <v>-6.3917797325151708</v>
      </c>
      <c r="J1330" s="7">
        <f t="shared" si="307"/>
        <v>-62.594686647114699</v>
      </c>
      <c r="K1330" s="8">
        <f t="shared" si="311"/>
        <v>246.54007539701371</v>
      </c>
      <c r="L1330" s="8">
        <f t="shared" si="312"/>
        <v>-10.354683166674574</v>
      </c>
      <c r="M1330" s="8">
        <f t="shared" si="309"/>
        <v>101.4033923683258</v>
      </c>
      <c r="N1330" s="8">
        <f t="shared" si="313"/>
        <v>25.000000000000007</v>
      </c>
      <c r="O1330" s="8">
        <f t="shared" si="314"/>
        <v>27.552844368624143</v>
      </c>
    </row>
    <row r="1331" spans="1:15" x14ac:dyDescent="0.3">
      <c r="A1331" s="5">
        <f t="shared" si="300"/>
        <v>13.229999999999762</v>
      </c>
      <c r="B1331" s="5">
        <f t="shared" si="310"/>
        <v>111.69415773767523</v>
      </c>
      <c r="C1331" s="6">
        <f t="shared" si="308"/>
        <v>4308.2032270246154</v>
      </c>
      <c r="D1331" s="6">
        <f t="shared" si="301"/>
        <v>18560615.04534531</v>
      </c>
      <c r="E1331" s="7">
        <f t="shared" si="302"/>
        <v>6248571.4285714282</v>
      </c>
      <c r="F1331" s="7">
        <f t="shared" si="303"/>
        <v>124.97142857142855</v>
      </c>
      <c r="G1331" s="7">
        <f t="shared" si="304"/>
        <v>12312043.616773881</v>
      </c>
      <c r="H1331" s="6">
        <f t="shared" si="305"/>
        <v>3508.8521793848599</v>
      </c>
      <c r="I1331" s="7">
        <f t="shared" si="306"/>
        <v>-6.3962703857776519</v>
      </c>
      <c r="J1331" s="7">
        <f t="shared" si="307"/>
        <v>-62.550740563404595</v>
      </c>
      <c r="K1331" s="8">
        <f t="shared" si="311"/>
        <v>246.71328630856655</v>
      </c>
      <c r="L1331" s="8">
        <f t="shared" si="312"/>
        <v>-10.361958024959794</v>
      </c>
      <c r="M1331" s="8">
        <f t="shared" si="309"/>
        <v>101.33219971271544</v>
      </c>
      <c r="N1331" s="8">
        <f t="shared" si="313"/>
        <v>25.000000000000007</v>
      </c>
      <c r="O1331" s="8">
        <f t="shared" si="314"/>
        <v>27.556432716929262</v>
      </c>
    </row>
    <row r="1332" spans="1:15" x14ac:dyDescent="0.3">
      <c r="A1332" s="5">
        <f t="shared" si="300"/>
        <v>13.239999999999762</v>
      </c>
      <c r="B1332" s="5">
        <f t="shared" si="310"/>
        <v>111.63019503381744</v>
      </c>
      <c r="C1332" s="6">
        <f t="shared" si="308"/>
        <v>4305.7360941615298</v>
      </c>
      <c r="D1332" s="6">
        <f t="shared" si="301"/>
        <v>18539363.312565386</v>
      </c>
      <c r="E1332" s="7">
        <f t="shared" si="302"/>
        <v>6248571.4285714282</v>
      </c>
      <c r="F1332" s="7">
        <f t="shared" si="303"/>
        <v>124.97142857142855</v>
      </c>
      <c r="G1332" s="7">
        <f t="shared" si="304"/>
        <v>12290791.883993957</v>
      </c>
      <c r="H1332" s="6">
        <f t="shared" si="305"/>
        <v>3505.8225688123403</v>
      </c>
      <c r="I1332" s="7">
        <f t="shared" si="306"/>
        <v>-6.4007712362189384</v>
      </c>
      <c r="J1332" s="7">
        <f t="shared" si="307"/>
        <v>-62.506756562433814</v>
      </c>
      <c r="K1332" s="8">
        <f t="shared" si="311"/>
        <v>246.88689053987332</v>
      </c>
      <c r="L1332" s="8">
        <f t="shared" si="312"/>
        <v>-10.369249402674678</v>
      </c>
      <c r="M1332" s="8">
        <f t="shared" si="309"/>
        <v>101.26094563114276</v>
      </c>
      <c r="N1332" s="8">
        <f t="shared" si="313"/>
        <v>25.000000000000007</v>
      </c>
      <c r="O1332" s="8">
        <f t="shared" si="314"/>
        <v>27.560031742258797</v>
      </c>
    </row>
    <row r="1333" spans="1:15" x14ac:dyDescent="0.3">
      <c r="A1333" s="5">
        <f t="shared" ref="A1333:A1396" si="315">A1332+$B$5</f>
        <v>13.249999999999762</v>
      </c>
      <c r="B1333" s="5">
        <f t="shared" si="310"/>
        <v>111.56618732145526</v>
      </c>
      <c r="C1333" s="6">
        <f t="shared" si="308"/>
        <v>4303.2672252561315</v>
      </c>
      <c r="D1333" s="6">
        <f t="shared" ref="D1333:D1396" si="316">POWER(C1333,2)</f>
        <v>18518108.811963607</v>
      </c>
      <c r="E1333" s="7">
        <f t="shared" ref="E1333:E1396" si="317">4*$B$2*$B$3*POWER($B$1,2)</f>
        <v>6248571.4285714282</v>
      </c>
      <c r="F1333" s="7">
        <f t="shared" ref="F1333:F1396" si="318">POWER($B$1,2)*2*$B$2</f>
        <v>124.97142857142855</v>
      </c>
      <c r="G1333" s="7">
        <f t="shared" ref="G1333:G1396" si="319">D1333-E1333</f>
        <v>12269537.383392178</v>
      </c>
      <c r="H1333" s="6">
        <f t="shared" ref="H1333:H1396" si="320">SQRT(G1333)</f>
        <v>3502.7899428016203</v>
      </c>
      <c r="I1333" s="7">
        <f t="shared" ref="I1333:I1396" si="321">(-C1333+H1333)/F1333</f>
        <v>-6.4052823241673291</v>
      </c>
      <c r="J1333" s="7">
        <f t="shared" ref="J1333:J1396" si="322">(-C1333-H1333)/F1333</f>
        <v>-62.46273454092853</v>
      </c>
      <c r="K1333" s="8">
        <f t="shared" si="311"/>
        <v>247.06088964645411</v>
      </c>
      <c r="L1333" s="8">
        <f t="shared" si="312"/>
        <v>-10.376557365151072</v>
      </c>
      <c r="M1333" s="8">
        <f t="shared" si="309"/>
        <v>101.18962995630419</v>
      </c>
      <c r="N1333" s="8">
        <f t="shared" si="313"/>
        <v>24.999999999999996</v>
      </c>
      <c r="O1333" s="8">
        <f t="shared" si="314"/>
        <v>27.563641494101685</v>
      </c>
    </row>
    <row r="1334" spans="1:15" x14ac:dyDescent="0.3">
      <c r="A1334" s="5">
        <f t="shared" si="315"/>
        <v>13.259999999999762</v>
      </c>
      <c r="B1334" s="5">
        <f t="shared" si="310"/>
        <v>111.50213449821359</v>
      </c>
      <c r="C1334" s="6">
        <f t="shared" si="308"/>
        <v>4300.7966163596666</v>
      </c>
      <c r="D1334" s="6">
        <f t="shared" si="316"/>
        <v>18496851.535290755</v>
      </c>
      <c r="E1334" s="7">
        <f t="shared" si="317"/>
        <v>6248571.4285714282</v>
      </c>
      <c r="F1334" s="7">
        <f t="shared" si="318"/>
        <v>124.97142857142855</v>
      </c>
      <c r="G1334" s="7">
        <f t="shared" si="319"/>
        <v>12248280.106719326</v>
      </c>
      <c r="H1334" s="6">
        <f t="shared" si="320"/>
        <v>3499.7542923352958</v>
      </c>
      <c r="I1334" s="7">
        <f t="shared" si="321"/>
        <v>-6.4098036901812954</v>
      </c>
      <c r="J1334" s="7">
        <f t="shared" si="322"/>
        <v>-62.418674395135746</v>
      </c>
      <c r="K1334" s="8">
        <f t="shared" si="311"/>
        <v>247.2352851927071</v>
      </c>
      <c r="L1334" s="8">
        <f t="shared" si="312"/>
        <v>-10.383881978093697</v>
      </c>
      <c r="M1334" s="8">
        <f t="shared" si="309"/>
        <v>101.1182525201199</v>
      </c>
      <c r="N1334" s="8">
        <f t="shared" si="313"/>
        <v>25.000000000000014</v>
      </c>
      <c r="O1334" s="8">
        <f t="shared" si="314"/>
        <v>27.567262022261421</v>
      </c>
    </row>
    <row r="1335" spans="1:15" x14ac:dyDescent="0.3">
      <c r="A1335" s="5">
        <f t="shared" si="315"/>
        <v>13.269999999999762</v>
      </c>
      <c r="B1335" s="5">
        <f t="shared" si="310"/>
        <v>111.43803646131178</v>
      </c>
      <c r="C1335" s="6">
        <f t="shared" si="308"/>
        <v>4298.3242635077395</v>
      </c>
      <c r="D1335" s="6">
        <f t="shared" si="316"/>
        <v>18475591.47425935</v>
      </c>
      <c r="E1335" s="7">
        <f t="shared" si="317"/>
        <v>6248571.4285714282</v>
      </c>
      <c r="F1335" s="7">
        <f t="shared" si="318"/>
        <v>124.97142857142855</v>
      </c>
      <c r="G1335" s="7">
        <f t="shared" si="319"/>
        <v>12227020.045687921</v>
      </c>
      <c r="H1335" s="6">
        <f t="shared" si="320"/>
        <v>3496.7156083513455</v>
      </c>
      <c r="I1335" s="7">
        <f t="shared" si="321"/>
        <v>-6.4143353750511647</v>
      </c>
      <c r="J1335" s="7">
        <f t="shared" si="322"/>
        <v>-62.374576020820307</v>
      </c>
      <c r="K1335" s="8">
        <f t="shared" si="311"/>
        <v>247.41007875197349</v>
      </c>
      <c r="L1335" s="8">
        <f t="shared" si="312"/>
        <v>-10.391223307582885</v>
      </c>
      <c r="M1335" s="8">
        <f t="shared" si="309"/>
        <v>101.04681315372889</v>
      </c>
      <c r="N1335" s="8">
        <f t="shared" si="313"/>
        <v>25.000000000000014</v>
      </c>
      <c r="O1335" s="8">
        <f t="shared" si="314"/>
        <v>27.570893376858439</v>
      </c>
    </row>
    <row r="1336" spans="1:15" x14ac:dyDescent="0.3">
      <c r="A1336" s="5">
        <f t="shared" si="315"/>
        <v>13.279999999999761</v>
      </c>
      <c r="B1336" s="5">
        <f t="shared" si="310"/>
        <v>111.37389310756127</v>
      </c>
      <c r="C1336" s="6">
        <f t="shared" si="308"/>
        <v>4295.8501627202204</v>
      </c>
      <c r="D1336" s="6">
        <f t="shared" si="316"/>
        <v>18454328.620543346</v>
      </c>
      <c r="E1336" s="7">
        <f t="shared" si="317"/>
        <v>6248571.4285714282</v>
      </c>
      <c r="F1336" s="7">
        <f t="shared" si="318"/>
        <v>124.97142857142855</v>
      </c>
      <c r="G1336" s="7">
        <f t="shared" si="319"/>
        <v>12205757.191971917</v>
      </c>
      <c r="H1336" s="6">
        <f t="shared" si="320"/>
        <v>3493.6738817428163</v>
      </c>
      <c r="I1336" s="7">
        <f t="shared" si="321"/>
        <v>-6.4188774198009027</v>
      </c>
      <c r="J1336" s="7">
        <f t="shared" si="322"/>
        <v>-62.330439313261621</v>
      </c>
      <c r="K1336" s="8">
        <f t="shared" si="311"/>
        <v>247.58527190660624</v>
      </c>
      <c r="L1336" s="8">
        <f t="shared" si="312"/>
        <v>-10.398581420077461</v>
      </c>
      <c r="M1336" s="8">
        <f t="shared" si="309"/>
        <v>100.97531168748381</v>
      </c>
      <c r="N1336" s="8">
        <f t="shared" si="313"/>
        <v>24.999999999999993</v>
      </c>
      <c r="O1336" s="8">
        <f t="shared" si="314"/>
        <v>27.574535608332855</v>
      </c>
    </row>
    <row r="1337" spans="1:15" x14ac:dyDescent="0.3">
      <c r="A1337" s="5">
        <f t="shared" si="315"/>
        <v>13.289999999999761</v>
      </c>
      <c r="B1337" s="5">
        <f t="shared" si="310"/>
        <v>111.30970433336326</v>
      </c>
      <c r="C1337" s="6">
        <f t="shared" si="308"/>
        <v>4293.3743100011543</v>
      </c>
      <c r="D1337" s="6">
        <f t="shared" si="316"/>
        <v>18433062.965777889</v>
      </c>
      <c r="E1337" s="7">
        <f t="shared" si="317"/>
        <v>6248571.4285714282</v>
      </c>
      <c r="F1337" s="7">
        <f t="shared" si="318"/>
        <v>124.97142857142855</v>
      </c>
      <c r="G1337" s="7">
        <f t="shared" si="319"/>
        <v>12184491.53720646</v>
      </c>
      <c r="H1337" s="6">
        <f t="shared" si="320"/>
        <v>3490.6291033575108</v>
      </c>
      <c r="I1337" s="7">
        <f t="shared" si="321"/>
        <v>-6.4234298656898785</v>
      </c>
      <c r="J1337" s="7">
        <f t="shared" si="322"/>
        <v>-62.286264167250415</v>
      </c>
      <c r="K1337" s="8">
        <f t="shared" si="311"/>
        <v>247.76086624803816</v>
      </c>
      <c r="L1337" s="8">
        <f t="shared" si="312"/>
        <v>-10.405956382417601</v>
      </c>
      <c r="M1337" s="8">
        <f t="shared" si="309"/>
        <v>100.90374795094566</v>
      </c>
      <c r="N1337" s="8">
        <f t="shared" si="313"/>
        <v>25</v>
      </c>
      <c r="O1337" s="8">
        <f t="shared" si="314"/>
        <v>27.578188767447084</v>
      </c>
    </row>
    <row r="1338" spans="1:15" x14ac:dyDescent="0.3">
      <c r="A1338" s="5">
        <f t="shared" si="315"/>
        <v>13.299999999999761</v>
      </c>
      <c r="B1338" s="5">
        <f t="shared" si="310"/>
        <v>111.24547003470636</v>
      </c>
      <c r="C1338" s="6">
        <f t="shared" si="308"/>
        <v>4290.8967013386737</v>
      </c>
      <c r="D1338" s="6">
        <f t="shared" si="316"/>
        <v>18411794.501559112</v>
      </c>
      <c r="E1338" s="7">
        <f t="shared" si="317"/>
        <v>6248571.4285714282</v>
      </c>
      <c r="F1338" s="7">
        <f t="shared" si="318"/>
        <v>124.97142857142855</v>
      </c>
      <c r="G1338" s="7">
        <f t="shared" si="319"/>
        <v>12163223.072987683</v>
      </c>
      <c r="H1338" s="6">
        <f t="shared" si="320"/>
        <v>3487.5812639976839</v>
      </c>
      <c r="I1338" s="7">
        <f t="shared" si="321"/>
        <v>-6.4279927542145971</v>
      </c>
      <c r="J1338" s="7">
        <f t="shared" si="322"/>
        <v>-62.242050477085634</v>
      </c>
      <c r="K1338" s="8">
        <f t="shared" si="311"/>
        <v>247.93686337684872</v>
      </c>
      <c r="L1338" s="8">
        <f t="shared" si="312"/>
        <v>-10.413348261827645</v>
      </c>
      <c r="M1338" s="8">
        <f t="shared" si="309"/>
        <v>100.83212177287871</v>
      </c>
      <c r="N1338" s="8">
        <f t="shared" si="313"/>
        <v>25</v>
      </c>
      <c r="O1338" s="8">
        <f t="shared" si="314"/>
        <v>27.581852905288308</v>
      </c>
    </row>
    <row r="1339" spans="1:15" x14ac:dyDescent="0.3">
      <c r="A1339" s="5">
        <f t="shared" si="315"/>
        <v>13.309999999999761</v>
      </c>
      <c r="B1339" s="5">
        <f t="shared" si="310"/>
        <v>111.18119010716421</v>
      </c>
      <c r="C1339" s="6">
        <f t="shared" si="308"/>
        <v>4288.4173327049048</v>
      </c>
      <c r="D1339" s="6">
        <f t="shared" si="316"/>
        <v>18390523.21944385</v>
      </c>
      <c r="E1339" s="7">
        <f t="shared" si="317"/>
        <v>6248571.4285714282</v>
      </c>
      <c r="F1339" s="7">
        <f t="shared" si="318"/>
        <v>124.97142857142855</v>
      </c>
      <c r="G1339" s="7">
        <f t="shared" si="319"/>
        <v>12141951.790872421</v>
      </c>
      <c r="H1339" s="6">
        <f t="shared" si="320"/>
        <v>3484.5303544197204</v>
      </c>
      <c r="I1339" s="7">
        <f t="shared" si="321"/>
        <v>-6.4325661271105297</v>
      </c>
      <c r="J1339" s="7">
        <f t="shared" si="322"/>
        <v>-62.197798136571087</v>
      </c>
      <c r="K1339" s="8">
        <f t="shared" si="311"/>
        <v>248.11326490283471</v>
      </c>
      <c r="L1339" s="8">
        <f t="shared" si="312"/>
        <v>-10.420757125919057</v>
      </c>
      <c r="M1339" s="8">
        <f t="shared" si="309"/>
        <v>100.76043298124516</v>
      </c>
      <c r="N1339" s="8">
        <f t="shared" si="313"/>
        <v>25.000000000000004</v>
      </c>
      <c r="O1339" s="8">
        <f t="shared" si="314"/>
        <v>27.585528073271259</v>
      </c>
    </row>
    <row r="1340" spans="1:15" x14ac:dyDescent="0.3">
      <c r="A1340" s="5">
        <f t="shared" si="315"/>
        <v>13.31999999999976</v>
      </c>
      <c r="B1340" s="5">
        <f t="shared" si="310"/>
        <v>111.11686444589311</v>
      </c>
      <c r="C1340" s="6">
        <f t="shared" si="308"/>
        <v>4285.9362000558767</v>
      </c>
      <c r="D1340" s="6">
        <f t="shared" si="316"/>
        <v>18369249.110949408</v>
      </c>
      <c r="E1340" s="7">
        <f t="shared" si="317"/>
        <v>6248571.4285714282</v>
      </c>
      <c r="F1340" s="7">
        <f t="shared" si="318"/>
        <v>124.97142857142855</v>
      </c>
      <c r="G1340" s="7">
        <f t="shared" si="319"/>
        <v>12120677.682377979</v>
      </c>
      <c r="H1340" s="6">
        <f t="shared" si="320"/>
        <v>3481.4763653338191</v>
      </c>
      <c r="I1340" s="7">
        <f t="shared" si="321"/>
        <v>-6.4371500263539145</v>
      </c>
      <c r="J1340" s="7">
        <f t="shared" si="322"/>
        <v>-62.153507039012204</v>
      </c>
      <c r="K1340" s="8">
        <f t="shared" si="311"/>
        <v>248.29007244507955</v>
      </c>
      <c r="L1340" s="8">
        <f t="shared" si="312"/>
        <v>-10.428183042693339</v>
      </c>
      <c r="M1340" s="8">
        <f t="shared" si="309"/>
        <v>100.68868140319978</v>
      </c>
      <c r="N1340" s="8">
        <f t="shared" si="313"/>
        <v>25.000000000000007</v>
      </c>
      <c r="O1340" s="8">
        <f t="shared" si="314"/>
        <v>27.589214323140883</v>
      </c>
    </row>
    <row r="1341" spans="1:15" x14ac:dyDescent="0.3">
      <c r="A1341" s="5">
        <f t="shared" si="315"/>
        <v>13.32999999999976</v>
      </c>
      <c r="B1341" s="5">
        <f t="shared" si="310"/>
        <v>111.05249294562958</v>
      </c>
      <c r="C1341" s="6">
        <f t="shared" si="308"/>
        <v>4283.453299331426</v>
      </c>
      <c r="D1341" s="6">
        <f t="shared" si="316"/>
        <v>18347972.16755328</v>
      </c>
      <c r="E1341" s="7">
        <f t="shared" si="317"/>
        <v>6248571.4285714282</v>
      </c>
      <c r="F1341" s="7">
        <f t="shared" si="318"/>
        <v>124.97142857142855</v>
      </c>
      <c r="G1341" s="7">
        <f t="shared" si="319"/>
        <v>12099400.73898185</v>
      </c>
      <c r="H1341" s="6">
        <f t="shared" si="320"/>
        <v>3478.4192874036694</v>
      </c>
      <c r="I1341" s="7">
        <f t="shared" si="321"/>
        <v>-6.4417444941635775</v>
      </c>
      <c r="J1341" s="7">
        <f t="shared" si="322"/>
        <v>-62.109177077212706</v>
      </c>
      <c r="K1341" s="8">
        <f t="shared" si="311"/>
        <v>248.4672876320237</v>
      </c>
      <c r="L1341" s="8">
        <f t="shared" si="312"/>
        <v>-10.435626080544994</v>
      </c>
      <c r="M1341" s="8">
        <f t="shared" si="309"/>
        <v>100.61686686508459</v>
      </c>
      <c r="N1341" s="8">
        <f t="shared" si="313"/>
        <v>25.000000000000007</v>
      </c>
      <c r="O1341" s="8">
        <f t="shared" si="314"/>
        <v>27.592911706975027</v>
      </c>
    </row>
    <row r="1342" spans="1:15" x14ac:dyDescent="0.3">
      <c r="A1342" s="5">
        <f t="shared" si="315"/>
        <v>13.33999999999976</v>
      </c>
      <c r="B1342" s="5">
        <f t="shared" si="310"/>
        <v>110.98807550068794</v>
      </c>
      <c r="C1342" s="6">
        <f t="shared" si="308"/>
        <v>4280.9686264551065</v>
      </c>
      <c r="D1342" s="6">
        <f t="shared" si="316"/>
        <v>18326692.380692922</v>
      </c>
      <c r="E1342" s="7">
        <f t="shared" si="317"/>
        <v>6248571.4285714282</v>
      </c>
      <c r="F1342" s="7">
        <f t="shared" si="318"/>
        <v>124.97142857142855</v>
      </c>
      <c r="G1342" s="7">
        <f t="shared" si="319"/>
        <v>12078120.952121492</v>
      </c>
      <c r="H1342" s="6">
        <f t="shared" si="320"/>
        <v>3475.3591112461304</v>
      </c>
      <c r="I1342" s="7">
        <f t="shared" si="321"/>
        <v>-6.4463495730027818</v>
      </c>
      <c r="J1342" s="7">
        <f t="shared" si="322"/>
        <v>-62.064808143471268</v>
      </c>
      <c r="K1342" s="8">
        <f t="shared" si="311"/>
        <v>248.64491210153585</v>
      </c>
      <c r="L1342" s="8">
        <f t="shared" si="312"/>
        <v>-10.443086308264505</v>
      </c>
      <c r="M1342" s="8">
        <f t="shared" si="309"/>
        <v>100.54498919242343</v>
      </c>
      <c r="N1342" s="8">
        <f t="shared" si="313"/>
        <v>24.999999999999996</v>
      </c>
      <c r="O1342" s="8">
        <f t="shared" si="314"/>
        <v>27.596620277187178</v>
      </c>
    </row>
    <row r="1343" spans="1:15" x14ac:dyDescent="0.3">
      <c r="A1343" s="5">
        <f t="shared" si="315"/>
        <v>13.34999999999976</v>
      </c>
      <c r="B1343" s="5">
        <f t="shared" si="310"/>
        <v>110.92361200495792</v>
      </c>
      <c r="C1343" s="6">
        <f t="shared" si="308"/>
        <v>4278.4821773340909</v>
      </c>
      <c r="D1343" s="6">
        <f t="shared" si="316"/>
        <v>18305409.741765462</v>
      </c>
      <c r="E1343" s="7">
        <f t="shared" si="317"/>
        <v>6248571.4285714282</v>
      </c>
      <c r="F1343" s="7">
        <f t="shared" si="318"/>
        <v>124.97142857142855</v>
      </c>
      <c r="G1343" s="7">
        <f t="shared" si="319"/>
        <v>12056838.313194033</v>
      </c>
      <c r="H1343" s="6">
        <f t="shared" si="320"/>
        <v>3472.295827430899</v>
      </c>
      <c r="I1343" s="7">
        <f t="shared" si="321"/>
        <v>-6.4509653055810983</v>
      </c>
      <c r="J1343" s="7">
        <f t="shared" si="322"/>
        <v>-62.020400129578121</v>
      </c>
      <c r="K1343" s="8">
        <f t="shared" si="311"/>
        <v>248.82294750098521</v>
      </c>
      <c r="L1343" s="8">
        <f t="shared" si="312"/>
        <v>-10.450563795041377</v>
      </c>
      <c r="M1343" s="8">
        <f t="shared" si="309"/>
        <v>100.47304820991654</v>
      </c>
      <c r="N1343" s="8">
        <f t="shared" si="313"/>
        <v>25.000000000000018</v>
      </c>
      <c r="O1343" s="8">
        <f t="shared" si="314"/>
        <v>27.600340086529297</v>
      </c>
    </row>
    <row r="1344" spans="1:15" x14ac:dyDescent="0.3">
      <c r="A1344" s="5">
        <f t="shared" si="315"/>
        <v>13.35999999999976</v>
      </c>
      <c r="B1344" s="5">
        <f t="shared" si="310"/>
        <v>110.85910235190211</v>
      </c>
      <c r="C1344" s="6">
        <f t="shared" si="308"/>
        <v>4275.9939478590813</v>
      </c>
      <c r="D1344" s="6">
        <f t="shared" si="316"/>
        <v>18284124.242127493</v>
      </c>
      <c r="E1344" s="7">
        <f t="shared" si="317"/>
        <v>6248571.4285714282</v>
      </c>
      <c r="F1344" s="7">
        <f t="shared" si="318"/>
        <v>124.97142857142855</v>
      </c>
      <c r="G1344" s="7">
        <f t="shared" si="319"/>
        <v>12035552.813556064</v>
      </c>
      <c r="H1344" s="6">
        <f t="shared" si="320"/>
        <v>3469.2294264801894</v>
      </c>
      <c r="I1344" s="7">
        <f t="shared" si="321"/>
        <v>-6.4555917348562462</v>
      </c>
      <c r="J1344" s="7">
        <f t="shared" si="322"/>
        <v>-61.975952926811736</v>
      </c>
      <c r="K1344" s="8">
        <f t="shared" si="311"/>
        <v>249.00139548731235</v>
      </c>
      <c r="L1344" s="8">
        <f t="shared" si="312"/>
        <v>-10.458058610467118</v>
      </c>
      <c r="M1344" s="8">
        <f t="shared" si="309"/>
        <v>100.40104374143499</v>
      </c>
      <c r="N1344" s="8">
        <f t="shared" si="313"/>
        <v>25</v>
      </c>
      <c r="O1344" s="8">
        <f t="shared" si="314"/>
        <v>27.604071188094416</v>
      </c>
    </row>
    <row r="1345" spans="1:15" x14ac:dyDescent="0.3">
      <c r="A1345" s="5">
        <f t="shared" si="315"/>
        <v>13.369999999999759</v>
      </c>
      <c r="B1345" s="5">
        <f t="shared" si="310"/>
        <v>110.79454643455355</v>
      </c>
      <c r="C1345" s="6">
        <f t="shared" si="308"/>
        <v>4273.5039339042087</v>
      </c>
      <c r="D1345" s="6">
        <f t="shared" si="316"/>
        <v>18262835.873094749</v>
      </c>
      <c r="E1345" s="7">
        <f t="shared" si="317"/>
        <v>6248571.4285714282</v>
      </c>
      <c r="F1345" s="7">
        <f t="shared" si="318"/>
        <v>124.97142857142855</v>
      </c>
      <c r="G1345" s="7">
        <f t="shared" si="319"/>
        <v>12014264.44452332</v>
      </c>
      <c r="H1345" s="6">
        <f t="shared" si="320"/>
        <v>3466.1598988683891</v>
      </c>
      <c r="I1345" s="7">
        <f t="shared" si="321"/>
        <v>-6.4602289040360521</v>
      </c>
      <c r="J1345" s="7">
        <f t="shared" si="322"/>
        <v>-61.931466425935291</v>
      </c>
      <c r="K1345" s="8">
        <f t="shared" si="311"/>
        <v>249.18025772710484</v>
      </c>
      <c r="L1345" s="8">
        <f t="shared" si="312"/>
        <v>-10.465570824538402</v>
      </c>
      <c r="M1345" s="8">
        <f t="shared" si="309"/>
        <v>100.32897561001515</v>
      </c>
      <c r="N1345" s="8">
        <f t="shared" si="313"/>
        <v>24.999999999999993</v>
      </c>
      <c r="O1345" s="8">
        <f t="shared" si="314"/>
        <v>27.60781363531974</v>
      </c>
    </row>
    <row r="1346" spans="1:15" x14ac:dyDescent="0.3">
      <c r="A1346" s="5">
        <f t="shared" si="315"/>
        <v>13.379999999999759</v>
      </c>
      <c r="B1346" s="5">
        <f t="shared" si="310"/>
        <v>110.72994414551319</v>
      </c>
      <c r="C1346" s="6">
        <f t="shared" si="308"/>
        <v>4271.0121313269374</v>
      </c>
      <c r="D1346" s="6">
        <f t="shared" si="316"/>
        <v>18241544.625941869</v>
      </c>
      <c r="E1346" s="7">
        <f t="shared" si="317"/>
        <v>6248571.4285714282</v>
      </c>
      <c r="F1346" s="7">
        <f t="shared" si="318"/>
        <v>124.97142857142855</v>
      </c>
      <c r="G1346" s="7">
        <f t="shared" si="319"/>
        <v>11992973.19737044</v>
      </c>
      <c r="H1346" s="6">
        <f t="shared" si="320"/>
        <v>3463.0872350217282</v>
      </c>
      <c r="I1346" s="7">
        <f t="shared" si="321"/>
        <v>-6.4648768565803216</v>
      </c>
      <c r="J1346" s="7">
        <f t="shared" si="322"/>
        <v>-61.886940517193274</v>
      </c>
      <c r="K1346" s="8">
        <f t="shared" si="311"/>
        <v>249.35953589666954</v>
      </c>
      <c r="L1346" s="8">
        <f t="shared" si="312"/>
        <v>-10.473100507660119</v>
      </c>
      <c r="M1346" s="8">
        <f t="shared" si="309"/>
        <v>100.25684363785307</v>
      </c>
      <c r="N1346" s="8">
        <f t="shared" si="313"/>
        <v>25.000000000000007</v>
      </c>
      <c r="O1346" s="8">
        <f t="shared" si="314"/>
        <v>27.611567481989312</v>
      </c>
    </row>
    <row r="1347" spans="1:15" x14ac:dyDescent="0.3">
      <c r="A1347" s="5">
        <f t="shared" si="315"/>
        <v>13.389999999999759</v>
      </c>
      <c r="B1347" s="5">
        <f t="shared" si="310"/>
        <v>110.66529537694738</v>
      </c>
      <c r="C1347" s="6">
        <f t="shared" si="308"/>
        <v>4268.5185359679699</v>
      </c>
      <c r="D1347" s="6">
        <f t="shared" si="316"/>
        <v>18220250.491902143</v>
      </c>
      <c r="E1347" s="7">
        <f t="shared" si="317"/>
        <v>6248571.4285714282</v>
      </c>
      <c r="F1347" s="7">
        <f t="shared" si="318"/>
        <v>124.97142857142855</v>
      </c>
      <c r="G1347" s="7">
        <f t="shared" si="319"/>
        <v>11971679.063330714</v>
      </c>
      <c r="H1347" s="6">
        <f t="shared" si="320"/>
        <v>3460.0114253179445</v>
      </c>
      <c r="I1347" s="7">
        <f t="shared" si="321"/>
        <v>-6.4695356362027656</v>
      </c>
      <c r="J1347" s="7">
        <f t="shared" si="322"/>
        <v>-61.842375090307968</v>
      </c>
      <c r="K1347" s="8">
        <f t="shared" si="311"/>
        <v>249.53923168210667</v>
      </c>
      <c r="L1347" s="8">
        <f t="shared" si="312"/>
        <v>-10.48064773064848</v>
      </c>
      <c r="M1347" s="8">
        <f t="shared" si="309"/>
        <v>100.1846476462989</v>
      </c>
      <c r="N1347" s="8">
        <f t="shared" si="313"/>
        <v>25.000000000000004</v>
      </c>
      <c r="O1347" s="8">
        <f t="shared" si="314"/>
        <v>27.615332782236841</v>
      </c>
    </row>
    <row r="1348" spans="1:15" x14ac:dyDescent="0.3">
      <c r="A1348" s="5">
        <f t="shared" si="315"/>
        <v>13.399999999999759</v>
      </c>
      <c r="B1348" s="5">
        <f t="shared" si="310"/>
        <v>110.60060002058536</v>
      </c>
      <c r="C1348" s="6">
        <f t="shared" si="308"/>
        <v>4266.0231436511494</v>
      </c>
      <c r="D1348" s="6">
        <f t="shared" si="316"/>
        <v>18198953.462167237</v>
      </c>
      <c r="E1348" s="7">
        <f t="shared" si="317"/>
        <v>6248571.4285714282</v>
      </c>
      <c r="F1348" s="7">
        <f t="shared" si="318"/>
        <v>124.97142857142855</v>
      </c>
      <c r="G1348" s="7">
        <f t="shared" si="319"/>
        <v>11950382.033595808</v>
      </c>
      <c r="H1348" s="6">
        <f t="shared" si="320"/>
        <v>3456.9324600859368</v>
      </c>
      <c r="I1348" s="7">
        <f t="shared" si="321"/>
        <v>-6.474205286872988</v>
      </c>
      <c r="J1348" s="7">
        <f t="shared" si="322"/>
        <v>-61.797770034476009</v>
      </c>
      <c r="K1348" s="8">
        <f t="shared" si="311"/>
        <v>249.71934677938665</v>
      </c>
      <c r="L1348" s="8">
        <f t="shared" si="312"/>
        <v>-10.488212564734239</v>
      </c>
      <c r="M1348" s="8">
        <f t="shared" si="309"/>
        <v>100.11238745585112</v>
      </c>
      <c r="N1348" s="8">
        <f t="shared" si="313"/>
        <v>25.000000000000004</v>
      </c>
      <c r="O1348" s="8">
        <f t="shared" si="314"/>
        <v>27.619109590548792</v>
      </c>
    </row>
    <row r="1349" spans="1:15" x14ac:dyDescent="0.3">
      <c r="A1349" s="5">
        <f t="shared" si="315"/>
        <v>13.409999999999759</v>
      </c>
      <c r="B1349" s="5">
        <f t="shared" si="310"/>
        <v>110.53585796771664</v>
      </c>
      <c r="C1349" s="6">
        <f t="shared" si="308"/>
        <v>4263.5259501833561</v>
      </c>
      <c r="D1349" s="6">
        <f t="shared" si="316"/>
        <v>18177653.52788689</v>
      </c>
      <c r="E1349" s="7">
        <f t="shared" si="317"/>
        <v>6248571.4285714282</v>
      </c>
      <c r="F1349" s="7">
        <f t="shared" si="318"/>
        <v>124.97142857142855</v>
      </c>
      <c r="G1349" s="7">
        <f t="shared" si="319"/>
        <v>11929082.099315461</v>
      </c>
      <c r="H1349" s="6">
        <f t="shared" si="320"/>
        <v>3453.8503296054191</v>
      </c>
      <c r="I1349" s="7">
        <f t="shared" si="321"/>
        <v>-6.4788858528184274</v>
      </c>
      <c r="J1349" s="7">
        <f t="shared" si="322"/>
        <v>-61.753125238364703</v>
      </c>
      <c r="K1349" s="8">
        <f t="shared" si="311"/>
        <v>249.89988289442505</v>
      </c>
      <c r="L1349" s="8">
        <f t="shared" si="312"/>
        <v>-10.49579508156585</v>
      </c>
      <c r="M1349" s="8">
        <f t="shared" si="309"/>
        <v>100.04006288615079</v>
      </c>
      <c r="N1349" s="8">
        <f t="shared" si="313"/>
        <v>25</v>
      </c>
      <c r="O1349" s="8">
        <f t="shared" si="314"/>
        <v>27.622897961767187</v>
      </c>
    </row>
    <row r="1350" spans="1:15" x14ac:dyDescent="0.3">
      <c r="A1350" s="5">
        <f t="shared" si="315"/>
        <v>13.419999999999758</v>
      </c>
      <c r="B1350" s="5">
        <f t="shared" si="310"/>
        <v>110.47106910918845</v>
      </c>
      <c r="C1350" s="6">
        <f t="shared" si="308"/>
        <v>4261.0269513544117</v>
      </c>
      <c r="D1350" s="6">
        <f t="shared" si="316"/>
        <v>18156350.680168673</v>
      </c>
      <c r="E1350" s="7">
        <f t="shared" si="317"/>
        <v>6248571.4285714282</v>
      </c>
      <c r="F1350" s="7">
        <f t="shared" si="318"/>
        <v>124.97142857142855</v>
      </c>
      <c r="G1350" s="7">
        <f t="shared" si="319"/>
        <v>11907779.251597244</v>
      </c>
      <c r="H1350" s="6">
        <f t="shared" si="320"/>
        <v>3450.7650241065739</v>
      </c>
      <c r="I1350" s="7">
        <f t="shared" si="321"/>
        <v>-6.4835773785263671</v>
      </c>
      <c r="J1350" s="7">
        <f t="shared" si="322"/>
        <v>-61.708440590108495</v>
      </c>
      <c r="K1350" s="8">
        <f t="shared" si="311"/>
        <v>250.08084174315985</v>
      </c>
      <c r="L1350" s="8">
        <f t="shared" si="312"/>
        <v>-10.503395353212714</v>
      </c>
      <c r="M1350" s="8">
        <f t="shared" si="309"/>
        <v>99.967673755975738</v>
      </c>
      <c r="N1350" s="8">
        <f t="shared" si="313"/>
        <v>25.000000000000004</v>
      </c>
      <c r="O1350" s="8">
        <f t="shared" si="314"/>
        <v>27.62669795109263</v>
      </c>
    </row>
    <row r="1351" spans="1:15" x14ac:dyDescent="0.3">
      <c r="A1351" s="5">
        <f t="shared" si="315"/>
        <v>13.429999999999758</v>
      </c>
      <c r="B1351" s="5">
        <f t="shared" si="310"/>
        <v>110.40623333540319</v>
      </c>
      <c r="C1351" s="6">
        <f t="shared" si="308"/>
        <v>4258.5261429369802</v>
      </c>
      <c r="D1351" s="6">
        <f t="shared" si="316"/>
        <v>18135044.910077713</v>
      </c>
      <c r="E1351" s="7">
        <f t="shared" si="317"/>
        <v>6248571.4285714282</v>
      </c>
      <c r="F1351" s="7">
        <f t="shared" si="318"/>
        <v>124.97142857142855</v>
      </c>
      <c r="G1351" s="7">
        <f t="shared" si="319"/>
        <v>11886473.481506284</v>
      </c>
      <c r="H1351" s="6">
        <f t="shared" si="320"/>
        <v>3447.6765337697043</v>
      </c>
      <c r="I1351" s="7">
        <f t="shared" si="321"/>
        <v>-6.4882799087459224</v>
      </c>
      <c r="J1351" s="7">
        <f t="shared" si="322"/>
        <v>-61.663715977305444</v>
      </c>
      <c r="K1351" s="8">
        <f t="shared" si="311"/>
        <v>250.26222505162843</v>
      </c>
      <c r="L1351" s="8">
        <f t="shared" si="312"/>
        <v>-10.511013452168394</v>
      </c>
      <c r="M1351" s="8">
        <f t="shared" si="309"/>
        <v>99.895219883234788</v>
      </c>
      <c r="N1351" s="8">
        <f t="shared" si="313"/>
        <v>25.000000000000011</v>
      </c>
      <c r="O1351" s="8">
        <f t="shared" si="314"/>
        <v>27.630509614087273</v>
      </c>
    </row>
    <row r="1352" spans="1:15" x14ac:dyDescent="0.3">
      <c r="A1352" s="5">
        <f t="shared" si="315"/>
        <v>13.439999999999758</v>
      </c>
      <c r="B1352" s="5">
        <f t="shared" si="310"/>
        <v>110.34135053631573</v>
      </c>
      <c r="C1352" s="6">
        <f t="shared" ref="C1352:C1415" si="323">$B$1*B1352</f>
        <v>4256.0235206864636</v>
      </c>
      <c r="D1352" s="6">
        <f t="shared" si="316"/>
        <v>18113736.208636399</v>
      </c>
      <c r="E1352" s="7">
        <f t="shared" si="317"/>
        <v>6248571.4285714282</v>
      </c>
      <c r="F1352" s="7">
        <f t="shared" si="318"/>
        <v>124.97142857142855</v>
      </c>
      <c r="G1352" s="7">
        <f t="shared" si="319"/>
        <v>11865164.78006497</v>
      </c>
      <c r="H1352" s="6">
        <f t="shared" si="320"/>
        <v>3444.584848724875</v>
      </c>
      <c r="I1352" s="7">
        <f t="shared" si="321"/>
        <v>-6.4929934884900797</v>
      </c>
      <c r="J1352" s="7">
        <f t="shared" si="322"/>
        <v>-61.618951287013466</v>
      </c>
      <c r="K1352" s="8">
        <f t="shared" si="311"/>
        <v>250.44403455604592</v>
      </c>
      <c r="L1352" s="8">
        <f t="shared" si="312"/>
        <v>-10.518649451353928</v>
      </c>
      <c r="M1352" s="8">
        <f t="shared" ref="M1352:M1415" si="324">B1352+L1352</f>
        <v>99.822701084961807</v>
      </c>
      <c r="N1352" s="8">
        <f t="shared" si="313"/>
        <v>25.000000000000018</v>
      </c>
      <c r="O1352" s="8">
        <f t="shared" si="314"/>
        <v>27.634333006677831</v>
      </c>
    </row>
    <row r="1353" spans="1:15" x14ac:dyDescent="0.3">
      <c r="A1353" s="5">
        <f t="shared" si="315"/>
        <v>13.449999999999758</v>
      </c>
      <c r="B1353" s="5">
        <f t="shared" ref="B1353:B1416" si="325">I1352*$B$5+B1352</f>
        <v>110.27642060143083</v>
      </c>
      <c r="C1353" s="6">
        <f t="shared" si="323"/>
        <v>4253.5190803409032</v>
      </c>
      <c r="D1353" s="6">
        <f t="shared" si="316"/>
        <v>18092424.566824123</v>
      </c>
      <c r="E1353" s="7">
        <f t="shared" si="317"/>
        <v>6248571.4285714282</v>
      </c>
      <c r="F1353" s="7">
        <f t="shared" si="318"/>
        <v>124.97142857142855</v>
      </c>
      <c r="G1353" s="7">
        <f t="shared" si="319"/>
        <v>11843853.138252694</v>
      </c>
      <c r="H1353" s="6">
        <f t="shared" si="320"/>
        <v>3441.4899590515579</v>
      </c>
      <c r="I1353" s="7">
        <f t="shared" si="321"/>
        <v>-6.4977181630377441</v>
      </c>
      <c r="J1353" s="7">
        <f t="shared" si="322"/>
        <v>-61.574146405746731</v>
      </c>
      <c r="K1353" s="8">
        <f t="shared" ref="K1353:K1416" si="326">-$B$1*I1353</f>
        <v>250.62627200288441</v>
      </c>
      <c r="L1353" s="8">
        <f t="shared" ref="L1353:L1416" si="327">-$B$2*K1353</f>
        <v>-10.526303424121144</v>
      </c>
      <c r="M1353" s="8">
        <f t="shared" si="324"/>
        <v>99.75011717730969</v>
      </c>
      <c r="N1353" s="8">
        <f t="shared" ref="N1353:N1416" si="328">K1353*M1353/1000</f>
        <v>25.000000000000011</v>
      </c>
      <c r="O1353" s="8">
        <f t="shared" ref="O1353:O1416" si="329">B1353*K1353/1000</f>
        <v>27.638168185158687</v>
      </c>
    </row>
    <row r="1354" spans="1:15" x14ac:dyDescent="0.3">
      <c r="A1354" s="5">
        <f t="shared" si="315"/>
        <v>13.459999999999757</v>
      </c>
      <c r="B1354" s="5">
        <f t="shared" si="325"/>
        <v>110.21144341980045</v>
      </c>
      <c r="C1354" s="6">
        <f t="shared" si="323"/>
        <v>4251.0128176208746</v>
      </c>
      <c r="D1354" s="6">
        <f t="shared" si="316"/>
        <v>18071109.975576967</v>
      </c>
      <c r="E1354" s="7">
        <f t="shared" si="317"/>
        <v>6248571.4285714282</v>
      </c>
      <c r="F1354" s="7">
        <f t="shared" si="318"/>
        <v>124.97142857142855</v>
      </c>
      <c r="G1354" s="7">
        <f t="shared" si="319"/>
        <v>11822538.547005538</v>
      </c>
      <c r="H1354" s="6">
        <f t="shared" si="320"/>
        <v>3438.3918547782678</v>
      </c>
      <c r="I1354" s="7">
        <f t="shared" si="321"/>
        <v>-6.5024539779358124</v>
      </c>
      <c r="J1354" s="7">
        <f t="shared" si="322"/>
        <v>-61.52930121947189</v>
      </c>
      <c r="K1354" s="8">
        <f t="shared" si="326"/>
        <v>250.80893914895276</v>
      </c>
      <c r="L1354" s="8">
        <f t="shared" si="327"/>
        <v>-10.533975444256015</v>
      </c>
      <c r="M1354" s="8">
        <f t="shared" si="324"/>
        <v>99.677467975544431</v>
      </c>
      <c r="N1354" s="8">
        <f t="shared" si="328"/>
        <v>25.000000000000011</v>
      </c>
      <c r="O1354" s="8">
        <f t="shared" si="329"/>
        <v>27.64201520619498</v>
      </c>
    </row>
    <row r="1355" spans="1:15" x14ac:dyDescent="0.3">
      <c r="A1355" s="5">
        <f t="shared" si="315"/>
        <v>13.469999999999757</v>
      </c>
      <c r="B1355" s="5">
        <f t="shared" si="325"/>
        <v>110.14641888002109</v>
      </c>
      <c r="C1355" s="6">
        <f t="shared" si="323"/>
        <v>4248.5047282293845</v>
      </c>
      <c r="D1355" s="6">
        <f t="shared" si="316"/>
        <v>18049792.425787438</v>
      </c>
      <c r="E1355" s="7">
        <f t="shared" si="317"/>
        <v>6248571.4285714282</v>
      </c>
      <c r="F1355" s="7">
        <f t="shared" si="318"/>
        <v>124.97142857142855</v>
      </c>
      <c r="G1355" s="7">
        <f t="shared" si="319"/>
        <v>11801220.997216009</v>
      </c>
      <c r="H1355" s="6">
        <f t="shared" si="320"/>
        <v>3435.2905258822011</v>
      </c>
      <c r="I1355" s="7">
        <f t="shared" si="321"/>
        <v>-6.5072009790012402</v>
      </c>
      <c r="J1355" s="7">
        <f t="shared" si="322"/>
        <v>-61.484415613604376</v>
      </c>
      <c r="K1355" s="8">
        <f t="shared" si="326"/>
        <v>250.99203776147638</v>
      </c>
      <c r="L1355" s="8">
        <f t="shared" si="327"/>
        <v>-10.541665585982006</v>
      </c>
      <c r="M1355" s="8">
        <f t="shared" si="324"/>
        <v>99.604753294039085</v>
      </c>
      <c r="N1355" s="8">
        <f t="shared" si="328"/>
        <v>24.999999999999996</v>
      </c>
      <c r="O1355" s="8">
        <f t="shared" si="329"/>
        <v>27.64587412682565</v>
      </c>
    </row>
    <row r="1356" spans="1:15" x14ac:dyDescent="0.3">
      <c r="A1356" s="5">
        <f t="shared" si="315"/>
        <v>13.479999999999757</v>
      </c>
      <c r="B1356" s="5">
        <f t="shared" si="325"/>
        <v>110.08134687023107</v>
      </c>
      <c r="C1356" s="6">
        <f t="shared" si="323"/>
        <v>4245.99480785177</v>
      </c>
      <c r="D1356" s="6">
        <f t="shared" si="316"/>
        <v>18028471.908304188</v>
      </c>
      <c r="E1356" s="7">
        <f t="shared" si="317"/>
        <v>6248571.4285714282</v>
      </c>
      <c r="F1356" s="7">
        <f t="shared" si="318"/>
        <v>124.97142857142855</v>
      </c>
      <c r="G1356" s="7">
        <f t="shared" si="319"/>
        <v>11779900.479732759</v>
      </c>
      <c r="H1356" s="6">
        <f t="shared" si="320"/>
        <v>3432.1859622888674</v>
      </c>
      <c r="I1356" s="7">
        <f t="shared" si="321"/>
        <v>-6.5119592123231822</v>
      </c>
      <c r="J1356" s="7">
        <f t="shared" si="322"/>
        <v>-61.439489473004656</v>
      </c>
      <c r="K1356" s="8">
        <f t="shared" si="326"/>
        <v>251.17556961817988</v>
      </c>
      <c r="L1356" s="8">
        <f t="shared" si="327"/>
        <v>-10.549373923963554</v>
      </c>
      <c r="M1356" s="8">
        <f t="shared" si="324"/>
        <v>99.531972946267516</v>
      </c>
      <c r="N1356" s="8">
        <f t="shared" si="328"/>
        <v>25.000000000000011</v>
      </c>
      <c r="O1356" s="8">
        <f t="shared" si="329"/>
        <v>27.64974500446673</v>
      </c>
    </row>
    <row r="1357" spans="1:15" x14ac:dyDescent="0.3">
      <c r="A1357" s="5">
        <f t="shared" si="315"/>
        <v>13.489999999999757</v>
      </c>
      <c r="B1357" s="5">
        <f t="shared" si="325"/>
        <v>110.01622727810783</v>
      </c>
      <c r="C1357" s="6">
        <f t="shared" si="323"/>
        <v>4243.4830521555878</v>
      </c>
      <c r="D1357" s="6">
        <f t="shared" si="316"/>
        <v>18007148.413931701</v>
      </c>
      <c r="E1357" s="7">
        <f t="shared" si="317"/>
        <v>6248571.4285714282</v>
      </c>
      <c r="F1357" s="7">
        <f t="shared" si="318"/>
        <v>124.97142857142855</v>
      </c>
      <c r="G1357" s="7">
        <f t="shared" si="319"/>
        <v>11758576.985360272</v>
      </c>
      <c r="H1357" s="6">
        <f t="shared" si="320"/>
        <v>3429.0781538717183</v>
      </c>
      <c r="I1357" s="7">
        <f t="shared" si="321"/>
        <v>-6.5167287242650742</v>
      </c>
      <c r="J1357" s="7">
        <f t="shared" si="322"/>
        <v>-61.394522681974344</v>
      </c>
      <c r="K1357" s="8">
        <f t="shared" si="326"/>
        <v>251.35953650736712</v>
      </c>
      <c r="L1357" s="8">
        <f t="shared" si="327"/>
        <v>-10.557100533309418</v>
      </c>
      <c r="M1357" s="8">
        <f t="shared" si="324"/>
        <v>99.459126744798411</v>
      </c>
      <c r="N1357" s="8">
        <f t="shared" si="328"/>
        <v>25.000000000000011</v>
      </c>
      <c r="O1357" s="8">
        <f t="shared" si="329"/>
        <v>27.653627896914347</v>
      </c>
    </row>
    <row r="1358" spans="1:15" x14ac:dyDescent="0.3">
      <c r="A1358" s="5">
        <f t="shared" si="315"/>
        <v>13.499999999999757</v>
      </c>
      <c r="B1358" s="5">
        <f t="shared" si="325"/>
        <v>109.95105999086519</v>
      </c>
      <c r="C1358" s="6">
        <f t="shared" si="323"/>
        <v>4240.9694567905144</v>
      </c>
      <c r="D1358" s="6">
        <f t="shared" si="316"/>
        <v>17985821.933430031</v>
      </c>
      <c r="E1358" s="7">
        <f t="shared" si="317"/>
        <v>6248571.4285714282</v>
      </c>
      <c r="F1358" s="7">
        <f t="shared" si="318"/>
        <v>124.97142857142855</v>
      </c>
      <c r="G1358" s="7">
        <f t="shared" si="319"/>
        <v>11737250.504858602</v>
      </c>
      <c r="H1358" s="6">
        <f t="shared" si="320"/>
        <v>3425.9670904517752</v>
      </c>
      <c r="I1358" s="7">
        <f t="shared" si="321"/>
        <v>-6.5215095614668215</v>
      </c>
      <c r="J1358" s="7">
        <f t="shared" si="322"/>
        <v>-61.349515124252441</v>
      </c>
      <c r="K1358" s="8">
        <f t="shared" si="326"/>
        <v>251.54394022800597</v>
      </c>
      <c r="L1358" s="8">
        <f t="shared" si="327"/>
        <v>-10.56484548957625</v>
      </c>
      <c r="M1358" s="8">
        <f t="shared" si="324"/>
        <v>99.386214501288947</v>
      </c>
      <c r="N1358" s="8">
        <f t="shared" si="328"/>
        <v>25.000000000000007</v>
      </c>
      <c r="O1358" s="8">
        <f t="shared" si="329"/>
        <v>27.657522862348092</v>
      </c>
    </row>
    <row r="1359" spans="1:15" x14ac:dyDescent="0.3">
      <c r="A1359" s="5">
        <f t="shared" si="315"/>
        <v>13.509999999999756</v>
      </c>
      <c r="B1359" s="5">
        <f t="shared" si="325"/>
        <v>109.88584489525053</v>
      </c>
      <c r="C1359" s="6">
        <f t="shared" si="323"/>
        <v>4238.4540173882342</v>
      </c>
      <c r="D1359" s="6">
        <f t="shared" si="316"/>
        <v>17964492.457514461</v>
      </c>
      <c r="E1359" s="7">
        <f t="shared" si="317"/>
        <v>6248571.4285714282</v>
      </c>
      <c r="F1359" s="7">
        <f t="shared" si="318"/>
        <v>124.97142857142855</v>
      </c>
      <c r="G1359" s="7">
        <f t="shared" si="319"/>
        <v>11715921.028943032</v>
      </c>
      <c r="H1359" s="6">
        <f t="shared" si="320"/>
        <v>3422.8527617972454</v>
      </c>
      <c r="I1359" s="7">
        <f t="shared" si="321"/>
        <v>-6.5263017708469624</v>
      </c>
      <c r="J1359" s="7">
        <f t="shared" si="322"/>
        <v>-61.304466683011391</v>
      </c>
      <c r="K1359" s="8">
        <f t="shared" si="326"/>
        <v>251.7287825898114</v>
      </c>
      <c r="L1359" s="8">
        <f t="shared" si="327"/>
        <v>-10.572608868772077</v>
      </c>
      <c r="M1359" s="8">
        <f t="shared" si="324"/>
        <v>99.31323602647845</v>
      </c>
      <c r="N1359" s="8">
        <f t="shared" si="328"/>
        <v>25.000000000000018</v>
      </c>
      <c r="O1359" s="8">
        <f t="shared" si="329"/>
        <v>27.66142995933426</v>
      </c>
    </row>
    <row r="1360" spans="1:15" x14ac:dyDescent="0.3">
      <c r="A1360" s="5">
        <f t="shared" si="315"/>
        <v>13.519999999999756</v>
      </c>
      <c r="B1360" s="5">
        <f t="shared" si="325"/>
        <v>109.82058187754205</v>
      </c>
      <c r="C1360" s="6">
        <f t="shared" si="323"/>
        <v>4235.936729562336</v>
      </c>
      <c r="D1360" s="6">
        <f t="shared" si="316"/>
        <v>17943159.976855259</v>
      </c>
      <c r="E1360" s="7">
        <f t="shared" si="317"/>
        <v>6248571.4285714282</v>
      </c>
      <c r="F1360" s="7">
        <f t="shared" si="318"/>
        <v>124.97142857142855</v>
      </c>
      <c r="G1360" s="7">
        <f t="shared" si="319"/>
        <v>11694588.54828383</v>
      </c>
      <c r="H1360" s="6">
        <f t="shared" si="320"/>
        <v>3419.7351576231499</v>
      </c>
      <c r="I1360" s="7">
        <f t="shared" si="321"/>
        <v>-6.5311053996048285</v>
      </c>
      <c r="J1360" s="7">
        <f t="shared" si="322"/>
        <v>-61.25937724085324</v>
      </c>
      <c r="K1360" s="8">
        <f t="shared" si="326"/>
        <v>251.9140654133291</v>
      </c>
      <c r="L1360" s="8">
        <f t="shared" si="327"/>
        <v>-10.580390747359822</v>
      </c>
      <c r="M1360" s="8">
        <f t="shared" si="324"/>
        <v>99.240191130182239</v>
      </c>
      <c r="N1360" s="8">
        <f t="shared" si="328"/>
        <v>25.000000000000011</v>
      </c>
      <c r="O1360" s="8">
        <f t="shared" si="329"/>
        <v>27.665349246828992</v>
      </c>
    </row>
    <row r="1361" spans="1:15" x14ac:dyDescent="0.3">
      <c r="A1361" s="5">
        <f t="shared" si="315"/>
        <v>13.529999999999756</v>
      </c>
      <c r="B1361" s="5">
        <f t="shared" si="325"/>
        <v>109.755270823546</v>
      </c>
      <c r="C1361" s="6">
        <f t="shared" si="323"/>
        <v>4233.4175889082026</v>
      </c>
      <c r="D1361" s="6">
        <f t="shared" si="316"/>
        <v>17921824.482077338</v>
      </c>
      <c r="E1361" s="7">
        <f t="shared" si="317"/>
        <v>6248571.4285714282</v>
      </c>
      <c r="F1361" s="7">
        <f t="shared" si="318"/>
        <v>124.97142857142855</v>
      </c>
      <c r="G1361" s="7">
        <f t="shared" si="319"/>
        <v>11673253.053505909</v>
      </c>
      <c r="H1361" s="6">
        <f t="shared" si="320"/>
        <v>3416.6142675909305</v>
      </c>
      <c r="I1361" s="7">
        <f t="shared" si="321"/>
        <v>-6.5359204952228005</v>
      </c>
      <c r="J1361" s="7">
        <f t="shared" si="322"/>
        <v>-61.214246679805605</v>
      </c>
      <c r="K1361" s="8">
        <f t="shared" si="326"/>
        <v>252.09979053002229</v>
      </c>
      <c r="L1361" s="8">
        <f t="shared" si="327"/>
        <v>-10.588191202260935</v>
      </c>
      <c r="M1361" s="8">
        <f t="shared" si="324"/>
        <v>99.167079621285069</v>
      </c>
      <c r="N1361" s="8">
        <f t="shared" si="328"/>
        <v>25.000000000000007</v>
      </c>
      <c r="O1361" s="8">
        <f t="shared" si="329"/>
        <v>27.669280784181815</v>
      </c>
    </row>
    <row r="1362" spans="1:15" x14ac:dyDescent="0.3">
      <c r="A1362" s="5">
        <f t="shared" si="315"/>
        <v>13.539999999999756</v>
      </c>
      <c r="B1362" s="5">
        <f t="shared" si="325"/>
        <v>109.68991161859377</v>
      </c>
      <c r="C1362" s="6">
        <f t="shared" si="323"/>
        <v>4230.8965910029019</v>
      </c>
      <c r="D1362" s="6">
        <f t="shared" si="316"/>
        <v>17900485.963759977</v>
      </c>
      <c r="E1362" s="7">
        <f t="shared" si="317"/>
        <v>6248571.4285714282</v>
      </c>
      <c r="F1362" s="7">
        <f t="shared" si="318"/>
        <v>124.97142857142855</v>
      </c>
      <c r="G1362" s="7">
        <f t="shared" si="319"/>
        <v>11651914.535188548</v>
      </c>
      <c r="H1362" s="6">
        <f t="shared" si="320"/>
        <v>3413.4900813080662</v>
      </c>
      <c r="I1362" s="7">
        <f t="shared" si="321"/>
        <v>-6.5407471054685082</v>
      </c>
      <c r="J1362" s="7">
        <f t="shared" si="322"/>
        <v>-61.169074881317769</v>
      </c>
      <c r="K1362" s="8">
        <f t="shared" si="326"/>
        <v>252.28595978235674</v>
      </c>
      <c r="L1362" s="8">
        <f t="shared" si="327"/>
        <v>-10.596010310858983</v>
      </c>
      <c r="M1362" s="8">
        <f t="shared" si="324"/>
        <v>99.093901307734782</v>
      </c>
      <c r="N1362" s="8">
        <f t="shared" si="328"/>
        <v>25.000000000000004</v>
      </c>
      <c r="O1362" s="8">
        <f t="shared" si="329"/>
        <v>27.673224631138812</v>
      </c>
    </row>
    <row r="1363" spans="1:15" x14ac:dyDescent="0.3">
      <c r="A1363" s="5">
        <f t="shared" si="315"/>
        <v>13.549999999999756</v>
      </c>
      <c r="B1363" s="5">
        <f t="shared" si="325"/>
        <v>109.62450414753908</v>
      </c>
      <c r="C1363" s="6">
        <f t="shared" si="323"/>
        <v>4228.3737314050786</v>
      </c>
      <c r="D1363" s="6">
        <f t="shared" si="316"/>
        <v>17879144.412436508</v>
      </c>
      <c r="E1363" s="7">
        <f t="shared" si="317"/>
        <v>6248571.4285714282</v>
      </c>
      <c r="F1363" s="7">
        <f t="shared" si="318"/>
        <v>124.97142857142855</v>
      </c>
      <c r="G1363" s="7">
        <f t="shared" si="319"/>
        <v>11630572.983865079</v>
      </c>
      <c r="H1363" s="6">
        <f t="shared" si="320"/>
        <v>3410.3625883276809</v>
      </c>
      <c r="I1363" s="7">
        <f t="shared" si="321"/>
        <v>-6.5455852783971027</v>
      </c>
      <c r="J1363" s="7">
        <f t="shared" si="322"/>
        <v>-61.123861726256663</v>
      </c>
      <c r="K1363" s="8">
        <f t="shared" si="326"/>
        <v>252.47257502388823</v>
      </c>
      <c r="L1363" s="8">
        <f t="shared" si="327"/>
        <v>-10.603848151003305</v>
      </c>
      <c r="M1363" s="8">
        <f t="shared" si="324"/>
        <v>99.02065599653578</v>
      </c>
      <c r="N1363" s="8">
        <f t="shared" si="328"/>
        <v>25.000000000000007</v>
      </c>
      <c r="O1363" s="8">
        <f t="shared" si="329"/>
        <v>27.677180847846106</v>
      </c>
    </row>
    <row r="1364" spans="1:15" x14ac:dyDescent="0.3">
      <c r="A1364" s="5">
        <f t="shared" si="315"/>
        <v>13.559999999999755</v>
      </c>
      <c r="B1364" s="5">
        <f t="shared" si="325"/>
        <v>109.55904829475512</v>
      </c>
      <c r="C1364" s="6">
        <f t="shared" si="323"/>
        <v>4225.8490056548399</v>
      </c>
      <c r="D1364" s="6">
        <f t="shared" si="316"/>
        <v>17857799.818593998</v>
      </c>
      <c r="E1364" s="7">
        <f t="shared" si="317"/>
        <v>6248571.4285714282</v>
      </c>
      <c r="F1364" s="7">
        <f t="shared" si="318"/>
        <v>124.97142857142855</v>
      </c>
      <c r="G1364" s="7">
        <f t="shared" si="319"/>
        <v>11609228.390022568</v>
      </c>
      <c r="H1364" s="6">
        <f t="shared" si="320"/>
        <v>3407.2317781481447</v>
      </c>
      <c r="I1364" s="7">
        <f t="shared" si="321"/>
        <v>-6.5504350623535288</v>
      </c>
      <c r="J1364" s="7">
        <f t="shared" si="322"/>
        <v>-61.078607094902729</v>
      </c>
      <c r="K1364" s="8">
        <f t="shared" si="326"/>
        <v>252.65963811935038</v>
      </c>
      <c r="L1364" s="8">
        <f t="shared" si="327"/>
        <v>-10.611704801012715</v>
      </c>
      <c r="M1364" s="8">
        <f t="shared" si="324"/>
        <v>98.947343493742395</v>
      </c>
      <c r="N1364" s="8">
        <f t="shared" si="328"/>
        <v>25.000000000000011</v>
      </c>
      <c r="O1364" s="8">
        <f t="shared" si="329"/>
        <v>27.681149494853258</v>
      </c>
    </row>
    <row r="1365" spans="1:15" x14ac:dyDescent="0.3">
      <c r="A1365" s="5">
        <f t="shared" si="315"/>
        <v>13.569999999999755</v>
      </c>
      <c r="B1365" s="5">
        <f t="shared" si="325"/>
        <v>109.49354394413157</v>
      </c>
      <c r="C1365" s="6">
        <f t="shared" si="323"/>
        <v>4223.3224092736464</v>
      </c>
      <c r="D1365" s="6">
        <f t="shared" si="316"/>
        <v>17836452.172672957</v>
      </c>
      <c r="E1365" s="7">
        <f t="shared" si="317"/>
        <v>6248571.4285714282</v>
      </c>
      <c r="F1365" s="7">
        <f t="shared" si="318"/>
        <v>124.97142857142855</v>
      </c>
      <c r="G1365" s="7">
        <f t="shared" si="319"/>
        <v>11587880.744101528</v>
      </c>
      <c r="H1365" s="6">
        <f t="shared" si="320"/>
        <v>3404.0976402126789</v>
      </c>
      <c r="I1365" s="7">
        <f t="shared" si="321"/>
        <v>-6.5552965059748205</v>
      </c>
      <c r="J1365" s="7">
        <f t="shared" si="322"/>
        <v>-61.033310866945918</v>
      </c>
      <c r="K1365" s="8">
        <f t="shared" si="326"/>
        <v>252.84715094474305</v>
      </c>
      <c r="L1365" s="8">
        <f t="shared" si="327"/>
        <v>-10.619580339679207</v>
      </c>
      <c r="M1365" s="8">
        <f t="shared" si="324"/>
        <v>98.873963604452371</v>
      </c>
      <c r="N1365" s="8">
        <f t="shared" si="328"/>
        <v>25</v>
      </c>
      <c r="O1365" s="8">
        <f t="shared" si="329"/>
        <v>27.685130633116692</v>
      </c>
    </row>
    <row r="1366" spans="1:15" x14ac:dyDescent="0.3">
      <c r="A1366" s="5">
        <f t="shared" si="315"/>
        <v>13.579999999999755</v>
      </c>
      <c r="B1366" s="5">
        <f t="shared" si="325"/>
        <v>109.42799097907182</v>
      </c>
      <c r="C1366" s="6">
        <f t="shared" si="323"/>
        <v>4220.7939377641987</v>
      </c>
      <c r="D1366" s="6">
        <f t="shared" si="316"/>
        <v>17815101.46506701</v>
      </c>
      <c r="E1366" s="7">
        <f t="shared" si="317"/>
        <v>6248571.4285714282</v>
      </c>
      <c r="F1366" s="7">
        <f t="shared" si="318"/>
        <v>124.97142857142855</v>
      </c>
      <c r="G1366" s="7">
        <f t="shared" si="319"/>
        <v>11566530.036495581</v>
      </c>
      <c r="H1366" s="6">
        <f t="shared" si="320"/>
        <v>3400.9601639089483</v>
      </c>
      <c r="I1366" s="7">
        <f t="shared" si="321"/>
        <v>-6.5601696581924491</v>
      </c>
      <c r="J1366" s="7">
        <f t="shared" si="322"/>
        <v>-60.987972921481521</v>
      </c>
      <c r="K1366" s="8">
        <f t="shared" si="326"/>
        <v>253.03511538742302</v>
      </c>
      <c r="L1366" s="8">
        <f t="shared" si="327"/>
        <v>-10.627474846271765</v>
      </c>
      <c r="M1366" s="8">
        <f t="shared" si="324"/>
        <v>98.800516132800055</v>
      </c>
      <c r="N1366" s="8">
        <f t="shared" si="328"/>
        <v>25.000000000000011</v>
      </c>
      <c r="O1366" s="8">
        <f t="shared" si="329"/>
        <v>27.689124324003327</v>
      </c>
    </row>
    <row r="1367" spans="1:15" x14ac:dyDescent="0.3">
      <c r="A1367" s="5">
        <f t="shared" si="315"/>
        <v>13.589999999999755</v>
      </c>
      <c r="B1367" s="5">
        <f t="shared" si="325"/>
        <v>109.3623892824899</v>
      </c>
      <c r="C1367" s="6">
        <f t="shared" si="323"/>
        <v>4218.2635866103246</v>
      </c>
      <c r="D1367" s="6">
        <f t="shared" si="316"/>
        <v>17793747.6861226</v>
      </c>
      <c r="E1367" s="7">
        <f t="shared" si="317"/>
        <v>6248571.4285714282</v>
      </c>
      <c r="F1367" s="7">
        <f t="shared" si="318"/>
        <v>124.97142857142855</v>
      </c>
      <c r="G1367" s="7">
        <f t="shared" si="319"/>
        <v>11545176.257551171</v>
      </c>
      <c r="H1367" s="6">
        <f t="shared" si="320"/>
        <v>3397.8193385686609</v>
      </c>
      <c r="I1367" s="7">
        <f t="shared" si="321"/>
        <v>-6.565054568234622</v>
      </c>
      <c r="J1367" s="7">
        <f t="shared" si="322"/>
        <v>-60.942593137006071</v>
      </c>
      <c r="K1367" s="8">
        <f t="shared" si="326"/>
        <v>253.22353334619254</v>
      </c>
      <c r="L1367" s="8">
        <f t="shared" si="327"/>
        <v>-10.635388400540085</v>
      </c>
      <c r="M1367" s="8">
        <f t="shared" si="324"/>
        <v>98.72700088194982</v>
      </c>
      <c r="N1367" s="8">
        <f t="shared" si="328"/>
        <v>25</v>
      </c>
      <c r="O1367" s="8">
        <f t="shared" si="329"/>
        <v>27.693130629293872</v>
      </c>
    </row>
    <row r="1368" spans="1:15" x14ac:dyDescent="0.3">
      <c r="A1368" s="5">
        <f t="shared" si="315"/>
        <v>13.599999999999755</v>
      </c>
      <c r="B1368" s="5">
        <f t="shared" si="325"/>
        <v>109.29673873680755</v>
      </c>
      <c r="C1368" s="6">
        <f t="shared" si="323"/>
        <v>4215.7313512768624</v>
      </c>
      <c r="D1368" s="6">
        <f t="shared" si="316"/>
        <v>17772390.826138642</v>
      </c>
      <c r="E1368" s="7">
        <f t="shared" si="317"/>
        <v>6248571.4285714282</v>
      </c>
      <c r="F1368" s="7">
        <f t="shared" si="318"/>
        <v>124.97142857142855</v>
      </c>
      <c r="G1368" s="7">
        <f t="shared" si="319"/>
        <v>11523819.397567213</v>
      </c>
      <c r="H1368" s="6">
        <f t="shared" si="320"/>
        <v>3394.6751534671494</v>
      </c>
      <c r="I1368" s="7">
        <f t="shared" si="321"/>
        <v>-6.5699512856287061</v>
      </c>
      <c r="J1368" s="7">
        <f t="shared" si="322"/>
        <v>-60.897171391413004</v>
      </c>
      <c r="K1368" s="8">
        <f t="shared" si="326"/>
        <v>253.41240673139293</v>
      </c>
      <c r="L1368" s="8">
        <f t="shared" si="327"/>
        <v>-10.643321082718503</v>
      </c>
      <c r="M1368" s="8">
        <f t="shared" si="324"/>
        <v>98.653417654089054</v>
      </c>
      <c r="N1368" s="8">
        <f t="shared" si="328"/>
        <v>24.999999999999996</v>
      </c>
      <c r="O1368" s="8">
        <f t="shared" si="329"/>
        <v>27.697149611186667</v>
      </c>
    </row>
    <row r="1369" spans="1:15" x14ac:dyDescent="0.3">
      <c r="A1369" s="5">
        <f t="shared" si="315"/>
        <v>13.609999999999754</v>
      </c>
      <c r="B1369" s="5">
        <f t="shared" si="325"/>
        <v>109.23103922395127</v>
      </c>
      <c r="C1369" s="6">
        <f t="shared" si="323"/>
        <v>4213.1972272095491</v>
      </c>
      <c r="D1369" s="6">
        <f t="shared" si="316"/>
        <v>17751030.875366233</v>
      </c>
      <c r="E1369" s="7">
        <f t="shared" si="317"/>
        <v>6248571.4285714282</v>
      </c>
      <c r="F1369" s="7">
        <f t="shared" si="318"/>
        <v>124.97142857142855</v>
      </c>
      <c r="G1369" s="7">
        <f t="shared" si="319"/>
        <v>11502459.446794804</v>
      </c>
      <c r="H1369" s="6">
        <f t="shared" si="320"/>
        <v>3391.5275978229638</v>
      </c>
      <c r="I1369" s="7">
        <f t="shared" si="321"/>
        <v>-6.5748598602035866</v>
      </c>
      <c r="J1369" s="7">
        <f t="shared" si="322"/>
        <v>-60.851707561988569</v>
      </c>
      <c r="K1369" s="8">
        <f t="shared" si="326"/>
        <v>253.60173746499547</v>
      </c>
      <c r="L1369" s="8">
        <f t="shared" si="327"/>
        <v>-10.651272973529808</v>
      </c>
      <c r="M1369" s="8">
        <f t="shared" si="324"/>
        <v>98.579766250421457</v>
      </c>
      <c r="N1369" s="8">
        <f t="shared" si="328"/>
        <v>25.000000000000004</v>
      </c>
      <c r="O1369" s="8">
        <f t="shared" si="329"/>
        <v>27.701181332301111</v>
      </c>
    </row>
    <row r="1370" spans="1:15" x14ac:dyDescent="0.3">
      <c r="A1370" s="5">
        <f t="shared" si="315"/>
        <v>13.619999999999754</v>
      </c>
      <c r="B1370" s="5">
        <f t="shared" si="325"/>
        <v>109.16529062534923</v>
      </c>
      <c r="C1370" s="6">
        <f t="shared" si="323"/>
        <v>4210.6612098348987</v>
      </c>
      <c r="D1370" s="6">
        <f t="shared" si="316"/>
        <v>17729667.824008293</v>
      </c>
      <c r="E1370" s="7">
        <f t="shared" si="317"/>
        <v>6248571.4285714282</v>
      </c>
      <c r="F1370" s="7">
        <f t="shared" si="318"/>
        <v>124.97142857142855</v>
      </c>
      <c r="G1370" s="7">
        <f t="shared" si="319"/>
        <v>11481096.395436864</v>
      </c>
      <c r="H1370" s="6">
        <f t="shared" si="320"/>
        <v>3388.376660797448</v>
      </c>
      <c r="I1370" s="7">
        <f t="shared" si="321"/>
        <v>-6.5797803420920848</v>
      </c>
      <c r="J1370" s="7">
        <f t="shared" si="322"/>
        <v>-60.806201525407445</v>
      </c>
      <c r="K1370" s="8">
        <f t="shared" si="326"/>
        <v>253.7915274806947</v>
      </c>
      <c r="L1370" s="8">
        <f t="shared" si="327"/>
        <v>-10.659244154189176</v>
      </c>
      <c r="M1370" s="8">
        <f t="shared" si="324"/>
        <v>98.506046471160047</v>
      </c>
      <c r="N1370" s="8">
        <f t="shared" si="328"/>
        <v>25.000000000000004</v>
      </c>
      <c r="O1370" s="8">
        <f t="shared" si="329"/>
        <v>27.705225855681341</v>
      </c>
    </row>
    <row r="1371" spans="1:15" x14ac:dyDescent="0.3">
      <c r="A1371" s="5">
        <f t="shared" si="315"/>
        <v>13.629999999999754</v>
      </c>
      <c r="B1371" s="5">
        <f t="shared" si="325"/>
        <v>109.09949282192831</v>
      </c>
      <c r="C1371" s="6">
        <f t="shared" si="323"/>
        <v>4208.1232945600914</v>
      </c>
      <c r="D1371" s="6">
        <f t="shared" si="316"/>
        <v>17708301.662219279</v>
      </c>
      <c r="E1371" s="7">
        <f t="shared" si="317"/>
        <v>6248571.4285714282</v>
      </c>
      <c r="F1371" s="7">
        <f t="shared" si="318"/>
        <v>124.97142857142855</v>
      </c>
      <c r="G1371" s="7">
        <f t="shared" si="319"/>
        <v>11459730.233647849</v>
      </c>
      <c r="H1371" s="6">
        <f t="shared" si="320"/>
        <v>3385.2223314943212</v>
      </c>
      <c r="I1371" s="7">
        <f t="shared" si="321"/>
        <v>-6.5847127817334163</v>
      </c>
      <c r="J1371" s="7">
        <f t="shared" si="322"/>
        <v>-60.760653157728505</v>
      </c>
      <c r="K1371" s="8">
        <f t="shared" si="326"/>
        <v>253.98177872400319</v>
      </c>
      <c r="L1371" s="8">
        <f t="shared" si="327"/>
        <v>-10.667234706408133</v>
      </c>
      <c r="M1371" s="8">
        <f t="shared" si="324"/>
        <v>98.43225811552017</v>
      </c>
      <c r="N1371" s="8">
        <f t="shared" si="328"/>
        <v>25.000000000000011</v>
      </c>
      <c r="O1371" s="8">
        <f t="shared" si="329"/>
        <v>27.709283244799973</v>
      </c>
    </row>
    <row r="1372" spans="1:15" x14ac:dyDescent="0.3">
      <c r="A1372" s="5">
        <f t="shared" si="315"/>
        <v>13.639999999999754</v>
      </c>
      <c r="B1372" s="5">
        <f t="shared" si="325"/>
        <v>109.03364569411097</v>
      </c>
      <c r="C1372" s="6">
        <f t="shared" si="323"/>
        <v>4205.583476772852</v>
      </c>
      <c r="D1372" s="6">
        <f t="shared" si="316"/>
        <v>17686932.380104829</v>
      </c>
      <c r="E1372" s="7">
        <f t="shared" si="317"/>
        <v>6248571.4285714282</v>
      </c>
      <c r="F1372" s="7">
        <f t="shared" si="318"/>
        <v>124.97142857142855</v>
      </c>
      <c r="G1372" s="7">
        <f t="shared" si="319"/>
        <v>11438360.9515334</v>
      </c>
      <c r="H1372" s="6">
        <f t="shared" si="320"/>
        <v>3382.0645989592508</v>
      </c>
      <c r="I1372" s="7">
        <f t="shared" si="321"/>
        <v>-6.5896572298756393</v>
      </c>
      <c r="J1372" s="7">
        <f t="shared" si="322"/>
        <v>-60.715062334390403</v>
      </c>
      <c r="K1372" s="8">
        <f t="shared" si="326"/>
        <v>254.17249315234608</v>
      </c>
      <c r="L1372" s="8">
        <f t="shared" si="327"/>
        <v>-10.675244712398534</v>
      </c>
      <c r="M1372" s="8">
        <f t="shared" si="324"/>
        <v>98.358400981712435</v>
      </c>
      <c r="N1372" s="8">
        <f t="shared" si="328"/>
        <v>25.000000000000014</v>
      </c>
      <c r="O1372" s="8">
        <f t="shared" si="329"/>
        <v>27.71335356356175</v>
      </c>
    </row>
    <row r="1373" spans="1:15" x14ac:dyDescent="0.3">
      <c r="A1373" s="5">
        <f t="shared" si="315"/>
        <v>13.649999999999753</v>
      </c>
      <c r="B1373" s="5">
        <f t="shared" si="325"/>
        <v>108.96774912181222</v>
      </c>
      <c r="C1373" s="6">
        <f t="shared" si="323"/>
        <v>4203.0417518413278</v>
      </c>
      <c r="D1373" s="6">
        <f t="shared" si="316"/>
        <v>17665559.967721418</v>
      </c>
      <c r="E1373" s="7">
        <f t="shared" si="317"/>
        <v>6248571.4285714282</v>
      </c>
      <c r="F1373" s="7">
        <f t="shared" si="318"/>
        <v>124.97142857142855</v>
      </c>
      <c r="G1373" s="7">
        <f t="shared" si="319"/>
        <v>11416988.539149988</v>
      </c>
      <c r="H1373" s="6">
        <f t="shared" si="320"/>
        <v>3378.9034521794179</v>
      </c>
      <c r="I1373" s="7">
        <f t="shared" si="321"/>
        <v>-6.5946137375781557</v>
      </c>
      <c r="J1373" s="7">
        <f t="shared" si="322"/>
        <v>-60.669428930207161</v>
      </c>
      <c r="K1373" s="8">
        <f t="shared" si="326"/>
        <v>254.36367273515742</v>
      </c>
      <c r="L1373" s="8">
        <f t="shared" si="327"/>
        <v>-10.683274254876611</v>
      </c>
      <c r="M1373" s="8">
        <f t="shared" si="324"/>
        <v>98.284474866935611</v>
      </c>
      <c r="N1373" s="8">
        <f t="shared" si="328"/>
        <v>25.000000000000014</v>
      </c>
      <c r="O1373" s="8">
        <f t="shared" si="329"/>
        <v>27.717436876307382</v>
      </c>
    </row>
    <row r="1374" spans="1:15" x14ac:dyDescent="0.3">
      <c r="A1374" s="5">
        <f t="shared" si="315"/>
        <v>13.659999999999753</v>
      </c>
      <c r="B1374" s="5">
        <f t="shared" si="325"/>
        <v>108.90180298443644</v>
      </c>
      <c r="C1374" s="6">
        <f t="shared" si="323"/>
        <v>4200.4981151139773</v>
      </c>
      <c r="D1374" s="6">
        <f t="shared" si="316"/>
        <v>17644184.415076077</v>
      </c>
      <c r="E1374" s="7">
        <f t="shared" si="317"/>
        <v>6248571.4285714282</v>
      </c>
      <c r="F1374" s="7">
        <f t="shared" si="318"/>
        <v>124.97142857142855</v>
      </c>
      <c r="G1374" s="7">
        <f t="shared" si="319"/>
        <v>11395612.986504648</v>
      </c>
      <c r="H1374" s="6">
        <f t="shared" si="320"/>
        <v>3375.7388800830918</v>
      </c>
      <c r="I1374" s="7">
        <f t="shared" si="321"/>
        <v>-6.5995823562142197</v>
      </c>
      <c r="J1374" s="7">
        <f t="shared" si="322"/>
        <v>-60.623752819363844</v>
      </c>
      <c r="K1374" s="8">
        <f t="shared" si="326"/>
        <v>254.55531945397703</v>
      </c>
      <c r="L1374" s="8">
        <f t="shared" si="327"/>
        <v>-10.691323417067034</v>
      </c>
      <c r="M1374" s="8">
        <f t="shared" si="324"/>
        <v>98.210479567369404</v>
      </c>
      <c r="N1374" s="8">
        <f t="shared" si="328"/>
        <v>25.000000000000004</v>
      </c>
      <c r="O1374" s="8">
        <f t="shared" si="329"/>
        <v>27.721533247817291</v>
      </c>
    </row>
    <row r="1375" spans="1:15" x14ac:dyDescent="0.3">
      <c r="A1375" s="5">
        <f t="shared" si="315"/>
        <v>13.669999999999753</v>
      </c>
      <c r="B1375" s="5">
        <f t="shared" si="325"/>
        <v>108.8358071608743</v>
      </c>
      <c r="C1375" s="6">
        <f t="shared" si="323"/>
        <v>4197.9525619194374</v>
      </c>
      <c r="D1375" s="6">
        <f t="shared" si="316"/>
        <v>17622805.712125968</v>
      </c>
      <c r="E1375" s="7">
        <f t="shared" si="317"/>
        <v>6248571.4285714282</v>
      </c>
      <c r="F1375" s="7">
        <f t="shared" si="318"/>
        <v>124.97142857142855</v>
      </c>
      <c r="G1375" s="7">
        <f t="shared" si="319"/>
        <v>11374234.283554539</v>
      </c>
      <c r="H1375" s="6">
        <f t="shared" si="320"/>
        <v>3372.5708715391793</v>
      </c>
      <c r="I1375" s="7">
        <f t="shared" si="321"/>
        <v>-6.6045631374734883</v>
      </c>
      <c r="J1375" s="7">
        <f t="shared" si="322"/>
        <v>-60.578033875411897</v>
      </c>
      <c r="K1375" s="8">
        <f t="shared" si="326"/>
        <v>254.74743530254881</v>
      </c>
      <c r="L1375" s="8">
        <f t="shared" si="327"/>
        <v>-10.699392282707048</v>
      </c>
      <c r="M1375" s="8">
        <f t="shared" si="324"/>
        <v>98.136414878167244</v>
      </c>
      <c r="N1375" s="8">
        <f t="shared" si="328"/>
        <v>25</v>
      </c>
      <c r="O1375" s="8">
        <f t="shared" si="329"/>
        <v>27.725642743315504</v>
      </c>
    </row>
    <row r="1376" spans="1:15" x14ac:dyDescent="0.3">
      <c r="A1376" s="5">
        <f t="shared" si="315"/>
        <v>13.679999999999753</v>
      </c>
      <c r="B1376" s="5">
        <f t="shared" si="325"/>
        <v>108.76976152949956</v>
      </c>
      <c r="C1376" s="6">
        <f t="shared" si="323"/>
        <v>4195.4050875664116</v>
      </c>
      <c r="D1376" s="6">
        <f t="shared" si="316"/>
        <v>17601423.848778129</v>
      </c>
      <c r="E1376" s="7">
        <f t="shared" si="317"/>
        <v>6248571.4285714282</v>
      </c>
      <c r="F1376" s="7">
        <f t="shared" si="318"/>
        <v>124.97142857142855</v>
      </c>
      <c r="G1376" s="7">
        <f t="shared" si="319"/>
        <v>11352852.4202067</v>
      </c>
      <c r="H1376" s="6">
        <f t="shared" si="320"/>
        <v>3369.3994153567933</v>
      </c>
      <c r="I1376" s="7">
        <f t="shared" si="321"/>
        <v>-6.609556133364574</v>
      </c>
      <c r="J1376" s="7">
        <f t="shared" si="322"/>
        <v>-60.532271971264798</v>
      </c>
      <c r="K1376" s="8">
        <f t="shared" si="326"/>
        <v>254.94002228691926</v>
      </c>
      <c r="L1376" s="8">
        <f t="shared" si="327"/>
        <v>-10.707480936050608</v>
      </c>
      <c r="M1376" s="8">
        <f t="shared" si="324"/>
        <v>98.062280593448946</v>
      </c>
      <c r="N1376" s="8">
        <f t="shared" si="328"/>
        <v>25.000000000000004</v>
      </c>
      <c r="O1376" s="8">
        <f t="shared" si="329"/>
        <v>27.72976542847351</v>
      </c>
    </row>
    <row r="1377" spans="1:15" x14ac:dyDescent="0.3">
      <c r="A1377" s="5">
        <f t="shared" si="315"/>
        <v>13.689999999999753</v>
      </c>
      <c r="B1377" s="5">
        <f t="shared" si="325"/>
        <v>108.70366596816592</v>
      </c>
      <c r="C1377" s="6">
        <f t="shared" si="323"/>
        <v>4192.8556873435427</v>
      </c>
      <c r="D1377" s="6">
        <f t="shared" si="316"/>
        <v>17580038.814889092</v>
      </c>
      <c r="E1377" s="7">
        <f t="shared" si="317"/>
        <v>6248571.4285714282</v>
      </c>
      <c r="F1377" s="7">
        <f t="shared" si="318"/>
        <v>124.97142857142855</v>
      </c>
      <c r="G1377" s="7">
        <f t="shared" si="319"/>
        <v>11331467.386317663</v>
      </c>
      <c r="H1377" s="6">
        <f t="shared" si="320"/>
        <v>3366.2245002848017</v>
      </c>
      <c r="I1377" s="7">
        <f t="shared" si="321"/>
        <v>-6.6145613962176366</v>
      </c>
      <c r="J1377" s="7">
        <f t="shared" si="322"/>
        <v>-60.486466979193438</v>
      </c>
      <c r="K1377" s="8">
        <f t="shared" si="326"/>
        <v>255.1330824255374</v>
      </c>
      <c r="L1377" s="8">
        <f t="shared" si="327"/>
        <v>-10.71558946187257</v>
      </c>
      <c r="M1377" s="8">
        <f t="shared" si="324"/>
        <v>97.988076506293353</v>
      </c>
      <c r="N1377" s="8">
        <f t="shared" si="328"/>
        <v>25.000000000000007</v>
      </c>
      <c r="O1377" s="8">
        <f t="shared" si="329"/>
        <v>27.733901369414163</v>
      </c>
    </row>
    <row r="1378" spans="1:15" x14ac:dyDescent="0.3">
      <c r="A1378" s="5">
        <f t="shared" si="315"/>
        <v>13.699999999999752</v>
      </c>
      <c r="B1378" s="5">
        <f t="shared" si="325"/>
        <v>108.63752035420374</v>
      </c>
      <c r="C1378" s="6">
        <f t="shared" si="323"/>
        <v>4190.3043565192875</v>
      </c>
      <c r="D1378" s="6">
        <f t="shared" si="316"/>
        <v>17558650.600264519</v>
      </c>
      <c r="E1378" s="7">
        <f t="shared" si="317"/>
        <v>6248571.4285714282</v>
      </c>
      <c r="F1378" s="7">
        <f t="shared" si="318"/>
        <v>124.97142857142855</v>
      </c>
      <c r="G1378" s="7">
        <f t="shared" si="319"/>
        <v>11310079.17169309</v>
      </c>
      <c r="H1378" s="6">
        <f t="shared" si="320"/>
        <v>3363.0461150113733</v>
      </c>
      <c r="I1378" s="7">
        <f t="shared" si="321"/>
        <v>-6.6195789786870147</v>
      </c>
      <c r="J1378" s="7">
        <f t="shared" si="322"/>
        <v>-60.440618770821487</v>
      </c>
      <c r="K1378" s="8">
        <f t="shared" si="326"/>
        <v>255.32661774935627</v>
      </c>
      <c r="L1378" s="8">
        <f t="shared" si="327"/>
        <v>-10.723717945472963</v>
      </c>
      <c r="M1378" s="8">
        <f t="shared" si="324"/>
        <v>97.913802408730788</v>
      </c>
      <c r="N1378" s="8">
        <f t="shared" si="328"/>
        <v>25.000000000000007</v>
      </c>
      <c r="O1378" s="8">
        <f t="shared" si="329"/>
        <v>27.738050632715691</v>
      </c>
    </row>
    <row r="1379" spans="1:15" x14ac:dyDescent="0.3">
      <c r="A1379" s="5">
        <f t="shared" si="315"/>
        <v>13.709999999999752</v>
      </c>
      <c r="B1379" s="5">
        <f t="shared" si="325"/>
        <v>108.57132456441687</v>
      </c>
      <c r="C1379" s="6">
        <f t="shared" si="323"/>
        <v>4187.7510903417933</v>
      </c>
      <c r="D1379" s="6">
        <f t="shared" si="316"/>
        <v>17537259.194658879</v>
      </c>
      <c r="E1379" s="7">
        <f t="shared" si="317"/>
        <v>6248571.4285714282</v>
      </c>
      <c r="F1379" s="7">
        <f t="shared" si="318"/>
        <v>124.97142857142855</v>
      </c>
      <c r="G1379" s="7">
        <f t="shared" si="319"/>
        <v>11288687.76608745</v>
      </c>
      <c r="H1379" s="6">
        <f t="shared" si="320"/>
        <v>3359.8642481635252</v>
      </c>
      <c r="I1379" s="7">
        <f t="shared" si="321"/>
        <v>-6.6246089337538612</v>
      </c>
      <c r="J1379" s="7">
        <f t="shared" si="322"/>
        <v>-60.39472721712076</v>
      </c>
      <c r="K1379" s="8">
        <f t="shared" si="326"/>
        <v>255.52063030193463</v>
      </c>
      <c r="L1379" s="8">
        <f t="shared" si="327"/>
        <v>-10.731866472681254</v>
      </c>
      <c r="M1379" s="8">
        <f t="shared" si="324"/>
        <v>97.839458091735622</v>
      </c>
      <c r="N1379" s="8">
        <f t="shared" si="328"/>
        <v>25.000000000000004</v>
      </c>
      <c r="O1379" s="8">
        <f t="shared" si="329"/>
        <v>27.742213285415716</v>
      </c>
    </row>
    <row r="1380" spans="1:15" x14ac:dyDescent="0.3">
      <c r="A1380" s="5">
        <f t="shared" si="315"/>
        <v>13.719999999999752</v>
      </c>
      <c r="B1380" s="5">
        <f t="shared" si="325"/>
        <v>108.50507847507933</v>
      </c>
      <c r="C1380" s="6">
        <f t="shared" si="323"/>
        <v>4185.1958840387742</v>
      </c>
      <c r="D1380" s="6">
        <f t="shared" si="316"/>
        <v>17515864.587775096</v>
      </c>
      <c r="E1380" s="7">
        <f t="shared" si="317"/>
        <v>6248571.4285714282</v>
      </c>
      <c r="F1380" s="7">
        <f t="shared" si="318"/>
        <v>124.97142857142855</v>
      </c>
      <c r="G1380" s="7">
        <f t="shared" si="319"/>
        <v>11267293.159203667</v>
      </c>
      <c r="H1380" s="6">
        <f t="shared" si="320"/>
        <v>3356.6788883066647</v>
      </c>
      <c r="I1380" s="7">
        <f t="shared" si="321"/>
        <v>-6.6296513147288154</v>
      </c>
      <c r="J1380" s="7">
        <f t="shared" si="322"/>
        <v>-60.348792188406591</v>
      </c>
      <c r="K1380" s="8">
        <f t="shared" si="326"/>
        <v>255.71512213954</v>
      </c>
      <c r="L1380" s="8">
        <f t="shared" si="327"/>
        <v>-10.740035129860679</v>
      </c>
      <c r="M1380" s="8">
        <f t="shared" si="324"/>
        <v>97.765043345218658</v>
      </c>
      <c r="N1380" s="8">
        <f t="shared" si="328"/>
        <v>25.000000000000011</v>
      </c>
      <c r="O1380" s="8">
        <f t="shared" si="329"/>
        <v>27.746389395015285</v>
      </c>
    </row>
    <row r="1381" spans="1:15" x14ac:dyDescent="0.3">
      <c r="A1381" s="5">
        <f t="shared" si="315"/>
        <v>13.729999999999752</v>
      </c>
      <c r="B1381" s="5">
        <f t="shared" si="325"/>
        <v>108.43878196193204</v>
      </c>
      <c r="C1381" s="6">
        <f t="shared" si="323"/>
        <v>4182.6387328173787</v>
      </c>
      <c r="D1381" s="6">
        <f t="shared" si="316"/>
        <v>17494466.769264169</v>
      </c>
      <c r="E1381" s="7">
        <f t="shared" si="317"/>
        <v>6248571.4285714282</v>
      </c>
      <c r="F1381" s="7">
        <f t="shared" si="318"/>
        <v>124.97142857142855</v>
      </c>
      <c r="G1381" s="7">
        <f t="shared" si="319"/>
        <v>11245895.34069274</v>
      </c>
      <c r="H1381" s="6">
        <f t="shared" si="320"/>
        <v>3353.4900239441208</v>
      </c>
      <c r="I1381" s="7">
        <f t="shared" si="321"/>
        <v>-6.6347061752546939</v>
      </c>
      <c r="J1381" s="7">
        <f t="shared" si="322"/>
        <v>-60.302813554333</v>
      </c>
      <c r="K1381" s="8">
        <f t="shared" si="326"/>
        <v>255.91009533125248</v>
      </c>
      <c r="L1381" s="8">
        <f t="shared" si="327"/>
        <v>-10.748224003912602</v>
      </c>
      <c r="M1381" s="8">
        <f t="shared" si="324"/>
        <v>97.69055795801944</v>
      </c>
      <c r="N1381" s="8">
        <f t="shared" si="328"/>
        <v>25</v>
      </c>
      <c r="O1381" s="8">
        <f t="shared" si="329"/>
        <v>27.750579029482928</v>
      </c>
    </row>
    <row r="1382" spans="1:15" x14ac:dyDescent="0.3">
      <c r="A1382" s="5">
        <f t="shared" si="315"/>
        <v>13.739999999999752</v>
      </c>
      <c r="B1382" s="5">
        <f t="shared" si="325"/>
        <v>108.37243490017948</v>
      </c>
      <c r="C1382" s="6">
        <f t="shared" si="323"/>
        <v>4180.079631864066</v>
      </c>
      <c r="D1382" s="6">
        <f t="shared" si="316"/>
        <v>17473065.728724826</v>
      </c>
      <c r="E1382" s="7">
        <f t="shared" si="317"/>
        <v>6248571.4285714282</v>
      </c>
      <c r="F1382" s="7">
        <f t="shared" si="318"/>
        <v>124.97142857142855</v>
      </c>
      <c r="G1382" s="7">
        <f t="shared" si="319"/>
        <v>11224494.300153397</v>
      </c>
      <c r="H1382" s="6">
        <f t="shared" si="320"/>
        <v>3350.2976435166765</v>
      </c>
      <c r="I1382" s="7">
        <f t="shared" si="321"/>
        <v>-6.6397735693092441</v>
      </c>
      <c r="J1382" s="7">
        <f t="shared" si="322"/>
        <v>-60.256791183887984</v>
      </c>
      <c r="K1382" s="8">
        <f t="shared" si="326"/>
        <v>256.10555195907085</v>
      </c>
      <c r="L1382" s="8">
        <f t="shared" si="327"/>
        <v>-10.756433182280974</v>
      </c>
      <c r="M1382" s="8">
        <f t="shared" si="324"/>
        <v>97.616001717898513</v>
      </c>
      <c r="N1382" s="8">
        <f t="shared" si="328"/>
        <v>25.000000000000007</v>
      </c>
      <c r="O1382" s="8">
        <f t="shared" si="329"/>
        <v>27.754782257258938</v>
      </c>
    </row>
    <row r="1383" spans="1:15" x14ac:dyDescent="0.3">
      <c r="A1383" s="5">
        <f t="shared" si="315"/>
        <v>13.749999999999751</v>
      </c>
      <c r="B1383" s="5">
        <f t="shared" si="325"/>
        <v>108.3060371644864</v>
      </c>
      <c r="C1383" s="6">
        <f t="shared" si="323"/>
        <v>4177.5185763444752</v>
      </c>
      <c r="D1383" s="6">
        <f t="shared" si="316"/>
        <v>17451661.455703169</v>
      </c>
      <c r="E1383" s="7">
        <f t="shared" si="317"/>
        <v>6248571.4285714282</v>
      </c>
      <c r="F1383" s="7">
        <f t="shared" si="318"/>
        <v>124.97142857142855</v>
      </c>
      <c r="G1383" s="7">
        <f t="shared" si="319"/>
        <v>11203090.02713174</v>
      </c>
      <c r="H1383" s="6">
        <f t="shared" si="320"/>
        <v>3347.1017354020987</v>
      </c>
      <c r="I1383" s="7">
        <f t="shared" si="321"/>
        <v>-6.6448535512078601</v>
      </c>
      <c r="J1383" s="7">
        <f t="shared" si="322"/>
        <v>-60.210724945388691</v>
      </c>
      <c r="K1383" s="8">
        <f t="shared" si="326"/>
        <v>256.30149411801744</v>
      </c>
      <c r="L1383" s="8">
        <f t="shared" si="327"/>
        <v>-10.764662752956731</v>
      </c>
      <c r="M1383" s="8">
        <f t="shared" si="324"/>
        <v>97.541374411529659</v>
      </c>
      <c r="N1383" s="8">
        <f t="shared" si="328"/>
        <v>25.000000000000007</v>
      </c>
      <c r="O1383" s="8">
        <f t="shared" si="329"/>
        <v>27.758999147259392</v>
      </c>
    </row>
    <row r="1384" spans="1:15" x14ac:dyDescent="0.3">
      <c r="A1384" s="5">
        <f t="shared" si="315"/>
        <v>13.759999999999751</v>
      </c>
      <c r="B1384" s="5">
        <f t="shared" si="325"/>
        <v>108.23958862897432</v>
      </c>
      <c r="C1384" s="6">
        <f t="shared" si="323"/>
        <v>4174.9555614032952</v>
      </c>
      <c r="D1384" s="6">
        <f t="shared" si="316"/>
        <v>17430253.939692304</v>
      </c>
      <c r="E1384" s="7">
        <f t="shared" si="317"/>
        <v>6248571.4285714282</v>
      </c>
      <c r="F1384" s="7">
        <f t="shared" si="318"/>
        <v>124.97142857142855</v>
      </c>
      <c r="G1384" s="7">
        <f t="shared" si="319"/>
        <v>11181682.511120874</v>
      </c>
      <c r="H1384" s="6">
        <f t="shared" si="320"/>
        <v>3343.9022879146564</v>
      </c>
      <c r="I1384" s="7">
        <f t="shared" si="321"/>
        <v>-6.6499461756063925</v>
      </c>
      <c r="J1384" s="7">
        <f t="shared" si="322"/>
        <v>-60.164614706476534</v>
      </c>
      <c r="K1384" s="8">
        <f t="shared" si="326"/>
        <v>256.49792391624658</v>
      </c>
      <c r="L1384" s="8">
        <f t="shared" si="327"/>
        <v>-10.772912804482354</v>
      </c>
      <c r="M1384" s="8">
        <f t="shared" si="324"/>
        <v>97.466675824491958</v>
      </c>
      <c r="N1384" s="8">
        <f t="shared" si="328"/>
        <v>25.000000000000007</v>
      </c>
      <c r="O1384" s="8">
        <f t="shared" si="329"/>
        <v>27.763229768880482</v>
      </c>
    </row>
    <row r="1385" spans="1:15" x14ac:dyDescent="0.3">
      <c r="A1385" s="5">
        <f t="shared" si="315"/>
        <v>13.769999999999751</v>
      </c>
      <c r="B1385" s="5">
        <f t="shared" si="325"/>
        <v>108.17308916721825</v>
      </c>
      <c r="C1385" s="6">
        <f t="shared" si="323"/>
        <v>4172.390582164132</v>
      </c>
      <c r="D1385" s="6">
        <f t="shared" si="316"/>
        <v>17408843.170131944</v>
      </c>
      <c r="E1385" s="7">
        <f t="shared" si="317"/>
        <v>6248571.4285714282</v>
      </c>
      <c r="F1385" s="7">
        <f t="shared" si="318"/>
        <v>124.97142857142855</v>
      </c>
      <c r="G1385" s="7">
        <f t="shared" si="319"/>
        <v>11160271.741560515</v>
      </c>
      <c r="H1385" s="6">
        <f t="shared" si="320"/>
        <v>3340.6992893046381</v>
      </c>
      <c r="I1385" s="7">
        <f t="shared" si="321"/>
        <v>-6.655051497503953</v>
      </c>
      <c r="J1385" s="7">
        <f t="shared" si="322"/>
        <v>-60.118460334112257</v>
      </c>
      <c r="K1385" s="8">
        <f t="shared" si="326"/>
        <v>256.69484347515248</v>
      </c>
      <c r="L1385" s="8">
        <f t="shared" si="327"/>
        <v>-10.781183425956403</v>
      </c>
      <c r="M1385" s="8">
        <f t="shared" si="324"/>
        <v>97.391905741261851</v>
      </c>
      <c r="N1385" s="8">
        <f t="shared" si="328"/>
        <v>25.000000000000014</v>
      </c>
      <c r="O1385" s="8">
        <f t="shared" si="329"/>
        <v>27.767474192002801</v>
      </c>
    </row>
    <row r="1386" spans="1:15" x14ac:dyDescent="0.3">
      <c r="A1386" s="5">
        <f t="shared" si="315"/>
        <v>13.779999999999751</v>
      </c>
      <c r="B1386" s="5">
        <f t="shared" si="325"/>
        <v>108.10653865224322</v>
      </c>
      <c r="C1386" s="6">
        <f t="shared" si="323"/>
        <v>4169.8236337293811</v>
      </c>
      <c r="D1386" s="6">
        <f t="shared" si="316"/>
        <v>17387429.136408098</v>
      </c>
      <c r="E1386" s="7">
        <f t="shared" si="317"/>
        <v>6248571.4285714282</v>
      </c>
      <c r="F1386" s="7">
        <f t="shared" si="318"/>
        <v>124.97142857142855</v>
      </c>
      <c r="G1386" s="7">
        <f t="shared" si="319"/>
        <v>11138857.707836669</v>
      </c>
      <c r="H1386" s="6">
        <f t="shared" si="320"/>
        <v>3337.4927277578704</v>
      </c>
      <c r="I1386" s="7">
        <f t="shared" si="321"/>
        <v>-6.660169572245743</v>
      </c>
      <c r="J1386" s="7">
        <f t="shared" si="322"/>
        <v>-60.072261694571075</v>
      </c>
      <c r="K1386" s="8">
        <f t="shared" si="326"/>
        <v>256.89225492947867</v>
      </c>
      <c r="L1386" s="8">
        <f t="shared" si="327"/>
        <v>-10.789474707038103</v>
      </c>
      <c r="M1386" s="8">
        <f t="shared" si="324"/>
        <v>97.31706394520512</v>
      </c>
      <c r="N1386" s="8">
        <f t="shared" si="328"/>
        <v>25.000000000000011</v>
      </c>
      <c r="O1386" s="8">
        <f t="shared" si="329"/>
        <v>27.771732486995603</v>
      </c>
    </row>
    <row r="1387" spans="1:15" x14ac:dyDescent="0.3">
      <c r="A1387" s="5">
        <f t="shared" si="315"/>
        <v>13.78999999999975</v>
      </c>
      <c r="B1387" s="5">
        <f t="shared" si="325"/>
        <v>108.03993695652076</v>
      </c>
      <c r="C1387" s="6">
        <f t="shared" si="323"/>
        <v>4167.2547111800859</v>
      </c>
      <c r="D1387" s="6">
        <f t="shared" si="316"/>
        <v>17366011.827852622</v>
      </c>
      <c r="E1387" s="7">
        <f t="shared" si="317"/>
        <v>6248571.4285714282</v>
      </c>
      <c r="F1387" s="7">
        <f t="shared" si="318"/>
        <v>124.97142857142855</v>
      </c>
      <c r="G1387" s="7">
        <f t="shared" si="319"/>
        <v>11117440.399281193</v>
      </c>
      <c r="H1387" s="6">
        <f t="shared" si="320"/>
        <v>3334.2825913952151</v>
      </c>
      <c r="I1387" s="7">
        <f t="shared" si="321"/>
        <v>-6.6653004555259443</v>
      </c>
      <c r="J1387" s="7">
        <f t="shared" si="322"/>
        <v>-60.026018653437497</v>
      </c>
      <c r="K1387" s="8">
        <f t="shared" si="326"/>
        <v>257.09016042742928</v>
      </c>
      <c r="L1387" s="8">
        <f t="shared" si="327"/>
        <v>-10.797786737952029</v>
      </c>
      <c r="M1387" s="8">
        <f t="shared" si="324"/>
        <v>97.242150218568739</v>
      </c>
      <c r="N1387" s="8">
        <f t="shared" si="328"/>
        <v>25.000000000000014</v>
      </c>
      <c r="O1387" s="8">
        <f t="shared" si="329"/>
        <v>27.776004724721268</v>
      </c>
    </row>
    <row r="1388" spans="1:15" x14ac:dyDescent="0.3">
      <c r="A1388" s="5">
        <f t="shared" si="315"/>
        <v>13.79999999999975</v>
      </c>
      <c r="B1388" s="5">
        <f t="shared" si="325"/>
        <v>107.9732839519655</v>
      </c>
      <c r="C1388" s="6">
        <f t="shared" si="323"/>
        <v>4164.6838095758121</v>
      </c>
      <c r="D1388" s="6">
        <f t="shared" si="316"/>
        <v>17344591.2337429</v>
      </c>
      <c r="E1388" s="7">
        <f t="shared" si="317"/>
        <v>6248571.4285714282</v>
      </c>
      <c r="F1388" s="7">
        <f t="shared" si="318"/>
        <v>124.97142857142855</v>
      </c>
      <c r="G1388" s="7">
        <f t="shared" si="319"/>
        <v>11096019.805171471</v>
      </c>
      <c r="H1388" s="6">
        <f t="shared" si="320"/>
        <v>3331.0688682720852</v>
      </c>
      <c r="I1388" s="7">
        <f t="shared" si="321"/>
        <v>-6.6704442033905922</v>
      </c>
      <c r="J1388" s="7">
        <f t="shared" si="322"/>
        <v>-59.979731075600469</v>
      </c>
      <c r="K1388" s="8">
        <f t="shared" si="326"/>
        <v>257.28856213077995</v>
      </c>
      <c r="L1388" s="8">
        <f t="shared" si="327"/>
        <v>-10.806119609492757</v>
      </c>
      <c r="M1388" s="8">
        <f t="shared" si="324"/>
        <v>97.167164342472745</v>
      </c>
      <c r="N1388" s="8">
        <f t="shared" si="328"/>
        <v>25.000000000000004</v>
      </c>
      <c r="O1388" s="8">
        <f t="shared" si="329"/>
        <v>27.780290976539622</v>
      </c>
    </row>
    <row r="1389" spans="1:15" x14ac:dyDescent="0.3">
      <c r="A1389" s="5">
        <f t="shared" si="315"/>
        <v>13.80999999999975</v>
      </c>
      <c r="B1389" s="5">
        <f t="shared" si="325"/>
        <v>107.90657950993159</v>
      </c>
      <c r="C1389" s="6">
        <f t="shared" si="323"/>
        <v>4162.110923954504</v>
      </c>
      <c r="D1389" s="6">
        <f t="shared" si="316"/>
        <v>17323167.343301415</v>
      </c>
      <c r="E1389" s="7">
        <f t="shared" si="317"/>
        <v>6248571.4285714282</v>
      </c>
      <c r="F1389" s="7">
        <f t="shared" si="318"/>
        <v>124.97142857142855</v>
      </c>
      <c r="G1389" s="7">
        <f t="shared" si="319"/>
        <v>11074595.914729986</v>
      </c>
      <c r="H1389" s="6">
        <f t="shared" si="320"/>
        <v>3327.8515463779308</v>
      </c>
      <c r="I1389" s="7">
        <f t="shared" si="321"/>
        <v>-6.6756008722405271</v>
      </c>
      <c r="J1389" s="7">
        <f t="shared" si="322"/>
        <v>-59.933398825248119</v>
      </c>
      <c r="K1389" s="8">
        <f t="shared" si="326"/>
        <v>257.48746221499175</v>
      </c>
      <c r="L1389" s="8">
        <f t="shared" si="327"/>
        <v>-10.814473413029653</v>
      </c>
      <c r="M1389" s="8">
        <f t="shared" si="324"/>
        <v>97.092106096901944</v>
      </c>
      <c r="N1389" s="8">
        <f t="shared" si="328"/>
        <v>25.000000000000011</v>
      </c>
      <c r="O1389" s="8">
        <f t="shared" si="329"/>
        <v>27.784591314312514</v>
      </c>
    </row>
    <row r="1390" spans="1:15" x14ac:dyDescent="0.3">
      <c r="A1390" s="5">
        <f t="shared" si="315"/>
        <v>13.81999999999975</v>
      </c>
      <c r="B1390" s="5">
        <f t="shared" si="325"/>
        <v>107.83982350120918</v>
      </c>
      <c r="C1390" s="6">
        <f t="shared" si="323"/>
        <v>4159.5360493323542</v>
      </c>
      <c r="D1390" s="6">
        <f t="shared" si="316"/>
        <v>17301740.145695411</v>
      </c>
      <c r="E1390" s="7">
        <f t="shared" si="317"/>
        <v>6248571.4285714282</v>
      </c>
      <c r="F1390" s="7">
        <f t="shared" si="318"/>
        <v>124.97142857142855</v>
      </c>
      <c r="G1390" s="7">
        <f t="shared" si="319"/>
        <v>11053168.717123982</v>
      </c>
      <c r="H1390" s="6">
        <f t="shared" si="320"/>
        <v>3324.6306136357439</v>
      </c>
      <c r="I1390" s="7">
        <f t="shared" si="321"/>
        <v>-6.6807705188343318</v>
      </c>
      <c r="J1390" s="7">
        <f t="shared" si="322"/>
        <v>-59.887021765862713</v>
      </c>
      <c r="K1390" s="8">
        <f t="shared" si="326"/>
        <v>257.68686286932422</v>
      </c>
      <c r="L1390" s="8">
        <f t="shared" si="327"/>
        <v>-10.822848240511616</v>
      </c>
      <c r="M1390" s="8">
        <f t="shared" si="324"/>
        <v>97.016975260697563</v>
      </c>
      <c r="N1390" s="8">
        <f t="shared" si="328"/>
        <v>24.999999999999993</v>
      </c>
      <c r="O1390" s="8">
        <f t="shared" si="329"/>
        <v>27.788905810408217</v>
      </c>
    </row>
    <row r="1391" spans="1:15" x14ac:dyDescent="0.3">
      <c r="A1391" s="5">
        <f t="shared" si="315"/>
        <v>13.82999999999975</v>
      </c>
      <c r="B1391" s="5">
        <f t="shared" si="325"/>
        <v>107.77301579602084</v>
      </c>
      <c r="C1391" s="6">
        <f t="shared" si="323"/>
        <v>4156.9591807036604</v>
      </c>
      <c r="D1391" s="6">
        <f t="shared" si="316"/>
        <v>17280309.630036447</v>
      </c>
      <c r="E1391" s="7">
        <f t="shared" si="317"/>
        <v>6248571.4285714282</v>
      </c>
      <c r="F1391" s="7">
        <f t="shared" si="318"/>
        <v>124.97142857142855</v>
      </c>
      <c r="G1391" s="7">
        <f t="shared" si="319"/>
        <v>11031738.201465018</v>
      </c>
      <c r="H1391" s="6">
        <f t="shared" si="320"/>
        <v>3321.4060579015354</v>
      </c>
      <c r="I1391" s="7">
        <f t="shared" si="321"/>
        <v>-6.6859532002913538</v>
      </c>
      <c r="J1391" s="7">
        <f t="shared" si="322"/>
        <v>-59.840599760215348</v>
      </c>
      <c r="K1391" s="8">
        <f t="shared" si="326"/>
        <v>257.8867662969522</v>
      </c>
      <c r="L1391" s="8">
        <f t="shared" si="327"/>
        <v>-10.831244184471991</v>
      </c>
      <c r="M1391" s="8">
        <f t="shared" si="324"/>
        <v>96.941771611548859</v>
      </c>
      <c r="N1391" s="8">
        <f t="shared" si="328"/>
        <v>25.000000000000014</v>
      </c>
      <c r="O1391" s="8">
        <f t="shared" si="329"/>
        <v>27.793234537706166</v>
      </c>
    </row>
    <row r="1392" spans="1:15" x14ac:dyDescent="0.3">
      <c r="A1392" s="5">
        <f t="shared" si="315"/>
        <v>13.839999999999749</v>
      </c>
      <c r="B1392" s="5">
        <f t="shared" si="325"/>
        <v>107.70615626401793</v>
      </c>
      <c r="C1392" s="6">
        <f t="shared" si="323"/>
        <v>4154.3803130406914</v>
      </c>
      <c r="D1392" s="6">
        <f t="shared" si="316"/>
        <v>17258875.785380073</v>
      </c>
      <c r="E1392" s="7">
        <f t="shared" si="317"/>
        <v>6248571.4285714282</v>
      </c>
      <c r="F1392" s="7">
        <f t="shared" si="318"/>
        <v>124.97142857142855</v>
      </c>
      <c r="G1392" s="7">
        <f t="shared" si="319"/>
        <v>11010304.356808644</v>
      </c>
      <c r="H1392" s="6">
        <f t="shared" si="320"/>
        <v>3318.1778669638315</v>
      </c>
      <c r="I1392" s="7">
        <f t="shared" si="321"/>
        <v>-6.6911489740946726</v>
      </c>
      <c r="J1392" s="7">
        <f t="shared" si="322"/>
        <v>-59.794132670360852</v>
      </c>
      <c r="K1392" s="8">
        <f t="shared" si="326"/>
        <v>258.08717471508021</v>
      </c>
      <c r="L1392" s="8">
        <f t="shared" si="327"/>
        <v>-10.839661338033368</v>
      </c>
      <c r="M1392" s="8">
        <f t="shared" si="324"/>
        <v>96.866494925984568</v>
      </c>
      <c r="N1392" s="8">
        <f t="shared" si="328"/>
        <v>25.000000000000011</v>
      </c>
      <c r="O1392" s="8">
        <f t="shared" si="329"/>
        <v>27.797577569601327</v>
      </c>
    </row>
    <row r="1393" spans="1:15" x14ac:dyDescent="0.3">
      <c r="A1393" s="5">
        <f t="shared" si="315"/>
        <v>13.849999999999749</v>
      </c>
      <c r="B1393" s="5">
        <f t="shared" si="325"/>
        <v>107.63924477427699</v>
      </c>
      <c r="C1393" s="6">
        <f t="shared" si="323"/>
        <v>4151.7994412935404</v>
      </c>
      <c r="D1393" s="6">
        <f t="shared" si="316"/>
        <v>17237438.600725353</v>
      </c>
      <c r="E1393" s="7">
        <f t="shared" si="317"/>
        <v>6248571.4285714282</v>
      </c>
      <c r="F1393" s="7">
        <f t="shared" si="318"/>
        <v>124.97142857142855</v>
      </c>
      <c r="G1393" s="7">
        <f t="shared" si="319"/>
        <v>10988867.172153924</v>
      </c>
      <c r="H1393" s="6">
        <f t="shared" si="320"/>
        <v>3314.9460285431383</v>
      </c>
      <c r="I1393" s="7">
        <f t="shared" si="321"/>
        <v>-6.6963578980942113</v>
      </c>
      <c r="J1393" s="7">
        <f t="shared" si="322"/>
        <v>-59.747620357632329</v>
      </c>
      <c r="K1393" s="8">
        <f t="shared" si="326"/>
        <v>258.28809035506242</v>
      </c>
      <c r="L1393" s="8">
        <f t="shared" si="327"/>
        <v>-10.848099794912621</v>
      </c>
      <c r="M1393" s="8">
        <f t="shared" si="324"/>
        <v>96.791144979364361</v>
      </c>
      <c r="N1393" s="8">
        <f t="shared" si="328"/>
        <v>25.000000000000007</v>
      </c>
      <c r="O1393" s="8">
        <f t="shared" si="329"/>
        <v>27.801934980009136</v>
      </c>
    </row>
    <row r="1394" spans="1:15" x14ac:dyDescent="0.3">
      <c r="A1394" s="5">
        <f t="shared" si="315"/>
        <v>13.859999999999749</v>
      </c>
      <c r="B1394" s="5">
        <f t="shared" si="325"/>
        <v>107.57228119529604</v>
      </c>
      <c r="C1394" s="6">
        <f t="shared" si="323"/>
        <v>4149.2165603899903</v>
      </c>
      <c r="D1394" s="6">
        <f t="shared" si="316"/>
        <v>17215998.065014541</v>
      </c>
      <c r="E1394" s="7">
        <f t="shared" si="317"/>
        <v>6248571.4285714282</v>
      </c>
      <c r="F1394" s="7">
        <f t="shared" si="318"/>
        <v>124.97142857142855</v>
      </c>
      <c r="G1394" s="7">
        <f t="shared" si="319"/>
        <v>10967426.636443112</v>
      </c>
      <c r="H1394" s="6">
        <f t="shared" si="320"/>
        <v>3311.7105302914251</v>
      </c>
      <c r="I1394" s="7">
        <f t="shared" si="321"/>
        <v>-6.7015800305097821</v>
      </c>
      <c r="J1394" s="7">
        <f t="shared" si="322"/>
        <v>-59.701062682635936</v>
      </c>
      <c r="K1394" s="8">
        <f t="shared" si="326"/>
        <v>258.48951546252016</v>
      </c>
      <c r="L1394" s="8">
        <f t="shared" si="327"/>
        <v>-10.856559649425845</v>
      </c>
      <c r="M1394" s="8">
        <f t="shared" si="324"/>
        <v>96.715721545870196</v>
      </c>
      <c r="N1394" s="8">
        <f t="shared" si="328"/>
        <v>25.000000000000007</v>
      </c>
      <c r="O1394" s="8">
        <f t="shared" si="329"/>
        <v>27.806306843370042</v>
      </c>
    </row>
    <row r="1395" spans="1:15" x14ac:dyDescent="0.3">
      <c r="A1395" s="5">
        <f t="shared" si="315"/>
        <v>13.869999999999749</v>
      </c>
      <c r="B1395" s="5">
        <f t="shared" si="325"/>
        <v>107.50526539499094</v>
      </c>
      <c r="C1395" s="6">
        <f t="shared" si="323"/>
        <v>4146.6316652353644</v>
      </c>
      <c r="D1395" s="6">
        <f t="shared" si="316"/>
        <v>17194554.167132612</v>
      </c>
      <c r="E1395" s="7">
        <f t="shared" si="317"/>
        <v>6248571.4285714282</v>
      </c>
      <c r="F1395" s="7">
        <f t="shared" si="318"/>
        <v>124.97142857142855</v>
      </c>
      <c r="G1395" s="7">
        <f t="shared" si="319"/>
        <v>10945982.738561183</v>
      </c>
      <c r="H1395" s="6">
        <f t="shared" si="320"/>
        <v>3308.4713597915857</v>
      </c>
      <c r="I1395" s="7">
        <f t="shared" si="321"/>
        <v>-6.706815429934216</v>
      </c>
      <c r="J1395" s="7">
        <f t="shared" si="322"/>
        <v>-59.654459505245384</v>
      </c>
      <c r="K1395" s="8">
        <f t="shared" si="326"/>
        <v>258.6914522974626</v>
      </c>
      <c r="L1395" s="8">
        <f t="shared" si="327"/>
        <v>-10.865040996493429</v>
      </c>
      <c r="M1395" s="8">
        <f t="shared" si="324"/>
        <v>96.640224398497509</v>
      </c>
      <c r="N1395" s="8">
        <f t="shared" si="328"/>
        <v>25</v>
      </c>
      <c r="O1395" s="8">
        <f t="shared" si="329"/>
        <v>27.810693234654359</v>
      </c>
    </row>
    <row r="1396" spans="1:15" x14ac:dyDescent="0.3">
      <c r="A1396" s="5">
        <f t="shared" si="315"/>
        <v>13.879999999999749</v>
      </c>
      <c r="B1396" s="5">
        <f t="shared" si="325"/>
        <v>107.43819724069159</v>
      </c>
      <c r="C1396" s="6">
        <f t="shared" si="323"/>
        <v>4144.0447507123899</v>
      </c>
      <c r="D1396" s="6">
        <f t="shared" si="316"/>
        <v>17173106.895906914</v>
      </c>
      <c r="E1396" s="7">
        <f t="shared" si="317"/>
        <v>6248571.4285714282</v>
      </c>
      <c r="F1396" s="7">
        <f t="shared" si="318"/>
        <v>124.97142857142855</v>
      </c>
      <c r="G1396" s="7">
        <f t="shared" si="319"/>
        <v>10924535.467335485</v>
      </c>
      <c r="H1396" s="6">
        <f t="shared" si="320"/>
        <v>3305.2285045569065</v>
      </c>
      <c r="I1396" s="7">
        <f t="shared" si="321"/>
        <v>-6.7120641553365168</v>
      </c>
      <c r="J1396" s="7">
        <f t="shared" si="322"/>
        <v>-59.607810684596572</v>
      </c>
      <c r="K1396" s="8">
        <f t="shared" si="326"/>
        <v>258.8939031344085</v>
      </c>
      <c r="L1396" s="8">
        <f t="shared" si="327"/>
        <v>-10.873543931645155</v>
      </c>
      <c r="M1396" s="8">
        <f t="shared" si="324"/>
        <v>96.564653309046435</v>
      </c>
      <c r="N1396" s="8">
        <f t="shared" si="328"/>
        <v>25.000000000000007</v>
      </c>
      <c r="O1396" s="8">
        <f t="shared" si="329"/>
        <v>27.815094229367084</v>
      </c>
    </row>
    <row r="1397" spans="1:15" x14ac:dyDescent="0.3">
      <c r="A1397" s="5">
        <f t="shared" ref="A1397:A1460" si="330">A1396+$B$5</f>
        <v>13.889999999999748</v>
      </c>
      <c r="B1397" s="5">
        <f t="shared" si="325"/>
        <v>107.37107659913823</v>
      </c>
      <c r="C1397" s="6">
        <f t="shared" si="323"/>
        <v>4141.4558116810458</v>
      </c>
      <c r="D1397" s="6">
        <f t="shared" ref="D1397:D1460" si="331">POWER(C1397,2)</f>
        <v>17151656.240106709</v>
      </c>
      <c r="E1397" s="7">
        <f t="shared" ref="E1397:E1460" si="332">4*$B$2*$B$3*POWER($B$1,2)</f>
        <v>6248571.4285714282</v>
      </c>
      <c r="F1397" s="7">
        <f t="shared" ref="F1397:F1460" si="333">POWER($B$1,2)*2*$B$2</f>
        <v>124.97142857142855</v>
      </c>
      <c r="G1397" s="7">
        <f t="shared" ref="G1397:G1460" si="334">D1397-E1397</f>
        <v>10903084.81153528</v>
      </c>
      <c r="H1397" s="6">
        <f t="shared" ref="H1397:H1460" si="335">SQRT(G1397)</f>
        <v>3301.9819520305196</v>
      </c>
      <c r="I1397" s="7">
        <f t="shared" ref="I1397:I1460" si="336">(-C1397+H1397)/F1397</f>
        <v>-6.7173262660650259</v>
      </c>
      <c r="J1397" s="7">
        <f t="shared" ref="J1397:J1460" si="337">(-C1397-H1397)/F1397</f>
        <v>-59.561116079082034</v>
      </c>
      <c r="K1397" s="8">
        <f t="shared" si="326"/>
        <v>259.09687026250811</v>
      </c>
      <c r="L1397" s="8">
        <f t="shared" si="327"/>
        <v>-10.882068551025339</v>
      </c>
      <c r="M1397" s="8">
        <f t="shared" si="324"/>
        <v>96.489008048112893</v>
      </c>
      <c r="N1397" s="8">
        <f t="shared" si="328"/>
        <v>25.000000000000007</v>
      </c>
      <c r="O1397" s="8">
        <f t="shared" si="329"/>
        <v>27.819509903552738</v>
      </c>
    </row>
    <row r="1398" spans="1:15" x14ac:dyDescent="0.3">
      <c r="A1398" s="5">
        <f t="shared" si="330"/>
        <v>13.899999999999748</v>
      </c>
      <c r="B1398" s="5">
        <f t="shared" si="325"/>
        <v>107.30390333647759</v>
      </c>
      <c r="C1398" s="6">
        <f t="shared" si="323"/>
        <v>4138.8648429784207</v>
      </c>
      <c r="D1398" s="6">
        <f t="shared" si="331"/>
        <v>17130202.188442785</v>
      </c>
      <c r="E1398" s="7">
        <f t="shared" si="332"/>
        <v>6248571.4285714282</v>
      </c>
      <c r="F1398" s="7">
        <f t="shared" si="333"/>
        <v>124.97142857142855</v>
      </c>
      <c r="G1398" s="7">
        <f t="shared" si="334"/>
        <v>10881630.759871356</v>
      </c>
      <c r="H1398" s="6">
        <f t="shared" si="335"/>
        <v>3298.7316895848558</v>
      </c>
      <c r="I1398" s="7">
        <f t="shared" si="336"/>
        <v>-6.7226018218506587</v>
      </c>
      <c r="J1398" s="7">
        <f t="shared" si="337"/>
        <v>-59.514375546345391</v>
      </c>
      <c r="K1398" s="8">
        <f t="shared" si="326"/>
        <v>259.30035598566826</v>
      </c>
      <c r="L1398" s="8">
        <f t="shared" si="327"/>
        <v>-10.890614951398065</v>
      </c>
      <c r="M1398" s="8">
        <f t="shared" si="324"/>
        <v>96.413288385079525</v>
      </c>
      <c r="N1398" s="8">
        <f t="shared" si="328"/>
        <v>25.000000000000014</v>
      </c>
      <c r="O1398" s="8">
        <f t="shared" si="329"/>
        <v>27.823940333800376</v>
      </c>
    </row>
    <row r="1399" spans="1:15" x14ac:dyDescent="0.3">
      <c r="A1399" s="5">
        <f t="shared" si="330"/>
        <v>13.909999999999748</v>
      </c>
      <c r="B1399" s="5">
        <f t="shared" si="325"/>
        <v>107.23667731825908</v>
      </c>
      <c r="C1399" s="6">
        <f t="shared" si="323"/>
        <v>4136.271839418564</v>
      </c>
      <c r="D1399" s="6">
        <f t="shared" si="331"/>
        <v>17108744.729567032</v>
      </c>
      <c r="E1399" s="7">
        <f t="shared" si="332"/>
        <v>6248571.4285714282</v>
      </c>
      <c r="F1399" s="7">
        <f t="shared" si="333"/>
        <v>124.97142857142855</v>
      </c>
      <c r="G1399" s="7">
        <f t="shared" si="334"/>
        <v>10860173.300995603</v>
      </c>
      <c r="H1399" s="6">
        <f t="shared" si="335"/>
        <v>3295.4777045210917</v>
      </c>
      <c r="I1399" s="7">
        <f t="shared" si="336"/>
        <v>-6.7278908828101365</v>
      </c>
      <c r="J1399" s="7">
        <f t="shared" si="337"/>
        <v>-59.467588943275715</v>
      </c>
      <c r="K1399" s="8">
        <f t="shared" si="326"/>
        <v>259.50436262267669</v>
      </c>
      <c r="L1399" s="8">
        <f t="shared" si="327"/>
        <v>-10.899183230152421</v>
      </c>
      <c r="M1399" s="8">
        <f t="shared" si="324"/>
        <v>96.337494088106666</v>
      </c>
      <c r="N1399" s="8">
        <f t="shared" si="328"/>
        <v>25.000000000000004</v>
      </c>
      <c r="O1399" s="8">
        <f t="shared" si="329"/>
        <v>27.828385597248474</v>
      </c>
    </row>
    <row r="1400" spans="1:15" x14ac:dyDescent="0.3">
      <c r="A1400" s="5">
        <f t="shared" si="330"/>
        <v>13.919999999999748</v>
      </c>
      <c r="B1400" s="5">
        <f t="shared" si="325"/>
        <v>107.16939840943098</v>
      </c>
      <c r="C1400" s="6">
        <f t="shared" si="323"/>
        <v>4133.6767957923375</v>
      </c>
      <c r="D1400" s="6">
        <f t="shared" si="331"/>
        <v>17087283.852072008</v>
      </c>
      <c r="E1400" s="7">
        <f t="shared" si="332"/>
        <v>6248571.4285714282</v>
      </c>
      <c r="F1400" s="7">
        <f t="shared" si="333"/>
        <v>124.97142857142855</v>
      </c>
      <c r="G1400" s="7">
        <f t="shared" si="334"/>
        <v>10838712.423500579</v>
      </c>
      <c r="H1400" s="6">
        <f t="shared" si="335"/>
        <v>3292.2199840685889</v>
      </c>
      <c r="I1400" s="7">
        <f t="shared" si="336"/>
        <v>-6.7331935094492925</v>
      </c>
      <c r="J1400" s="7">
        <f t="shared" si="337"/>
        <v>-59.42075612600194</v>
      </c>
      <c r="K1400" s="8">
        <f t="shared" si="326"/>
        <v>259.70889250732984</v>
      </c>
      <c r="L1400" s="8">
        <f t="shared" si="327"/>
        <v>-10.907773485307851</v>
      </c>
      <c r="M1400" s="8">
        <f t="shared" si="324"/>
        <v>96.261624924123126</v>
      </c>
      <c r="N1400" s="8">
        <f t="shared" si="328"/>
        <v>24.999999999999996</v>
      </c>
      <c r="O1400" s="8">
        <f t="shared" si="329"/>
        <v>27.832845771590115</v>
      </c>
    </row>
    <row r="1401" spans="1:15" x14ac:dyDescent="0.3">
      <c r="A1401" s="5">
        <f t="shared" si="330"/>
        <v>13.929999999999747</v>
      </c>
      <c r="B1401" s="5">
        <f t="shared" si="325"/>
        <v>107.1020664743365</v>
      </c>
      <c r="C1401" s="6">
        <f t="shared" si="323"/>
        <v>4131.0797068672646</v>
      </c>
      <c r="D1401" s="6">
        <f t="shared" si="331"/>
        <v>17065819.544490524</v>
      </c>
      <c r="E1401" s="7">
        <f t="shared" si="332"/>
        <v>6248571.4285714282</v>
      </c>
      <c r="F1401" s="7">
        <f t="shared" si="333"/>
        <v>124.97142857142855</v>
      </c>
      <c r="G1401" s="7">
        <f t="shared" si="334"/>
        <v>10817248.115919095</v>
      </c>
      <c r="H1401" s="6">
        <f t="shared" si="335"/>
        <v>3288.95851538433</v>
      </c>
      <c r="I1401" s="7">
        <f t="shared" si="336"/>
        <v>-6.7385097626663732</v>
      </c>
      <c r="J1401" s="7">
        <f t="shared" si="337"/>
        <v>-59.373876949887027</v>
      </c>
      <c r="K1401" s="8">
        <f t="shared" si="326"/>
        <v>259.9139479885601</v>
      </c>
      <c r="L1401" s="8">
        <f t="shared" si="327"/>
        <v>-10.916385815519522</v>
      </c>
      <c r="M1401" s="8">
        <f t="shared" si="324"/>
        <v>96.185680658816977</v>
      </c>
      <c r="N1401" s="8">
        <f t="shared" si="328"/>
        <v>25.000000000000007</v>
      </c>
      <c r="O1401" s="8">
        <f t="shared" si="329"/>
        <v>27.837320935078001</v>
      </c>
    </row>
    <row r="1402" spans="1:15" x14ac:dyDescent="0.3">
      <c r="A1402" s="5">
        <f t="shared" si="330"/>
        <v>13.939999999999747</v>
      </c>
      <c r="B1402" s="5">
        <f t="shared" si="325"/>
        <v>107.03468137670983</v>
      </c>
      <c r="C1402" s="6">
        <f t="shared" si="323"/>
        <v>4128.4805673873789</v>
      </c>
      <c r="D1402" s="6">
        <f t="shared" si="331"/>
        <v>17044351.795295212</v>
      </c>
      <c r="E1402" s="7">
        <f t="shared" si="332"/>
        <v>6248571.4285714282</v>
      </c>
      <c r="F1402" s="7">
        <f t="shared" si="333"/>
        <v>124.97142857142855</v>
      </c>
      <c r="G1402" s="7">
        <f t="shared" si="334"/>
        <v>10795780.366723783</v>
      </c>
      <c r="H1402" s="6">
        <f t="shared" si="335"/>
        <v>3285.6932855523478</v>
      </c>
      <c r="I1402" s="7">
        <f t="shared" si="336"/>
        <v>-6.7438397037553939</v>
      </c>
      <c r="J1402" s="7">
        <f t="shared" si="337"/>
        <v>-59.326951269522283</v>
      </c>
      <c r="K1402" s="8">
        <f t="shared" si="326"/>
        <v>260.11953143056519</v>
      </c>
      <c r="L1402" s="8">
        <f t="shared" si="327"/>
        <v>-10.925020320083737</v>
      </c>
      <c r="M1402" s="8">
        <f t="shared" si="324"/>
        <v>96.109661056626095</v>
      </c>
      <c r="N1402" s="8">
        <f t="shared" si="328"/>
        <v>25.000000000000018</v>
      </c>
      <c r="O1402" s="8">
        <f t="shared" si="329"/>
        <v>27.841811166529602</v>
      </c>
    </row>
    <row r="1403" spans="1:15" x14ac:dyDescent="0.3">
      <c r="A1403" s="5">
        <f t="shared" si="330"/>
        <v>13.949999999999747</v>
      </c>
      <c r="B1403" s="5">
        <f t="shared" si="325"/>
        <v>106.96724297967228</v>
      </c>
      <c r="C1403" s="6">
        <f t="shared" si="323"/>
        <v>4125.8793720730737</v>
      </c>
      <c r="D1403" s="6">
        <f t="shared" si="331"/>
        <v>17022880.592898101</v>
      </c>
      <c r="E1403" s="7">
        <f t="shared" si="332"/>
        <v>6248571.4285714282</v>
      </c>
      <c r="F1403" s="7">
        <f t="shared" si="333"/>
        <v>124.97142857142855</v>
      </c>
      <c r="G1403" s="7">
        <f t="shared" si="334"/>
        <v>10774309.164326672</v>
      </c>
      <c r="H1403" s="6">
        <f t="shared" si="335"/>
        <v>3282.4242815831522</v>
      </c>
      <c r="I1403" s="7">
        <f t="shared" si="336"/>
        <v>-6.7491833944095241</v>
      </c>
      <c r="J1403" s="7">
        <f t="shared" si="337"/>
        <v>-59.279978938721527</v>
      </c>
      <c r="K1403" s="8">
        <f t="shared" si="326"/>
        <v>260.32564521293875</v>
      </c>
      <c r="L1403" s="8">
        <f t="shared" si="327"/>
        <v>-10.933677098943427</v>
      </c>
      <c r="M1403" s="8">
        <f t="shared" si="324"/>
        <v>96.033565880728844</v>
      </c>
      <c r="N1403" s="8">
        <f t="shared" si="328"/>
        <v>24.999999999999996</v>
      </c>
      <c r="O1403" s="8">
        <f t="shared" si="329"/>
        <v>27.846316545332378</v>
      </c>
    </row>
    <row r="1404" spans="1:15" x14ac:dyDescent="0.3">
      <c r="A1404" s="5">
        <f t="shared" si="330"/>
        <v>13.959999999999747</v>
      </c>
      <c r="B1404" s="5">
        <f t="shared" si="325"/>
        <v>106.89975114572819</v>
      </c>
      <c r="C1404" s="6">
        <f t="shared" si="323"/>
        <v>4123.2761156209444</v>
      </c>
      <c r="D1404" s="6">
        <f t="shared" si="331"/>
        <v>17001405.925650142</v>
      </c>
      <c r="E1404" s="7">
        <f t="shared" si="332"/>
        <v>6248571.4285714282</v>
      </c>
      <c r="F1404" s="7">
        <f t="shared" si="333"/>
        <v>124.97142857142855</v>
      </c>
      <c r="G1404" s="7">
        <f t="shared" si="334"/>
        <v>10752834.497078713</v>
      </c>
      <c r="H1404" s="6">
        <f t="shared" si="335"/>
        <v>3279.1514904131395</v>
      </c>
      <c r="I1404" s="7">
        <f t="shared" si="336"/>
        <v>-6.7545408967245493</v>
      </c>
      <c r="J1404" s="7">
        <f t="shared" si="337"/>
        <v>-59.232959810515084</v>
      </c>
      <c r="K1404" s="8">
        <f t="shared" si="326"/>
        <v>260.53229173080405</v>
      </c>
      <c r="L1404" s="8">
        <f t="shared" si="327"/>
        <v>-10.942356252693768</v>
      </c>
      <c r="M1404" s="8">
        <f t="shared" si="324"/>
        <v>95.957394893034419</v>
      </c>
      <c r="N1404" s="8">
        <f t="shared" si="328"/>
        <v>25.000000000000011</v>
      </c>
      <c r="O1404" s="8">
        <f t="shared" si="329"/>
        <v>27.850837151449209</v>
      </c>
    </row>
    <row r="1405" spans="1:15" x14ac:dyDescent="0.3">
      <c r="A1405" s="5">
        <f t="shared" si="330"/>
        <v>13.969999999999747</v>
      </c>
      <c r="B1405" s="5">
        <f t="shared" si="325"/>
        <v>106.83220573676094</v>
      </c>
      <c r="C1405" s="6">
        <f t="shared" si="323"/>
        <v>4120.6707927036359</v>
      </c>
      <c r="D1405" s="6">
        <f t="shared" si="331"/>
        <v>16979927.781840812</v>
      </c>
      <c r="E1405" s="7">
        <f t="shared" si="332"/>
        <v>6248571.4285714282</v>
      </c>
      <c r="F1405" s="7">
        <f t="shared" si="333"/>
        <v>124.97142857142855</v>
      </c>
      <c r="G1405" s="7">
        <f t="shared" si="334"/>
        <v>10731356.353269383</v>
      </c>
      <c r="H1405" s="6">
        <f t="shared" si="335"/>
        <v>3275.8748989040141</v>
      </c>
      <c r="I1405" s="7">
        <f t="shared" si="336"/>
        <v>-6.7599122732022794</v>
      </c>
      <c r="J1405" s="7">
        <f t="shared" si="337"/>
        <v>-59.185893737143985</v>
      </c>
      <c r="K1405" s="8">
        <f t="shared" si="326"/>
        <v>260.73947339494504</v>
      </c>
      <c r="L1405" s="8">
        <f t="shared" si="327"/>
        <v>-10.951057882587691</v>
      </c>
      <c r="M1405" s="8">
        <f t="shared" si="324"/>
        <v>95.88114785417325</v>
      </c>
      <c r="N1405" s="8">
        <f t="shared" si="328"/>
        <v>24.999999999999996</v>
      </c>
      <c r="O1405" s="8">
        <f t="shared" si="329"/>
        <v>27.855373065423475</v>
      </c>
    </row>
    <row r="1406" spans="1:15" x14ac:dyDescent="0.3">
      <c r="A1406" s="5">
        <f t="shared" si="330"/>
        <v>13.979999999999746</v>
      </c>
      <c r="B1406" s="5">
        <f t="shared" si="325"/>
        <v>106.76460661402892</v>
      </c>
      <c r="C1406" s="6">
        <f t="shared" si="323"/>
        <v>4118.0633979696868</v>
      </c>
      <c r="D1406" s="6">
        <f t="shared" si="331"/>
        <v>16958446.149697643</v>
      </c>
      <c r="E1406" s="7">
        <f t="shared" si="332"/>
        <v>6248571.4285714282</v>
      </c>
      <c r="F1406" s="7">
        <f t="shared" si="333"/>
        <v>124.97142857142855</v>
      </c>
      <c r="G1406" s="7">
        <f t="shared" si="334"/>
        <v>10709874.721126214</v>
      </c>
      <c r="H1406" s="6">
        <f t="shared" si="335"/>
        <v>3272.594493842189</v>
      </c>
      <c r="I1406" s="7">
        <f t="shared" si="336"/>
        <v>-6.765297586754099</v>
      </c>
      <c r="J1406" s="7">
        <f t="shared" si="337"/>
        <v>-59.138780570053889</v>
      </c>
      <c r="K1406" s="8">
        <f t="shared" si="326"/>
        <v>260.94719263194378</v>
      </c>
      <c r="L1406" s="8">
        <f t="shared" si="327"/>
        <v>-10.959782090541637</v>
      </c>
      <c r="M1406" s="8">
        <f t="shared" si="324"/>
        <v>95.804824523487284</v>
      </c>
      <c r="N1406" s="8">
        <f t="shared" si="328"/>
        <v>25.000000000000007</v>
      </c>
      <c r="O1406" s="8">
        <f t="shared" si="329"/>
        <v>27.859924368384704</v>
      </c>
    </row>
    <row r="1407" spans="1:15" x14ac:dyDescent="0.3">
      <c r="A1407" s="5">
        <f t="shared" si="330"/>
        <v>13.989999999999746</v>
      </c>
      <c r="B1407" s="5">
        <f t="shared" si="325"/>
        <v>106.69695363816138</v>
      </c>
      <c r="C1407" s="6">
        <f t="shared" si="323"/>
        <v>4115.4539260433667</v>
      </c>
      <c r="D1407" s="6">
        <f t="shared" si="331"/>
        <v>16936961.017385762</v>
      </c>
      <c r="E1407" s="7">
        <f t="shared" si="332"/>
        <v>6248571.4285714282</v>
      </c>
      <c r="F1407" s="7">
        <f t="shared" si="333"/>
        <v>124.97142857142855</v>
      </c>
      <c r="G1407" s="7">
        <f t="shared" si="334"/>
        <v>10688389.588814333</v>
      </c>
      <c r="H1407" s="6">
        <f t="shared" si="335"/>
        <v>3269.3102619381866</v>
      </c>
      <c r="I1407" s="7">
        <f t="shared" si="336"/>
        <v>-6.7706969007044595</v>
      </c>
      <c r="J1407" s="7">
        <f t="shared" si="337"/>
        <v>-59.091620159888983</v>
      </c>
      <c r="K1407" s="8">
        <f t="shared" si="326"/>
        <v>261.15545188431486</v>
      </c>
      <c r="L1407" s="8">
        <f t="shared" si="327"/>
        <v>-10.968528979141222</v>
      </c>
      <c r="M1407" s="8">
        <f t="shared" si="324"/>
        <v>95.728424659020149</v>
      </c>
      <c r="N1407" s="8">
        <f t="shared" si="328"/>
        <v>24.999999999999996</v>
      </c>
      <c r="O1407" s="8">
        <f t="shared" si="329"/>
        <v>27.864491142053826</v>
      </c>
    </row>
    <row r="1408" spans="1:15" x14ac:dyDescent="0.3">
      <c r="A1408" s="5">
        <f t="shared" si="330"/>
        <v>13.999999999999746</v>
      </c>
      <c r="B1408" s="5">
        <f t="shared" si="325"/>
        <v>106.62924666915433</v>
      </c>
      <c r="C1408" s="6">
        <f t="shared" si="323"/>
        <v>4112.8423715245235</v>
      </c>
      <c r="D1408" s="6">
        <f t="shared" si="331"/>
        <v>16915472.373007465</v>
      </c>
      <c r="E1408" s="7">
        <f t="shared" si="332"/>
        <v>6248571.4285714282</v>
      </c>
      <c r="F1408" s="7">
        <f t="shared" si="333"/>
        <v>124.97142857142855</v>
      </c>
      <c r="G1408" s="7">
        <f t="shared" si="334"/>
        <v>10666900.944436036</v>
      </c>
      <c r="H1408" s="6">
        <f t="shared" si="335"/>
        <v>3266.0221898260329</v>
      </c>
      <c r="I1408" s="7">
        <f t="shared" si="336"/>
        <v>-6.7761102787945076</v>
      </c>
      <c r="J1408" s="7">
        <f t="shared" si="337"/>
        <v>-59.044412356485942</v>
      </c>
      <c r="K1408" s="8">
        <f t="shared" si="326"/>
        <v>261.36425361064528</v>
      </c>
      <c r="L1408" s="8">
        <f t="shared" si="327"/>
        <v>-10.9772986516471</v>
      </c>
      <c r="M1408" s="8">
        <f t="shared" si="324"/>
        <v>95.651948017507223</v>
      </c>
      <c r="N1408" s="8">
        <f t="shared" si="328"/>
        <v>25.000000000000018</v>
      </c>
      <c r="O1408" s="8">
        <f t="shared" si="329"/>
        <v>27.869073468748905</v>
      </c>
    </row>
    <row r="1409" spans="1:15" x14ac:dyDescent="0.3">
      <c r="A1409" s="5">
        <f t="shared" si="330"/>
        <v>14.009999999999746</v>
      </c>
      <c r="B1409" s="5">
        <f t="shared" si="325"/>
        <v>106.56148556636639</v>
      </c>
      <c r="C1409" s="6">
        <f t="shared" si="323"/>
        <v>4110.228728988418</v>
      </c>
      <c r="D1409" s="6">
        <f t="shared" si="331"/>
        <v>16893980.204601746</v>
      </c>
      <c r="E1409" s="7">
        <f t="shared" si="332"/>
        <v>6248571.4285714282</v>
      </c>
      <c r="F1409" s="7">
        <f t="shared" si="333"/>
        <v>124.97142857142855</v>
      </c>
      <c r="G1409" s="7">
        <f t="shared" si="334"/>
        <v>10645408.776030317</v>
      </c>
      <c r="H1409" s="6">
        <f t="shared" si="335"/>
        <v>3262.7302640626481</v>
      </c>
      <c r="I1409" s="7">
        <f t="shared" si="336"/>
        <v>-6.7815377851856313</v>
      </c>
      <c r="J1409" s="7">
        <f t="shared" si="337"/>
        <v>-58.997157008867717</v>
      </c>
      <c r="K1409" s="8">
        <f t="shared" si="326"/>
        <v>261.57360028573146</v>
      </c>
      <c r="L1409" s="8">
        <f t="shared" si="327"/>
        <v>-10.986091212000719</v>
      </c>
      <c r="M1409" s="8">
        <f t="shared" si="324"/>
        <v>95.57539435436567</v>
      </c>
      <c r="N1409" s="8">
        <f t="shared" si="328"/>
        <v>25</v>
      </c>
      <c r="O1409" s="8">
        <f t="shared" si="329"/>
        <v>27.873671431390463</v>
      </c>
    </row>
    <row r="1410" spans="1:15" x14ac:dyDescent="0.3">
      <c r="A1410" s="5">
        <f t="shared" si="330"/>
        <v>14.019999999999746</v>
      </c>
      <c r="B1410" s="5">
        <f t="shared" si="325"/>
        <v>106.49367018851453</v>
      </c>
      <c r="C1410" s="6">
        <f t="shared" si="323"/>
        <v>4107.6129929855606</v>
      </c>
      <c r="D1410" s="6">
        <f t="shared" si="331"/>
        <v>16872484.500143796</v>
      </c>
      <c r="E1410" s="7">
        <f t="shared" si="332"/>
        <v>6248571.4285714282</v>
      </c>
      <c r="F1410" s="7">
        <f t="shared" si="333"/>
        <v>124.97142857142855</v>
      </c>
      <c r="G1410" s="7">
        <f t="shared" si="334"/>
        <v>10623913.071572367</v>
      </c>
      <c r="H1410" s="6">
        <f t="shared" si="335"/>
        <v>3259.4344711272179</v>
      </c>
      <c r="I1410" s="7">
        <f t="shared" si="336"/>
        <v>-6.7869794844631919</v>
      </c>
      <c r="J1410" s="7">
        <f t="shared" si="337"/>
        <v>-58.949853965237153</v>
      </c>
      <c r="K1410" s="8">
        <f t="shared" si="326"/>
        <v>261.7834944007231</v>
      </c>
      <c r="L1410" s="8">
        <f t="shared" si="327"/>
        <v>-10.994906764830368</v>
      </c>
      <c r="M1410" s="8">
        <f t="shared" si="324"/>
        <v>95.498763423684153</v>
      </c>
      <c r="N1410" s="8">
        <f t="shared" si="328"/>
        <v>25</v>
      </c>
      <c r="O1410" s="8">
        <f t="shared" si="329"/>
        <v>27.878285113507445</v>
      </c>
    </row>
    <row r="1411" spans="1:15" x14ac:dyDescent="0.3">
      <c r="A1411" s="5">
        <f t="shared" si="330"/>
        <v>14.029999999999745</v>
      </c>
      <c r="B1411" s="5">
        <f t="shared" si="325"/>
        <v>106.4258003936699</v>
      </c>
      <c r="C1411" s="6">
        <f t="shared" si="323"/>
        <v>4104.9951580415536</v>
      </c>
      <c r="D1411" s="6">
        <f t="shared" si="331"/>
        <v>16850985.247544602</v>
      </c>
      <c r="E1411" s="7">
        <f t="shared" si="332"/>
        <v>6248571.4285714282</v>
      </c>
      <c r="F1411" s="7">
        <f t="shared" si="333"/>
        <v>124.97142857142855</v>
      </c>
      <c r="G1411" s="7">
        <f t="shared" si="334"/>
        <v>10602413.818973172</v>
      </c>
      <c r="H1411" s="6">
        <f t="shared" si="335"/>
        <v>3256.1347974205819</v>
      </c>
      <c r="I1411" s="7">
        <f t="shared" si="336"/>
        <v>-6.7924354416401505</v>
      </c>
      <c r="J1411" s="7">
        <f t="shared" si="337"/>
        <v>-58.902503072970916</v>
      </c>
      <c r="K1411" s="8">
        <f t="shared" si="326"/>
        <v>261.99393846326291</v>
      </c>
      <c r="L1411" s="8">
        <f t="shared" si="327"/>
        <v>-11.003745415457042</v>
      </c>
      <c r="M1411" s="8">
        <f t="shared" si="324"/>
        <v>95.422054978212856</v>
      </c>
      <c r="N1411" s="8">
        <f t="shared" si="328"/>
        <v>24.999999999999989</v>
      </c>
      <c r="O1411" s="8">
        <f t="shared" si="329"/>
        <v>27.882914599242653</v>
      </c>
    </row>
    <row r="1412" spans="1:15" x14ac:dyDescent="0.3">
      <c r="A1412" s="5">
        <f t="shared" si="330"/>
        <v>14.039999999999745</v>
      </c>
      <c r="B1412" s="5">
        <f t="shared" si="325"/>
        <v>106.3578760392535</v>
      </c>
      <c r="C1412" s="6">
        <f t="shared" si="323"/>
        <v>4102.37521865692</v>
      </c>
      <c r="D1412" s="6">
        <f t="shared" si="331"/>
        <v>16829482.434650414</v>
      </c>
      <c r="E1412" s="7">
        <f t="shared" si="332"/>
        <v>6248571.4285714282</v>
      </c>
      <c r="F1412" s="7">
        <f t="shared" si="333"/>
        <v>124.97142857142855</v>
      </c>
      <c r="G1412" s="7">
        <f t="shared" si="334"/>
        <v>10580911.006078985</v>
      </c>
      <c r="H1412" s="6">
        <f t="shared" si="335"/>
        <v>3252.8312292645901</v>
      </c>
      <c r="I1412" s="7">
        <f t="shared" si="336"/>
        <v>-6.7979057221608485</v>
      </c>
      <c r="J1412" s="7">
        <f t="shared" si="337"/>
        <v>-58.855104178612912</v>
      </c>
      <c r="K1412" s="8">
        <f t="shared" si="326"/>
        <v>262.20493499763273</v>
      </c>
      <c r="L1412" s="8">
        <f t="shared" si="327"/>
        <v>-11.012607269900574</v>
      </c>
      <c r="M1412" s="8">
        <f t="shared" si="324"/>
        <v>95.345268769352927</v>
      </c>
      <c r="N1412" s="8">
        <f t="shared" si="328"/>
        <v>25.000000000000007</v>
      </c>
      <c r="O1412" s="8">
        <f t="shared" si="329"/>
        <v>27.887559973358744</v>
      </c>
    </row>
    <row r="1413" spans="1:15" x14ac:dyDescent="0.3">
      <c r="A1413" s="5">
        <f t="shared" si="330"/>
        <v>14.049999999999745</v>
      </c>
      <c r="B1413" s="5">
        <f t="shared" si="325"/>
        <v>106.28989698203189</v>
      </c>
      <c r="C1413" s="6">
        <f t="shared" si="323"/>
        <v>4099.7531693069441</v>
      </c>
      <c r="D1413" s="6">
        <f t="shared" si="331"/>
        <v>16807976.049242333</v>
      </c>
      <c r="E1413" s="7">
        <f t="shared" si="332"/>
        <v>6248571.4285714282</v>
      </c>
      <c r="F1413" s="7">
        <f t="shared" si="333"/>
        <v>124.97142857142855</v>
      </c>
      <c r="G1413" s="7">
        <f t="shared" si="334"/>
        <v>10559404.620670903</v>
      </c>
      <c r="H1413" s="6">
        <f t="shared" si="335"/>
        <v>3249.5237529014776</v>
      </c>
      <c r="I1413" s="7">
        <f t="shared" si="336"/>
        <v>-6.80339039190474</v>
      </c>
      <c r="J1413" s="7">
        <f t="shared" si="337"/>
        <v>-58.80765712786804</v>
      </c>
      <c r="K1413" s="8">
        <f t="shared" si="326"/>
        <v>262.41648654489711</v>
      </c>
      <c r="L1413" s="8">
        <f t="shared" si="327"/>
        <v>-11.021492434885678</v>
      </c>
      <c r="M1413" s="8">
        <f t="shared" si="324"/>
        <v>95.268404547146218</v>
      </c>
      <c r="N1413" s="8">
        <f t="shared" si="328"/>
        <v>25.000000000000011</v>
      </c>
      <c r="O1413" s="8">
        <f t="shared" si="329"/>
        <v>27.892221321243873</v>
      </c>
    </row>
    <row r="1414" spans="1:15" x14ac:dyDescent="0.3">
      <c r="A1414" s="5">
        <f t="shared" si="330"/>
        <v>14.059999999999745</v>
      </c>
      <c r="B1414" s="5">
        <f t="shared" si="325"/>
        <v>106.22186307811285</v>
      </c>
      <c r="C1414" s="6">
        <f t="shared" si="323"/>
        <v>4097.1290044414955</v>
      </c>
      <c r="D1414" s="6">
        <f t="shared" si="331"/>
        <v>16786466.079035759</v>
      </c>
      <c r="E1414" s="7">
        <f t="shared" si="332"/>
        <v>6248571.4285714282</v>
      </c>
      <c r="F1414" s="7">
        <f t="shared" si="333"/>
        <v>124.97142857142855</v>
      </c>
      <c r="G1414" s="7">
        <f t="shared" si="334"/>
        <v>10537894.65046433</v>
      </c>
      <c r="H1414" s="6">
        <f t="shared" si="335"/>
        <v>3246.2123544932069</v>
      </c>
      <c r="I1414" s="7">
        <f t="shared" si="336"/>
        <v>-6.8088895171902388</v>
      </c>
      <c r="J1414" s="7">
        <f t="shared" si="337"/>
        <v>-58.760161765595477</v>
      </c>
      <c r="K1414" s="8">
        <f t="shared" si="326"/>
        <v>262.62859566305207</v>
      </c>
      <c r="L1414" s="8">
        <f t="shared" si="327"/>
        <v>-11.030401017848186</v>
      </c>
      <c r="M1414" s="8">
        <f t="shared" si="324"/>
        <v>95.191462060264655</v>
      </c>
      <c r="N1414" s="8">
        <f t="shared" si="328"/>
        <v>25.000000000000007</v>
      </c>
      <c r="O1414" s="8">
        <f t="shared" si="329"/>
        <v>27.89689872891778</v>
      </c>
    </row>
    <row r="1415" spans="1:15" x14ac:dyDescent="0.3">
      <c r="A1415" s="5">
        <f t="shared" si="330"/>
        <v>14.069999999999744</v>
      </c>
      <c r="B1415" s="5">
        <f t="shared" si="325"/>
        <v>106.15377418294095</v>
      </c>
      <c r="C1415" s="6">
        <f t="shared" si="323"/>
        <v>4094.502718484865</v>
      </c>
      <c r="D1415" s="6">
        <f t="shared" si="331"/>
        <v>16764952.511679949</v>
      </c>
      <c r="E1415" s="7">
        <f t="shared" si="332"/>
        <v>6248571.4285714282</v>
      </c>
      <c r="F1415" s="7">
        <f t="shared" si="333"/>
        <v>124.97142857142855</v>
      </c>
      <c r="G1415" s="7">
        <f t="shared" si="334"/>
        <v>10516381.083108522</v>
      </c>
      <c r="H1415" s="6">
        <f t="shared" si="335"/>
        <v>3242.8970201208244</v>
      </c>
      <c r="I1415" s="7">
        <f t="shared" si="336"/>
        <v>-6.814403164778561</v>
      </c>
      <c r="J1415" s="7">
        <f t="shared" si="337"/>
        <v>-58.712617935802278</v>
      </c>
      <c r="K1415" s="8">
        <f t="shared" si="326"/>
        <v>262.84126492717303</v>
      </c>
      <c r="L1415" s="8">
        <f t="shared" si="327"/>
        <v>-11.039333126941266</v>
      </c>
      <c r="M1415" s="8">
        <f t="shared" si="324"/>
        <v>95.114441055999691</v>
      </c>
      <c r="N1415" s="8">
        <f t="shared" si="328"/>
        <v>24.999999999999996</v>
      </c>
      <c r="O1415" s="8">
        <f t="shared" si="329"/>
        <v>27.901592283037683</v>
      </c>
    </row>
    <row r="1416" spans="1:15" x14ac:dyDescent="0.3">
      <c r="A1416" s="5">
        <f t="shared" si="330"/>
        <v>14.079999999999744</v>
      </c>
      <c r="B1416" s="5">
        <f t="shared" si="325"/>
        <v>106.08563015129316</v>
      </c>
      <c r="C1416" s="6">
        <f t="shared" ref="C1416:C1479" si="338">$B$1*B1416</f>
        <v>4091.8743058355931</v>
      </c>
      <c r="D1416" s="6">
        <f t="shared" si="331"/>
        <v>16743435.334757516</v>
      </c>
      <c r="E1416" s="7">
        <f t="shared" si="332"/>
        <v>6248571.4285714282</v>
      </c>
      <c r="F1416" s="7">
        <f t="shared" si="333"/>
        <v>124.97142857142855</v>
      </c>
      <c r="G1416" s="7">
        <f t="shared" si="334"/>
        <v>10494863.906186089</v>
      </c>
      <c r="H1416" s="6">
        <f t="shared" si="335"/>
        <v>3239.5777357837997</v>
      </c>
      <c r="I1416" s="7">
        <f t="shared" si="336"/>
        <v>-6.8199314018776347</v>
      </c>
      <c r="J1416" s="7">
        <f t="shared" si="337"/>
        <v>-58.665025481636668</v>
      </c>
      <c r="K1416" s="8">
        <f t="shared" si="326"/>
        <v>263.05449692956591</v>
      </c>
      <c r="L1416" s="8">
        <f t="shared" si="327"/>
        <v>-11.048288871041768</v>
      </c>
      <c r="M1416" s="8">
        <f t="shared" ref="M1416:M1479" si="339">B1416+L1416</f>
        <v>95.037341280251397</v>
      </c>
      <c r="N1416" s="8">
        <f t="shared" si="328"/>
        <v>25</v>
      </c>
      <c r="O1416" s="8">
        <f t="shared" si="329"/>
        <v>27.90630207090441</v>
      </c>
    </row>
    <row r="1417" spans="1:15" x14ac:dyDescent="0.3">
      <c r="A1417" s="5">
        <f t="shared" si="330"/>
        <v>14.089999999999744</v>
      </c>
      <c r="B1417" s="5">
        <f t="shared" ref="B1417:B1480" si="340">I1416*$B$5+B1416</f>
        <v>106.01743083727439</v>
      </c>
      <c r="C1417" s="6">
        <f t="shared" si="338"/>
        <v>4089.2437608662976</v>
      </c>
      <c r="D1417" s="6">
        <f t="shared" si="331"/>
        <v>16721914.535783943</v>
      </c>
      <c r="E1417" s="7">
        <f t="shared" si="332"/>
        <v>6248571.4285714282</v>
      </c>
      <c r="F1417" s="7">
        <f t="shared" si="333"/>
        <v>124.97142857142855</v>
      </c>
      <c r="G1417" s="7">
        <f t="shared" si="334"/>
        <v>10473343.107212514</v>
      </c>
      <c r="H1417" s="6">
        <f t="shared" si="335"/>
        <v>3236.2544873993629</v>
      </c>
      <c r="I1417" s="7">
        <f t="shared" si="336"/>
        <v>-6.8254742961460266</v>
      </c>
      <c r="J1417" s="7">
        <f t="shared" si="337"/>
        <v>-58.61738424538138</v>
      </c>
      <c r="K1417" s="8">
        <f t="shared" ref="K1417:K1480" si="341">-$B$1*I1417</f>
        <v>263.26829427991817</v>
      </c>
      <c r="L1417" s="8">
        <f t="shared" ref="L1417:L1480" si="342">-$B$2*K1417</f>
        <v>-11.057268359756561</v>
      </c>
      <c r="M1417" s="8">
        <f t="shared" si="339"/>
        <v>94.960162477517827</v>
      </c>
      <c r="N1417" s="8">
        <f t="shared" ref="N1417:N1480" si="343">K1417*M1417/1000</f>
        <v>25.000000000000007</v>
      </c>
      <c r="O1417" s="8">
        <f t="shared" ref="O1417:O1480" si="344">B1417*K1417/1000</f>
        <v>27.911028180468424</v>
      </c>
    </row>
    <row r="1418" spans="1:15" x14ac:dyDescent="0.3">
      <c r="A1418" s="5">
        <f t="shared" si="330"/>
        <v>14.099999999999744</v>
      </c>
      <c r="B1418" s="5">
        <f t="shared" si="340"/>
        <v>105.94917609431293</v>
      </c>
      <c r="C1418" s="6">
        <f t="shared" si="338"/>
        <v>4086.6110779234987</v>
      </c>
      <c r="D1418" s="6">
        <f t="shared" si="331"/>
        <v>16700390.102207059</v>
      </c>
      <c r="E1418" s="7">
        <f t="shared" si="332"/>
        <v>6248571.4285714282</v>
      </c>
      <c r="F1418" s="7">
        <f t="shared" si="333"/>
        <v>124.97142857142855</v>
      </c>
      <c r="G1418" s="7">
        <f t="shared" si="334"/>
        <v>10451818.673635632</v>
      </c>
      <c r="H1418" s="6">
        <f t="shared" si="335"/>
        <v>3232.9272608018314</v>
      </c>
      <c r="I1418" s="7">
        <f t="shared" si="336"/>
        <v>-6.8310319156969275</v>
      </c>
      <c r="J1418" s="7">
        <f t="shared" si="337"/>
        <v>-58.569694068446864</v>
      </c>
      <c r="K1418" s="8">
        <f t="shared" si="341"/>
        <v>263.48265960545291</v>
      </c>
      <c r="L1418" s="8">
        <f t="shared" si="342"/>
        <v>-11.06627170342902</v>
      </c>
      <c r="M1418" s="8">
        <f t="shared" si="339"/>
        <v>94.882904390883908</v>
      </c>
      <c r="N1418" s="8">
        <f t="shared" si="343"/>
        <v>24.999999999999996</v>
      </c>
      <c r="O1418" s="8">
        <f t="shared" si="344"/>
        <v>27.915770700336044</v>
      </c>
    </row>
    <row r="1419" spans="1:15" x14ac:dyDescent="0.3">
      <c r="A1419" s="5">
        <f t="shared" si="330"/>
        <v>14.109999999999744</v>
      </c>
      <c r="B1419" s="5">
        <f t="shared" si="340"/>
        <v>105.88086577515597</v>
      </c>
      <c r="C1419" s="6">
        <f t="shared" si="338"/>
        <v>4083.9762513274441</v>
      </c>
      <c r="D1419" s="6">
        <f t="shared" si="331"/>
        <v>16678862.021406563</v>
      </c>
      <c r="E1419" s="7">
        <f t="shared" si="332"/>
        <v>6248571.4285714282</v>
      </c>
      <c r="F1419" s="7">
        <f t="shared" si="333"/>
        <v>124.97142857142855</v>
      </c>
      <c r="G1419" s="7">
        <f t="shared" si="334"/>
        <v>10430290.592835136</v>
      </c>
      <c r="H1419" s="6">
        <f t="shared" si="335"/>
        <v>3229.5960417419292</v>
      </c>
      <c r="I1419" s="7">
        <f t="shared" si="336"/>
        <v>-6.8366043291022009</v>
      </c>
      <c r="J1419" s="7">
        <f t="shared" si="337"/>
        <v>-58.521954791364458</v>
      </c>
      <c r="K1419" s="8">
        <f t="shared" si="341"/>
        <v>263.69759555108487</v>
      </c>
      <c r="L1419" s="8">
        <f t="shared" si="342"/>
        <v>-11.075299013145564</v>
      </c>
      <c r="M1419" s="8">
        <f t="shared" si="339"/>
        <v>94.8055667620104</v>
      </c>
      <c r="N1419" s="8">
        <f t="shared" si="343"/>
        <v>24.999999999999993</v>
      </c>
      <c r="O1419" s="8">
        <f t="shared" si="344"/>
        <v>27.920529719775782</v>
      </c>
    </row>
    <row r="1420" spans="1:15" x14ac:dyDescent="0.3">
      <c r="A1420" s="5">
        <f t="shared" si="330"/>
        <v>14.119999999999743</v>
      </c>
      <c r="B1420" s="5">
        <f t="shared" si="340"/>
        <v>105.81249973186495</v>
      </c>
      <c r="C1420" s="6">
        <f t="shared" si="338"/>
        <v>4081.3392753719336</v>
      </c>
      <c r="D1420" s="6">
        <f t="shared" si="331"/>
        <v>16657330.280693499</v>
      </c>
      <c r="E1420" s="7">
        <f t="shared" si="332"/>
        <v>6248571.4285714282</v>
      </c>
      <c r="F1420" s="7">
        <f t="shared" si="333"/>
        <v>124.97142857142855</v>
      </c>
      <c r="G1420" s="7">
        <f t="shared" si="334"/>
        <v>10408758.852122072</v>
      </c>
      <c r="H1420" s="6">
        <f t="shared" si="335"/>
        <v>3226.2608158861044</v>
      </c>
      <c r="I1420" s="7">
        <f t="shared" si="336"/>
        <v>-6.8421916053964393</v>
      </c>
      <c r="J1420" s="7">
        <f t="shared" si="337"/>
        <v>-58.474166253779465</v>
      </c>
      <c r="K1420" s="8">
        <f t="shared" si="341"/>
        <v>263.91310477957694</v>
      </c>
      <c r="L1420" s="8">
        <f t="shared" si="342"/>
        <v>-11.084350400742231</v>
      </c>
      <c r="M1420" s="8">
        <f t="shared" si="339"/>
        <v>94.728149331122722</v>
      </c>
      <c r="N1420" s="8">
        <f t="shared" si="343"/>
        <v>25.000000000000004</v>
      </c>
      <c r="O1420" s="8">
        <f t="shared" si="344"/>
        <v>27.92530532872463</v>
      </c>
    </row>
    <row r="1421" spans="1:15" x14ac:dyDescent="0.3">
      <c r="A1421" s="5">
        <f t="shared" si="330"/>
        <v>14.129999999999743</v>
      </c>
      <c r="B1421" s="5">
        <f t="shared" si="340"/>
        <v>105.74407781581098</v>
      </c>
      <c r="C1421" s="6">
        <f t="shared" si="338"/>
        <v>4078.7001443241375</v>
      </c>
      <c r="D1421" s="6">
        <f t="shared" si="331"/>
        <v>16635794.86730974</v>
      </c>
      <c r="E1421" s="7">
        <f t="shared" si="332"/>
        <v>6248571.4285714282</v>
      </c>
      <c r="F1421" s="7">
        <f t="shared" si="333"/>
        <v>124.97142857142855</v>
      </c>
      <c r="G1421" s="7">
        <f t="shared" si="334"/>
        <v>10387223.438738313</v>
      </c>
      <c r="H1421" s="6">
        <f t="shared" si="335"/>
        <v>3222.9215688158333</v>
      </c>
      <c r="I1421" s="7">
        <f t="shared" si="336"/>
        <v>-6.8477938140810819</v>
      </c>
      <c r="J1421" s="7">
        <f t="shared" si="337"/>
        <v>-58.426328294444225</v>
      </c>
      <c r="K1421" s="8">
        <f t="shared" si="341"/>
        <v>264.12918997169885</v>
      </c>
      <c r="L1421" s="8">
        <f t="shared" si="342"/>
        <v>-11.09342597881135</v>
      </c>
      <c r="M1421" s="8">
        <f t="shared" si="339"/>
        <v>94.650651836999629</v>
      </c>
      <c r="N1421" s="8">
        <f t="shared" si="343"/>
        <v>25</v>
      </c>
      <c r="O1421" s="8">
        <f t="shared" si="344"/>
        <v>27.930097617794441</v>
      </c>
    </row>
    <row r="1422" spans="1:15" x14ac:dyDescent="0.3">
      <c r="A1422" s="5">
        <f t="shared" si="330"/>
        <v>14.139999999999743</v>
      </c>
      <c r="B1422" s="5">
        <f t="shared" si="340"/>
        <v>105.67559987767017</v>
      </c>
      <c r="C1422" s="6">
        <f t="shared" si="338"/>
        <v>4076.0588524244204</v>
      </c>
      <c r="D1422" s="6">
        <f t="shared" si="331"/>
        <v>16614255.768427482</v>
      </c>
      <c r="E1422" s="7">
        <f t="shared" si="332"/>
        <v>6248571.4285714282</v>
      </c>
      <c r="F1422" s="7">
        <f t="shared" si="333"/>
        <v>124.97142857142855</v>
      </c>
      <c r="G1422" s="7">
        <f t="shared" si="334"/>
        <v>10365684.339856055</v>
      </c>
      <c r="H1422" s="6">
        <f t="shared" si="335"/>
        <v>3219.5782860269223</v>
      </c>
      <c r="I1422" s="7">
        <f t="shared" si="336"/>
        <v>-6.8534110251285867</v>
      </c>
      <c r="J1422" s="7">
        <f t="shared" si="337"/>
        <v>-58.378440751211023</v>
      </c>
      <c r="K1422" s="8">
        <f t="shared" si="341"/>
        <v>264.34585382638835</v>
      </c>
      <c r="L1422" s="8">
        <f t="shared" si="342"/>
        <v>-11.10252586070831</v>
      </c>
      <c r="M1422" s="8">
        <f t="shared" si="339"/>
        <v>94.573074016961854</v>
      </c>
      <c r="N1422" s="8">
        <f t="shared" si="343"/>
        <v>25.000000000000004</v>
      </c>
      <c r="O1422" s="8">
        <f t="shared" si="344"/>
        <v>27.934906678278502</v>
      </c>
    </row>
    <row r="1423" spans="1:15" x14ac:dyDescent="0.3">
      <c r="A1423" s="5">
        <f t="shared" si="330"/>
        <v>14.149999999999743</v>
      </c>
      <c r="B1423" s="5">
        <f t="shared" si="340"/>
        <v>105.60706576741887</v>
      </c>
      <c r="C1423" s="6">
        <f t="shared" si="338"/>
        <v>4073.4153938861564</v>
      </c>
      <c r="D1423" s="6">
        <f t="shared" si="331"/>
        <v>16592712.971148711</v>
      </c>
      <c r="E1423" s="7">
        <f t="shared" si="332"/>
        <v>6248571.4285714282</v>
      </c>
      <c r="F1423" s="7">
        <f t="shared" si="333"/>
        <v>124.97142857142855</v>
      </c>
      <c r="G1423" s="7">
        <f t="shared" si="334"/>
        <v>10344141.542577282</v>
      </c>
      <c r="H1423" s="6">
        <f t="shared" si="335"/>
        <v>3216.2309529287977</v>
      </c>
      <c r="I1423" s="7">
        <f t="shared" si="336"/>
        <v>-6.8590433089866387</v>
      </c>
      <c r="J1423" s="7">
        <f t="shared" si="337"/>
        <v>-58.330503461025025</v>
      </c>
      <c r="K1423" s="8">
        <f t="shared" si="341"/>
        <v>264.5630990609132</v>
      </c>
      <c r="L1423" s="8">
        <f t="shared" si="342"/>
        <v>-11.111650160558353</v>
      </c>
      <c r="M1423" s="8">
        <f t="shared" si="339"/>
        <v>94.495415606860519</v>
      </c>
      <c r="N1423" s="8">
        <f t="shared" si="343"/>
        <v>25.000000000000004</v>
      </c>
      <c r="O1423" s="8">
        <f t="shared" si="344"/>
        <v>27.939732602158017</v>
      </c>
    </row>
    <row r="1424" spans="1:15" x14ac:dyDescent="0.3">
      <c r="A1424" s="5">
        <f t="shared" si="330"/>
        <v>14.159999999999743</v>
      </c>
      <c r="B1424" s="5">
        <f t="shared" si="340"/>
        <v>105.53847533432901</v>
      </c>
      <c r="C1424" s="6">
        <f t="shared" si="338"/>
        <v>4070.769762895547</v>
      </c>
      <c r="D1424" s="6">
        <f t="shared" si="331"/>
        <v>16571166.462504668</v>
      </c>
      <c r="E1424" s="7">
        <f t="shared" si="332"/>
        <v>6248571.4285714282</v>
      </c>
      <c r="F1424" s="7">
        <f t="shared" si="333"/>
        <v>124.97142857142855</v>
      </c>
      <c r="G1424" s="7">
        <f t="shared" si="334"/>
        <v>10322595.033933241</v>
      </c>
      <c r="H1424" s="6">
        <f t="shared" si="335"/>
        <v>3212.8795548437915</v>
      </c>
      <c r="I1424" s="7">
        <f t="shared" si="336"/>
        <v>-6.864690736582407</v>
      </c>
      <c r="J1424" s="7">
        <f t="shared" si="337"/>
        <v>-58.282516259916989</v>
      </c>
      <c r="K1424" s="8">
        <f t="shared" si="341"/>
        <v>264.78092841103569</v>
      </c>
      <c r="L1424" s="8">
        <f t="shared" si="342"/>
        <v>-11.120798993263497</v>
      </c>
      <c r="M1424" s="8">
        <f t="shared" si="339"/>
        <v>94.417676341065516</v>
      </c>
      <c r="N1424" s="8">
        <f t="shared" si="343"/>
        <v>25.000000000000007</v>
      </c>
      <c r="O1424" s="8">
        <f t="shared" si="344"/>
        <v>27.944575482108824</v>
      </c>
    </row>
    <row r="1425" spans="1:15" x14ac:dyDescent="0.3">
      <c r="A1425" s="5">
        <f t="shared" si="330"/>
        <v>14.169999999999742</v>
      </c>
      <c r="B1425" s="5">
        <f t="shared" si="340"/>
        <v>105.46982842696319</v>
      </c>
      <c r="C1425" s="6">
        <f t="shared" si="338"/>
        <v>4068.1219536114372</v>
      </c>
      <c r="D1425" s="6">
        <f t="shared" si="331"/>
        <v>16549616.229455337</v>
      </c>
      <c r="E1425" s="7">
        <f t="shared" si="332"/>
        <v>6248571.4285714282</v>
      </c>
      <c r="F1425" s="7">
        <f t="shared" si="333"/>
        <v>124.97142857142855</v>
      </c>
      <c r="G1425" s="7">
        <f t="shared" si="334"/>
        <v>10301044.800883908</v>
      </c>
      <c r="H1425" s="6">
        <f t="shared" si="335"/>
        <v>3209.5240770064192</v>
      </c>
      <c r="I1425" s="7">
        <f t="shared" si="336"/>
        <v>-6.8703533793268488</v>
      </c>
      <c r="J1425" s="7">
        <f t="shared" si="337"/>
        <v>-58.234478982996116</v>
      </c>
      <c r="K1425" s="8">
        <f t="shared" si="341"/>
        <v>264.99934463117842</v>
      </c>
      <c r="L1425" s="8">
        <f t="shared" si="342"/>
        <v>-11.129972474509492</v>
      </c>
      <c r="M1425" s="8">
        <f t="shared" si="339"/>
        <v>94.339855952453703</v>
      </c>
      <c r="N1425" s="8">
        <f t="shared" si="343"/>
        <v>25.000000000000007</v>
      </c>
      <c r="O1425" s="8">
        <f t="shared" si="344"/>
        <v>27.949435411508077</v>
      </c>
    </row>
    <row r="1426" spans="1:15" x14ac:dyDescent="0.3">
      <c r="A1426" s="5">
        <f t="shared" si="330"/>
        <v>14.179999999999742</v>
      </c>
      <c r="B1426" s="5">
        <f t="shared" si="340"/>
        <v>105.40112489316992</v>
      </c>
      <c r="C1426" s="6">
        <f t="shared" si="338"/>
        <v>4065.4719601651254</v>
      </c>
      <c r="D1426" s="6">
        <f t="shared" si="331"/>
        <v>16528062.258888867</v>
      </c>
      <c r="E1426" s="7">
        <f t="shared" si="332"/>
        <v>6248571.4285714282</v>
      </c>
      <c r="F1426" s="7">
        <f t="shared" si="333"/>
        <v>124.97142857142855</v>
      </c>
      <c r="G1426" s="7">
        <f t="shared" si="334"/>
        <v>10279490.830317438</v>
      </c>
      <c r="H1426" s="6">
        <f t="shared" si="335"/>
        <v>3206.164504562646</v>
      </c>
      <c r="I1426" s="7">
        <f t="shared" si="336"/>
        <v>-6.8760313091190639</v>
      </c>
      <c r="J1426" s="7">
        <f t="shared" si="337"/>
        <v>-58.186391464442629</v>
      </c>
      <c r="K1426" s="8">
        <f t="shared" si="341"/>
        <v>265.21835049459247</v>
      </c>
      <c r="L1426" s="8">
        <f t="shared" si="342"/>
        <v>-11.139170720772883</v>
      </c>
      <c r="M1426" s="8">
        <f t="shared" si="339"/>
        <v>94.26195417239704</v>
      </c>
      <c r="N1426" s="8">
        <f t="shared" si="343"/>
        <v>25.000000000000011</v>
      </c>
      <c r="O1426" s="8">
        <f t="shared" si="344"/>
        <v>27.954312484441054</v>
      </c>
    </row>
    <row r="1427" spans="1:15" x14ac:dyDescent="0.3">
      <c r="A1427" s="5">
        <f t="shared" si="330"/>
        <v>14.189999999999742</v>
      </c>
      <c r="B1427" s="5">
        <f t="shared" si="340"/>
        <v>105.33236458007873</v>
      </c>
      <c r="C1427" s="6">
        <f t="shared" si="338"/>
        <v>4062.8197766601793</v>
      </c>
      <c r="D1427" s="6">
        <f t="shared" si="331"/>
        <v>16506504.53762107</v>
      </c>
      <c r="E1427" s="7">
        <f t="shared" si="332"/>
        <v>6248571.4285714282</v>
      </c>
      <c r="F1427" s="7">
        <f t="shared" si="333"/>
        <v>124.97142857142855</v>
      </c>
      <c r="G1427" s="7">
        <f t="shared" si="334"/>
        <v>10257933.109049641</v>
      </c>
      <c r="H1427" s="6">
        <f t="shared" si="335"/>
        <v>3202.8008225691524</v>
      </c>
      <c r="I1427" s="7">
        <f t="shared" si="336"/>
        <v>-6.8817245983506963</v>
      </c>
      <c r="J1427" s="7">
        <f t="shared" si="337"/>
        <v>-58.138253537500383</v>
      </c>
      <c r="K1427" s="8">
        <f t="shared" si="341"/>
        <v>265.43794879352686</v>
      </c>
      <c r="L1427" s="8">
        <f t="shared" si="342"/>
        <v>-11.148393849328126</v>
      </c>
      <c r="M1427" s="8">
        <f t="shared" si="339"/>
        <v>94.183970730750602</v>
      </c>
      <c r="N1427" s="8">
        <f t="shared" si="343"/>
        <v>25.000000000000011</v>
      </c>
      <c r="O1427" s="8">
        <f t="shared" si="344"/>
        <v>27.959206795708038</v>
      </c>
    </row>
    <row r="1428" spans="1:15" x14ac:dyDescent="0.3">
      <c r="A1428" s="5">
        <f t="shared" si="330"/>
        <v>14.199999999999742</v>
      </c>
      <c r="B1428" s="5">
        <f t="shared" si="340"/>
        <v>105.26354733409522</v>
      </c>
      <c r="C1428" s="6">
        <f t="shared" si="338"/>
        <v>4060.165397172244</v>
      </c>
      <c r="D1428" s="6">
        <f t="shared" si="331"/>
        <v>16484943.052394845</v>
      </c>
      <c r="E1428" s="7">
        <f t="shared" si="332"/>
        <v>6248571.4285714282</v>
      </c>
      <c r="F1428" s="7">
        <f t="shared" si="333"/>
        <v>124.97142857142855</v>
      </c>
      <c r="G1428" s="7">
        <f t="shared" si="334"/>
        <v>10236371.623823415</v>
      </c>
      <c r="H1428" s="6">
        <f t="shared" si="335"/>
        <v>3199.4330159925862</v>
      </c>
      <c r="I1428" s="7">
        <f t="shared" si="336"/>
        <v>-6.8874333199103859</v>
      </c>
      <c r="J1428" s="7">
        <f t="shared" si="337"/>
        <v>-58.09006503446939</v>
      </c>
      <c r="K1428" s="8">
        <f t="shared" si="341"/>
        <v>265.65814233940057</v>
      </c>
      <c r="L1428" s="8">
        <f t="shared" si="342"/>
        <v>-11.157641978254823</v>
      </c>
      <c r="M1428" s="8">
        <f t="shared" si="339"/>
        <v>94.105905355840406</v>
      </c>
      <c r="N1428" s="8">
        <f t="shared" si="343"/>
        <v>25.000000000000007</v>
      </c>
      <c r="O1428" s="8">
        <f t="shared" si="344"/>
        <v>27.964118440831299</v>
      </c>
    </row>
    <row r="1429" spans="1:15" x14ac:dyDescent="0.3">
      <c r="A1429" s="5">
        <f t="shared" si="330"/>
        <v>14.209999999999742</v>
      </c>
      <c r="B1429" s="5">
        <f t="shared" si="340"/>
        <v>105.19467300089612</v>
      </c>
      <c r="C1429" s="6">
        <f t="shared" si="338"/>
        <v>4057.5088157488499</v>
      </c>
      <c r="D1429" s="6">
        <f t="shared" si="331"/>
        <v>16463377.789879635</v>
      </c>
      <c r="E1429" s="7">
        <f t="shared" si="332"/>
        <v>6248571.4285714282</v>
      </c>
      <c r="F1429" s="7">
        <f t="shared" si="333"/>
        <v>124.97142857142855</v>
      </c>
      <c r="G1429" s="7">
        <f t="shared" si="334"/>
        <v>10214806.361308206</v>
      </c>
      <c r="H1429" s="6">
        <f t="shared" si="335"/>
        <v>3196.0610697088073</v>
      </c>
      <c r="I1429" s="7">
        <f t="shared" si="336"/>
        <v>-6.8931575471882711</v>
      </c>
      <c r="J1429" s="7">
        <f t="shared" si="337"/>
        <v>-58.041825786698226</v>
      </c>
      <c r="K1429" s="8">
        <f t="shared" si="341"/>
        <v>265.87893396297613</v>
      </c>
      <c r="L1429" s="8">
        <f t="shared" si="342"/>
        <v>-11.166915226444997</v>
      </c>
      <c r="M1429" s="8">
        <f t="shared" si="339"/>
        <v>94.027757774451118</v>
      </c>
      <c r="N1429" s="8">
        <f t="shared" si="343"/>
        <v>25.000000000000004</v>
      </c>
      <c r="O1429" s="8">
        <f t="shared" si="344"/>
        <v>27.96904751606213</v>
      </c>
    </row>
    <row r="1430" spans="1:15" x14ac:dyDescent="0.3">
      <c r="A1430" s="5">
        <f t="shared" si="330"/>
        <v>14.219999999999741</v>
      </c>
      <c r="B1430" s="5">
        <f t="shared" si="340"/>
        <v>105.12574142542424</v>
      </c>
      <c r="C1430" s="6">
        <f t="shared" si="338"/>
        <v>4054.8500264092204</v>
      </c>
      <c r="D1430" s="6">
        <f t="shared" si="331"/>
        <v>16441808.736670855</v>
      </c>
      <c r="E1430" s="7">
        <f t="shared" si="332"/>
        <v>6248571.4285714282</v>
      </c>
      <c r="F1430" s="7">
        <f t="shared" si="333"/>
        <v>124.97142857142855</v>
      </c>
      <c r="G1430" s="7">
        <f t="shared" si="334"/>
        <v>10193237.308099426</v>
      </c>
      <c r="H1430" s="6">
        <f t="shared" si="335"/>
        <v>3192.6849685021266</v>
      </c>
      <c r="I1430" s="7">
        <f t="shared" si="336"/>
        <v>-6.8988973540805416</v>
      </c>
      <c r="J1430" s="7">
        <f t="shared" si="337"/>
        <v>-57.993535624576403</v>
      </c>
      <c r="K1430" s="8">
        <f t="shared" si="341"/>
        <v>266.10032651453514</v>
      </c>
      <c r="L1430" s="8">
        <f t="shared" si="342"/>
        <v>-11.176213713610474</v>
      </c>
      <c r="M1430" s="8">
        <f t="shared" si="339"/>
        <v>93.949527711813758</v>
      </c>
      <c r="N1430" s="8">
        <f t="shared" si="343"/>
        <v>25.000000000000007</v>
      </c>
      <c r="O1430" s="8">
        <f t="shared" si="344"/>
        <v>27.973994118387981</v>
      </c>
    </row>
    <row r="1431" spans="1:15" x14ac:dyDescent="0.3">
      <c r="A1431" s="5">
        <f t="shared" si="330"/>
        <v>14.229999999999741</v>
      </c>
      <c r="B1431" s="5">
        <f t="shared" si="340"/>
        <v>105.05675245188343</v>
      </c>
      <c r="C1431" s="6">
        <f t="shared" si="338"/>
        <v>4052.1890231440748</v>
      </c>
      <c r="D1431" s="6">
        <f t="shared" si="331"/>
        <v>16420235.879289331</v>
      </c>
      <c r="E1431" s="7">
        <f t="shared" si="332"/>
        <v>6248571.4285714282</v>
      </c>
      <c r="F1431" s="7">
        <f t="shared" si="333"/>
        <v>124.97142857142855</v>
      </c>
      <c r="G1431" s="7">
        <f t="shared" si="334"/>
        <v>10171664.450717904</v>
      </c>
      <c r="H1431" s="6">
        <f t="shared" si="335"/>
        <v>3189.3046970645346</v>
      </c>
      <c r="I1431" s="7">
        <f t="shared" si="336"/>
        <v>-6.9046528149940354</v>
      </c>
      <c r="J1431" s="7">
        <f t="shared" si="337"/>
        <v>-57.945194377526605</v>
      </c>
      <c r="K1431" s="8">
        <f t="shared" si="341"/>
        <v>266.32232286405565</v>
      </c>
      <c r="L1431" s="8">
        <f t="shared" si="342"/>
        <v>-11.185537560290337</v>
      </c>
      <c r="M1431" s="8">
        <f t="shared" si="339"/>
        <v>93.871214891593084</v>
      </c>
      <c r="N1431" s="8">
        <f t="shared" si="343"/>
        <v>25.000000000000004</v>
      </c>
      <c r="O1431" s="8">
        <f t="shared" si="344"/>
        <v>27.978958345539667</v>
      </c>
    </row>
    <row r="1432" spans="1:15" x14ac:dyDescent="0.3">
      <c r="A1432" s="5">
        <f t="shared" si="330"/>
        <v>14.239999999999741</v>
      </c>
      <c r="B1432" s="5">
        <f t="shared" si="340"/>
        <v>104.98770592373349</v>
      </c>
      <c r="C1432" s="6">
        <f t="shared" si="338"/>
        <v>4049.5257999154342</v>
      </c>
      <c r="D1432" s="6">
        <f t="shared" si="331"/>
        <v>16398659.204180736</v>
      </c>
      <c r="E1432" s="7">
        <f t="shared" si="332"/>
        <v>6248571.4285714282</v>
      </c>
      <c r="F1432" s="7">
        <f t="shared" si="333"/>
        <v>124.97142857142855</v>
      </c>
      <c r="G1432" s="7">
        <f t="shared" si="334"/>
        <v>10150087.775609307</v>
      </c>
      <c r="H1432" s="6">
        <f t="shared" si="335"/>
        <v>3185.9202399949227</v>
      </c>
      <c r="I1432" s="7">
        <f t="shared" si="336"/>
        <v>-6.910424004850916</v>
      </c>
      <c r="J1432" s="7">
        <f t="shared" si="337"/>
        <v>-57.896801873996928</v>
      </c>
      <c r="K1432" s="8">
        <f t="shared" si="341"/>
        <v>266.54492590139245</v>
      </c>
      <c r="L1432" s="8">
        <f t="shared" si="342"/>
        <v>-11.194886887858482</v>
      </c>
      <c r="M1432" s="8">
        <f t="shared" si="339"/>
        <v>93.792819035874999</v>
      </c>
      <c r="N1432" s="8">
        <f t="shared" si="343"/>
        <v>25.000000000000011</v>
      </c>
      <c r="O1432" s="8">
        <f t="shared" si="344"/>
        <v>27.983940295998725</v>
      </c>
    </row>
    <row r="1433" spans="1:15" x14ac:dyDescent="0.3">
      <c r="A1433" s="5">
        <f t="shared" si="330"/>
        <v>14.249999999999741</v>
      </c>
      <c r="B1433" s="5">
        <f t="shared" si="340"/>
        <v>104.91860168368498</v>
      </c>
      <c r="C1433" s="6">
        <f t="shared" si="338"/>
        <v>4046.8603506564205</v>
      </c>
      <c r="D1433" s="6">
        <f t="shared" si="331"/>
        <v>16377078.697715007</v>
      </c>
      <c r="E1433" s="7">
        <f t="shared" si="332"/>
        <v>6248571.4285714282</v>
      </c>
      <c r="F1433" s="7">
        <f t="shared" si="333"/>
        <v>124.97142857142855</v>
      </c>
      <c r="G1433" s="7">
        <f t="shared" si="334"/>
        <v>10128507.269143578</v>
      </c>
      <c r="H1433" s="6">
        <f t="shared" si="335"/>
        <v>3182.5315817982982</v>
      </c>
      <c r="I1433" s="7">
        <f t="shared" si="336"/>
        <v>-6.9162109990933436</v>
      </c>
      <c r="J1433" s="7">
        <f t="shared" si="337"/>
        <v>-57.848357941452953</v>
      </c>
      <c r="K1433" s="8">
        <f t="shared" si="341"/>
        <v>266.76813853645751</v>
      </c>
      <c r="L1433" s="8">
        <f t="shared" si="342"/>
        <v>-11.204261818531215</v>
      </c>
      <c r="M1433" s="8">
        <f t="shared" si="339"/>
        <v>93.714339865153761</v>
      </c>
      <c r="N1433" s="8">
        <f t="shared" si="343"/>
        <v>25</v>
      </c>
      <c r="O1433" s="8">
        <f t="shared" si="344"/>
        <v>27.988940069004677</v>
      </c>
    </row>
    <row r="1434" spans="1:15" x14ac:dyDescent="0.3">
      <c r="A1434" s="5">
        <f t="shared" si="330"/>
        <v>14.25999999999974</v>
      </c>
      <c r="B1434" s="5">
        <f t="shared" si="340"/>
        <v>104.84943957369406</v>
      </c>
      <c r="C1434" s="6">
        <f t="shared" si="338"/>
        <v>4044.1926692710563</v>
      </c>
      <c r="D1434" s="6">
        <f t="shared" si="331"/>
        <v>16355494.346185751</v>
      </c>
      <c r="E1434" s="7">
        <f t="shared" si="332"/>
        <v>6248571.4285714282</v>
      </c>
      <c r="F1434" s="7">
        <f t="shared" si="333"/>
        <v>124.97142857142855</v>
      </c>
      <c r="G1434" s="7">
        <f t="shared" si="334"/>
        <v>10106922.917614322</v>
      </c>
      <c r="H1434" s="6">
        <f t="shared" si="335"/>
        <v>3179.1387068849831</v>
      </c>
      <c r="I1434" s="7">
        <f t="shared" si="336"/>
        <v>-6.9220138736882868</v>
      </c>
      <c r="J1434" s="7">
        <f t="shared" si="337"/>
        <v>-57.799862406369783</v>
      </c>
      <c r="K1434" s="8">
        <f t="shared" si="341"/>
        <v>266.99196369940535</v>
      </c>
      <c r="L1434" s="8">
        <f t="shared" si="342"/>
        <v>-11.213662475375024</v>
      </c>
      <c r="M1434" s="8">
        <f t="shared" si="339"/>
        <v>93.635777098319039</v>
      </c>
      <c r="N1434" s="8">
        <f t="shared" si="343"/>
        <v>25.000000000000007</v>
      </c>
      <c r="O1434" s="8">
        <f t="shared" si="344"/>
        <v>27.993957764562719</v>
      </c>
    </row>
    <row r="1435" spans="1:15" x14ac:dyDescent="0.3">
      <c r="A1435" s="5">
        <f t="shared" si="330"/>
        <v>14.26999999999974</v>
      </c>
      <c r="B1435" s="5">
        <f t="shared" si="340"/>
        <v>104.78021943495717</v>
      </c>
      <c r="C1435" s="6">
        <f t="shared" si="338"/>
        <v>4041.5227496340622</v>
      </c>
      <c r="D1435" s="6">
        <f t="shared" si="331"/>
        <v>16333906.135809671</v>
      </c>
      <c r="E1435" s="7">
        <f t="shared" si="332"/>
        <v>6248571.4285714282</v>
      </c>
      <c r="F1435" s="7">
        <f t="shared" si="333"/>
        <v>124.97142857142855</v>
      </c>
      <c r="G1435" s="7">
        <f t="shared" si="334"/>
        <v>10085334.707238242</v>
      </c>
      <c r="H1435" s="6">
        <f t="shared" si="335"/>
        <v>3175.7415995698143</v>
      </c>
      <c r="I1435" s="7">
        <f t="shared" si="336"/>
        <v>-6.9278327051323005</v>
      </c>
      <c r="J1435" s="7">
        <f t="shared" si="337"/>
        <v>-57.75131509422399</v>
      </c>
      <c r="K1435" s="8">
        <f t="shared" si="341"/>
        <v>267.21640434081729</v>
      </c>
      <c r="L1435" s="8">
        <f t="shared" si="342"/>
        <v>-11.223088982314325</v>
      </c>
      <c r="M1435" s="8">
        <f t="shared" si="339"/>
        <v>93.557130452642852</v>
      </c>
      <c r="N1435" s="8">
        <f t="shared" si="343"/>
        <v>25.000000000000004</v>
      </c>
      <c r="O1435" s="8">
        <f t="shared" si="344"/>
        <v>27.998993483451077</v>
      </c>
    </row>
    <row r="1436" spans="1:15" x14ac:dyDescent="0.3">
      <c r="A1436" s="5">
        <f t="shared" si="330"/>
        <v>14.27999999999974</v>
      </c>
      <c r="B1436" s="5">
        <f t="shared" si="340"/>
        <v>104.71094110790585</v>
      </c>
      <c r="C1436" s="6">
        <f t="shared" si="338"/>
        <v>4038.8505855906542</v>
      </c>
      <c r="D1436" s="6">
        <f t="shared" si="331"/>
        <v>16312314.052725971</v>
      </c>
      <c r="E1436" s="7">
        <f t="shared" si="332"/>
        <v>6248571.4285714282</v>
      </c>
      <c r="F1436" s="7">
        <f t="shared" si="333"/>
        <v>124.97142857142855</v>
      </c>
      <c r="G1436" s="7">
        <f t="shared" si="334"/>
        <v>10063742.624154542</v>
      </c>
      <c r="H1436" s="6">
        <f t="shared" si="335"/>
        <v>3172.3402440713294</v>
      </c>
      <c r="I1436" s="7">
        <f t="shared" si="336"/>
        <v>-6.9336675704564188</v>
      </c>
      <c r="J1436" s="7">
        <f t="shared" si="337"/>
        <v>-57.702715829485477</v>
      </c>
      <c r="K1436" s="8">
        <f t="shared" si="341"/>
        <v>267.44146343189044</v>
      </c>
      <c r="L1436" s="8">
        <f t="shared" si="342"/>
        <v>-11.232541464139397</v>
      </c>
      <c r="M1436" s="8">
        <f t="shared" si="339"/>
        <v>93.478399643766451</v>
      </c>
      <c r="N1436" s="8">
        <f t="shared" si="343"/>
        <v>25.000000000000007</v>
      </c>
      <c r="O1436" s="8">
        <f t="shared" si="344"/>
        <v>28.004047327228836</v>
      </c>
    </row>
    <row r="1437" spans="1:15" x14ac:dyDescent="0.3">
      <c r="A1437" s="5">
        <f t="shared" si="330"/>
        <v>14.28999999999974</v>
      </c>
      <c r="B1437" s="5">
        <f t="shared" si="340"/>
        <v>104.64160443220129</v>
      </c>
      <c r="C1437" s="6">
        <f t="shared" si="338"/>
        <v>4036.1761709563352</v>
      </c>
      <c r="D1437" s="6">
        <f t="shared" si="331"/>
        <v>16290718.082995744</v>
      </c>
      <c r="E1437" s="7">
        <f t="shared" si="332"/>
        <v>6248571.4285714282</v>
      </c>
      <c r="F1437" s="7">
        <f t="shared" si="333"/>
        <v>124.97142857142855</v>
      </c>
      <c r="G1437" s="7">
        <f t="shared" si="334"/>
        <v>10042146.654424317</v>
      </c>
      <c r="H1437" s="6">
        <f t="shared" si="335"/>
        <v>3168.9346245109441</v>
      </c>
      <c r="I1437" s="7">
        <f t="shared" si="336"/>
        <v>-6.939518547231069</v>
      </c>
      <c r="J1437" s="7">
        <f t="shared" si="337"/>
        <v>-57.654064435609236</v>
      </c>
      <c r="K1437" s="8">
        <f t="shared" si="341"/>
        <v>267.66714396462692</v>
      </c>
      <c r="L1437" s="8">
        <f t="shared" si="342"/>
        <v>-11.242020046514329</v>
      </c>
      <c r="M1437" s="8">
        <f t="shared" si="339"/>
        <v>93.399584385686964</v>
      </c>
      <c r="N1437" s="8">
        <f t="shared" si="343"/>
        <v>24.999999999999993</v>
      </c>
      <c r="O1437" s="8">
        <f t="shared" si="344"/>
        <v>28.009119398243566</v>
      </c>
    </row>
    <row r="1438" spans="1:15" x14ac:dyDescent="0.3">
      <c r="A1438" s="5">
        <f t="shared" si="330"/>
        <v>14.29999999999974</v>
      </c>
      <c r="B1438" s="5">
        <f t="shared" si="340"/>
        <v>104.57220924672897</v>
      </c>
      <c r="C1438" s="6">
        <f t="shared" si="338"/>
        <v>4033.499499516689</v>
      </c>
      <c r="D1438" s="6">
        <f t="shared" si="331"/>
        <v>16269118.21260138</v>
      </c>
      <c r="E1438" s="7">
        <f t="shared" si="332"/>
        <v>6248571.4285714282</v>
      </c>
      <c r="F1438" s="7">
        <f t="shared" si="333"/>
        <v>124.97142857142855</v>
      </c>
      <c r="G1438" s="7">
        <f t="shared" si="334"/>
        <v>10020546.784029953</v>
      </c>
      <c r="H1438" s="6">
        <f t="shared" si="335"/>
        <v>3165.5247249121198</v>
      </c>
      <c r="I1438" s="7">
        <f t="shared" si="336"/>
        <v>-6.9453857135710848</v>
      </c>
      <c r="J1438" s="7">
        <f t="shared" si="337"/>
        <v>-57.605360735027062</v>
      </c>
      <c r="K1438" s="8">
        <f t="shared" si="341"/>
        <v>267.89344895202754</v>
      </c>
      <c r="L1438" s="8">
        <f t="shared" si="342"/>
        <v>-11.251524855985156</v>
      </c>
      <c r="M1438" s="8">
        <f t="shared" si="339"/>
        <v>93.320684390743821</v>
      </c>
      <c r="N1438" s="8">
        <f t="shared" si="343"/>
        <v>25.000000000000004</v>
      </c>
      <c r="O1438" s="8">
        <f t="shared" si="344"/>
        <v>28.014209799639332</v>
      </c>
    </row>
    <row r="1439" spans="1:15" x14ac:dyDescent="0.3">
      <c r="A1439" s="5">
        <f t="shared" si="330"/>
        <v>14.309999999999739</v>
      </c>
      <c r="B1439" s="5">
        <f t="shared" si="340"/>
        <v>104.50275538959326</v>
      </c>
      <c r="C1439" s="6">
        <f t="shared" si="338"/>
        <v>4030.8205650271684</v>
      </c>
      <c r="D1439" s="6">
        <f t="shared" si="331"/>
        <v>16247514.427445941</v>
      </c>
      <c r="E1439" s="7">
        <f t="shared" si="332"/>
        <v>6248571.4285714282</v>
      </c>
      <c r="F1439" s="7">
        <f t="shared" si="333"/>
        <v>124.97142857142855</v>
      </c>
      <c r="G1439" s="7">
        <f t="shared" si="334"/>
        <v>9998942.9988745116</v>
      </c>
      <c r="H1439" s="6">
        <f t="shared" si="335"/>
        <v>3162.1105291995268</v>
      </c>
      <c r="I1439" s="7">
        <f t="shared" si="336"/>
        <v>-6.9512691481407094</v>
      </c>
      <c r="J1439" s="7">
        <f t="shared" si="337"/>
        <v>-57.556604549139088</v>
      </c>
      <c r="K1439" s="8">
        <f t="shared" si="341"/>
        <v>268.12038142828447</v>
      </c>
      <c r="L1439" s="8">
        <f t="shared" si="342"/>
        <v>-11.261056019987947</v>
      </c>
      <c r="M1439" s="8">
        <f t="shared" si="339"/>
        <v>93.241699369605314</v>
      </c>
      <c r="N1439" s="8">
        <f t="shared" si="343"/>
        <v>25.000000000000007</v>
      </c>
      <c r="O1439" s="8">
        <f t="shared" si="344"/>
        <v>28.019318635364456</v>
      </c>
    </row>
    <row r="1440" spans="1:15" x14ac:dyDescent="0.3">
      <c r="A1440" s="5">
        <f t="shared" si="330"/>
        <v>14.319999999999739</v>
      </c>
      <c r="B1440" s="5">
        <f t="shared" si="340"/>
        <v>104.43324269811185</v>
      </c>
      <c r="C1440" s="6">
        <f t="shared" si="338"/>
        <v>4028.1393612128854</v>
      </c>
      <c r="D1440" s="6">
        <f t="shared" si="331"/>
        <v>16225906.713352554</v>
      </c>
      <c r="E1440" s="7">
        <f t="shared" si="332"/>
        <v>6248571.4285714282</v>
      </c>
      <c r="F1440" s="7">
        <f t="shared" si="333"/>
        <v>124.97142857142855</v>
      </c>
      <c r="G1440" s="7">
        <f t="shared" si="334"/>
        <v>9977335.2847811244</v>
      </c>
      <c r="H1440" s="6">
        <f t="shared" si="335"/>
        <v>3158.6920211981928</v>
      </c>
      <c r="I1440" s="7">
        <f t="shared" si="336"/>
        <v>-6.957168930158721</v>
      </c>
      <c r="J1440" s="7">
        <f t="shared" si="337"/>
        <v>-57.507795698305394</v>
      </c>
      <c r="K1440" s="8">
        <f t="shared" si="341"/>
        <v>268.34794444897921</v>
      </c>
      <c r="L1440" s="8">
        <f t="shared" si="342"/>
        <v>-11.270613666857125</v>
      </c>
      <c r="M1440" s="8">
        <f t="shared" si="339"/>
        <v>93.162629031254724</v>
      </c>
      <c r="N1440" s="8">
        <f t="shared" si="343"/>
        <v>25</v>
      </c>
      <c r="O1440" s="8">
        <f t="shared" si="344"/>
        <v>28.024446010179684</v>
      </c>
    </row>
    <row r="1441" spans="1:15" x14ac:dyDescent="0.3">
      <c r="A1441" s="5">
        <f t="shared" si="330"/>
        <v>14.329999999999739</v>
      </c>
      <c r="B1441" s="5">
        <f t="shared" si="340"/>
        <v>104.36367100881027</v>
      </c>
      <c r="C1441" s="6">
        <f t="shared" si="338"/>
        <v>4025.455881768396</v>
      </c>
      <c r="D1441" s="6">
        <f t="shared" si="331"/>
        <v>16204295.056063775</v>
      </c>
      <c r="E1441" s="7">
        <f t="shared" si="332"/>
        <v>6248571.4285714282</v>
      </c>
      <c r="F1441" s="7">
        <f t="shared" si="333"/>
        <v>124.97142857142855</v>
      </c>
      <c r="G1441" s="7">
        <f t="shared" si="334"/>
        <v>9955723.6274923459</v>
      </c>
      <c r="H1441" s="6">
        <f t="shared" si="335"/>
        <v>3155.2691846326434</v>
      </c>
      <c r="I1441" s="7">
        <f t="shared" si="336"/>
        <v>-6.9630851394036002</v>
      </c>
      <c r="J1441" s="7">
        <f t="shared" si="337"/>
        <v>-57.458934001837314</v>
      </c>
      <c r="K1441" s="8">
        <f t="shared" si="341"/>
        <v>268.57614109128173</v>
      </c>
      <c r="L1441" s="8">
        <f t="shared" si="342"/>
        <v>-11.280197925833832</v>
      </c>
      <c r="M1441" s="8">
        <f t="shared" si="339"/>
        <v>93.08347308297644</v>
      </c>
      <c r="N1441" s="8">
        <f t="shared" si="343"/>
        <v>25.000000000000004</v>
      </c>
      <c r="O1441" s="8">
        <f t="shared" si="344"/>
        <v>28.029592029666336</v>
      </c>
    </row>
    <row r="1442" spans="1:15" x14ac:dyDescent="0.3">
      <c r="A1442" s="5">
        <f t="shared" si="330"/>
        <v>14.339999999999739</v>
      </c>
      <c r="B1442" s="5">
        <f t="shared" si="340"/>
        <v>104.29404015741623</v>
      </c>
      <c r="C1442" s="6">
        <f t="shared" si="338"/>
        <v>4022.7701203574829</v>
      </c>
      <c r="D1442" s="6">
        <f t="shared" si="331"/>
        <v>16182679.441240957</v>
      </c>
      <c r="E1442" s="7">
        <f t="shared" si="332"/>
        <v>6248571.4285714282</v>
      </c>
      <c r="F1442" s="7">
        <f t="shared" si="333"/>
        <v>124.97142857142855</v>
      </c>
      <c r="G1442" s="7">
        <f t="shared" si="334"/>
        <v>9934108.0126695298</v>
      </c>
      <c r="H1442" s="6">
        <f t="shared" si="335"/>
        <v>3151.8420031260339</v>
      </c>
      <c r="I1442" s="7">
        <f t="shared" si="336"/>
        <v>-6.9690178562187297</v>
      </c>
      <c r="J1442" s="7">
        <f t="shared" si="337"/>
        <v>-57.41001927798883</v>
      </c>
      <c r="K1442" s="8">
        <f t="shared" si="341"/>
        <v>268.80497445415097</v>
      </c>
      <c r="L1442" s="8">
        <f t="shared" si="342"/>
        <v>-11.28980892707434</v>
      </c>
      <c r="M1442" s="8">
        <f t="shared" si="339"/>
        <v>93.004231230341901</v>
      </c>
      <c r="N1442" s="8">
        <f t="shared" si="343"/>
        <v>25.000000000000004</v>
      </c>
      <c r="O1442" s="8">
        <f t="shared" si="344"/>
        <v>28.034756800234469</v>
      </c>
    </row>
    <row r="1443" spans="1:15" x14ac:dyDescent="0.3">
      <c r="A1443" s="5">
        <f t="shared" si="330"/>
        <v>14.349999999999739</v>
      </c>
      <c r="B1443" s="5">
        <f t="shared" si="340"/>
        <v>104.22434997885405</v>
      </c>
      <c r="C1443" s="6">
        <f t="shared" si="338"/>
        <v>4020.0820706129416</v>
      </c>
      <c r="D1443" s="6">
        <f t="shared" si="331"/>
        <v>16161059.854463637</v>
      </c>
      <c r="E1443" s="7">
        <f t="shared" si="332"/>
        <v>6248571.4285714282</v>
      </c>
      <c r="F1443" s="7">
        <f t="shared" si="333"/>
        <v>124.97142857142855</v>
      </c>
      <c r="G1443" s="7">
        <f t="shared" si="334"/>
        <v>9912488.4258922078</v>
      </c>
      <c r="H1443" s="6">
        <f t="shared" si="335"/>
        <v>3148.4104601992744</v>
      </c>
      <c r="I1443" s="7">
        <f t="shared" si="336"/>
        <v>-6.9749671615176858</v>
      </c>
      <c r="J1443" s="7">
        <f t="shared" si="337"/>
        <v>-57.361051343947786</v>
      </c>
      <c r="K1443" s="8">
        <f t="shared" si="341"/>
        <v>269.03444765853931</v>
      </c>
      <c r="L1443" s="8">
        <f t="shared" si="342"/>
        <v>-11.29944680165865</v>
      </c>
      <c r="M1443" s="8">
        <f t="shared" si="339"/>
        <v>92.924903177195404</v>
      </c>
      <c r="N1443" s="8">
        <f t="shared" si="343"/>
        <v>25.000000000000011</v>
      </c>
      <c r="O1443" s="8">
        <f t="shared" si="344"/>
        <v>28.039940429131292</v>
      </c>
    </row>
    <row r="1444" spans="1:15" x14ac:dyDescent="0.3">
      <c r="A1444" s="5">
        <f t="shared" si="330"/>
        <v>14.359999999999738</v>
      </c>
      <c r="B1444" s="5">
        <f t="shared" si="340"/>
        <v>104.15460030723888</v>
      </c>
      <c r="C1444" s="6">
        <f t="shared" si="338"/>
        <v>4017.3917261363567</v>
      </c>
      <c r="D1444" s="6">
        <f t="shared" si="331"/>
        <v>16139436.281228855</v>
      </c>
      <c r="E1444" s="7">
        <f t="shared" si="332"/>
        <v>6248571.4285714282</v>
      </c>
      <c r="F1444" s="7">
        <f t="shared" si="333"/>
        <v>124.97142857142855</v>
      </c>
      <c r="G1444" s="7">
        <f t="shared" si="334"/>
        <v>9890864.8526574261</v>
      </c>
      <c r="H1444" s="6">
        <f t="shared" si="335"/>
        <v>3144.9745392701393</v>
      </c>
      <c r="I1444" s="7">
        <f t="shared" si="336"/>
        <v>-6.9809331367895782</v>
      </c>
      <c r="J1444" s="7">
        <f t="shared" si="337"/>
        <v>-57.31203001582702</v>
      </c>
      <c r="K1444" s="8">
        <f t="shared" si="341"/>
        <v>269.26456384759803</v>
      </c>
      <c r="L1444" s="8">
        <f t="shared" si="342"/>
        <v>-11.309111681599116</v>
      </c>
      <c r="M1444" s="8">
        <f t="shared" si="339"/>
        <v>92.84548862563976</v>
      </c>
      <c r="N1444" s="8">
        <f t="shared" si="343"/>
        <v>25.000000000000014</v>
      </c>
      <c r="O1444" s="8">
        <f t="shared" si="344"/>
        <v>28.045143024449576</v>
      </c>
    </row>
    <row r="1445" spans="1:15" x14ac:dyDescent="0.3">
      <c r="A1445" s="5">
        <f t="shared" si="330"/>
        <v>14.369999999999738</v>
      </c>
      <c r="B1445" s="5">
        <f t="shared" si="340"/>
        <v>104.08479097587099</v>
      </c>
      <c r="C1445" s="6">
        <f t="shared" si="338"/>
        <v>4014.6990804978809</v>
      </c>
      <c r="D1445" s="6">
        <f t="shared" si="331"/>
        <v>16117808.70695053</v>
      </c>
      <c r="E1445" s="7">
        <f t="shared" si="332"/>
        <v>6248571.4285714282</v>
      </c>
      <c r="F1445" s="7">
        <f t="shared" si="333"/>
        <v>124.97142857142855</v>
      </c>
      <c r="G1445" s="7">
        <f t="shared" si="334"/>
        <v>9869237.2783791013</v>
      </c>
      <c r="H1445" s="6">
        <f t="shared" si="335"/>
        <v>3141.5342236523702</v>
      </c>
      <c r="I1445" s="7">
        <f t="shared" si="336"/>
        <v>-6.9869158641044535</v>
      </c>
      <c r="J1445" s="7">
        <f t="shared" si="337"/>
        <v>-57.262955108655433</v>
      </c>
      <c r="K1445" s="8">
        <f t="shared" si="341"/>
        <v>269.49532618688607</v>
      </c>
      <c r="L1445" s="8">
        <f t="shared" si="342"/>
        <v>-11.318803699849214</v>
      </c>
      <c r="M1445" s="8">
        <f t="shared" si="339"/>
        <v>92.765987276021775</v>
      </c>
      <c r="N1445" s="8">
        <f t="shared" si="343"/>
        <v>25.000000000000011</v>
      </c>
      <c r="O1445" s="8">
        <f t="shared" si="344"/>
        <v>28.05036469513621</v>
      </c>
    </row>
    <row r="1446" spans="1:15" x14ac:dyDescent="0.3">
      <c r="A1446" s="5">
        <f t="shared" si="330"/>
        <v>14.379999999999738</v>
      </c>
      <c r="B1446" s="5">
        <f t="shared" si="340"/>
        <v>104.01492181722995</v>
      </c>
      <c r="C1446" s="6">
        <f t="shared" si="338"/>
        <v>4012.0041272360122</v>
      </c>
      <c r="D1446" s="6">
        <f t="shared" si="331"/>
        <v>16096177.116958795</v>
      </c>
      <c r="E1446" s="7">
        <f t="shared" si="332"/>
        <v>6248571.4285714282</v>
      </c>
      <c r="F1446" s="7">
        <f t="shared" si="333"/>
        <v>124.97142857142855</v>
      </c>
      <c r="G1446" s="7">
        <f t="shared" si="334"/>
        <v>9847605.6883873679</v>
      </c>
      <c r="H1446" s="6">
        <f t="shared" si="335"/>
        <v>3138.0894965547695</v>
      </c>
      <c r="I1446" s="7">
        <f t="shared" si="336"/>
        <v>-6.9929154261187696</v>
      </c>
      <c r="J1446" s="7">
        <f t="shared" si="337"/>
        <v>-57.213826436368862</v>
      </c>
      <c r="K1446" s="8">
        <f t="shared" si="341"/>
        <v>269.72673786458108</v>
      </c>
      <c r="L1446" s="8">
        <f t="shared" si="342"/>
        <v>-11.328522990312404</v>
      </c>
      <c r="M1446" s="8">
        <f t="shared" si="339"/>
        <v>92.686398826917539</v>
      </c>
      <c r="N1446" s="8">
        <f t="shared" si="343"/>
        <v>25.000000000000004</v>
      </c>
      <c r="O1446" s="8">
        <f t="shared" si="344"/>
        <v>28.055605551000877</v>
      </c>
    </row>
    <row r="1447" spans="1:15" x14ac:dyDescent="0.3">
      <c r="A1447" s="5">
        <f t="shared" si="330"/>
        <v>14.389999999999738</v>
      </c>
      <c r="B1447" s="5">
        <f t="shared" si="340"/>
        <v>103.94499266296876</v>
      </c>
      <c r="C1447" s="6">
        <f t="shared" si="338"/>
        <v>4009.3068598573664</v>
      </c>
      <c r="D1447" s="6">
        <f t="shared" si="331"/>
        <v>16074541.496499335</v>
      </c>
      <c r="E1447" s="7">
        <f t="shared" si="332"/>
        <v>6248571.4285714282</v>
      </c>
      <c r="F1447" s="7">
        <f t="shared" si="333"/>
        <v>124.97142857142855</v>
      </c>
      <c r="G1447" s="7">
        <f t="shared" si="334"/>
        <v>9825970.0679279082</v>
      </c>
      <c r="H1447" s="6">
        <f t="shared" si="335"/>
        <v>3134.6403410802823</v>
      </c>
      <c r="I1447" s="7">
        <f t="shared" si="336"/>
        <v>-6.9989319060809212</v>
      </c>
      <c r="J1447" s="7">
        <f t="shared" si="337"/>
        <v>-57.164643811801042</v>
      </c>
      <c r="K1447" s="8">
        <f t="shared" si="341"/>
        <v>269.95880209169263</v>
      </c>
      <c r="L1447" s="8">
        <f t="shared" si="342"/>
        <v>-11.33826968785109</v>
      </c>
      <c r="M1447" s="8">
        <f t="shared" si="339"/>
        <v>92.606722975117663</v>
      </c>
      <c r="N1447" s="8">
        <f t="shared" si="343"/>
        <v>24.999999999999993</v>
      </c>
      <c r="O1447" s="8">
        <f t="shared" si="344"/>
        <v>28.060865702724826</v>
      </c>
    </row>
    <row r="1448" spans="1:15" x14ac:dyDescent="0.3">
      <c r="A1448" s="5">
        <f t="shared" si="330"/>
        <v>14.399999999999737</v>
      </c>
      <c r="B1448" s="5">
        <f t="shared" si="340"/>
        <v>103.87500334390795</v>
      </c>
      <c r="C1448" s="6">
        <f t="shared" si="338"/>
        <v>4006.6072718364494</v>
      </c>
      <c r="D1448" s="6">
        <f t="shared" si="331"/>
        <v>16052901.830732716</v>
      </c>
      <c r="E1448" s="7">
        <f t="shared" si="332"/>
        <v>6248571.4285714282</v>
      </c>
      <c r="F1448" s="7">
        <f t="shared" si="333"/>
        <v>124.97142857142855</v>
      </c>
      <c r="G1448" s="7">
        <f t="shared" si="334"/>
        <v>9804330.402161289</v>
      </c>
      <c r="H1448" s="6">
        <f t="shared" si="335"/>
        <v>3131.1867402250682</v>
      </c>
      <c r="I1448" s="7">
        <f t="shared" si="336"/>
        <v>-7.0049653878368421</v>
      </c>
      <c r="J1448" s="7">
        <f t="shared" si="337"/>
        <v>-57.11540704667425</v>
      </c>
      <c r="K1448" s="8">
        <f t="shared" si="341"/>
        <v>270.19152210227816</v>
      </c>
      <c r="L1448" s="8">
        <f t="shared" si="342"/>
        <v>-11.348043928295681</v>
      </c>
      <c r="M1448" s="8">
        <f t="shared" si="339"/>
        <v>92.526959415612268</v>
      </c>
      <c r="N1448" s="8">
        <f t="shared" si="343"/>
        <v>24.999999999999996</v>
      </c>
      <c r="O1448" s="8">
        <f t="shared" si="344"/>
        <v>28.066145261869721</v>
      </c>
    </row>
    <row r="1449" spans="1:15" x14ac:dyDescent="0.3">
      <c r="A1449" s="5">
        <f t="shared" si="330"/>
        <v>14.409999999999737</v>
      </c>
      <c r="B1449" s="5">
        <f t="shared" si="340"/>
        <v>103.80495369002958</v>
      </c>
      <c r="C1449" s="6">
        <f t="shared" si="338"/>
        <v>4003.9053566154262</v>
      </c>
      <c r="D1449" s="6">
        <f t="shared" si="331"/>
        <v>16031258.104733704</v>
      </c>
      <c r="E1449" s="7">
        <f t="shared" si="332"/>
        <v>6248571.4285714282</v>
      </c>
      <c r="F1449" s="7">
        <f t="shared" si="333"/>
        <v>124.97142857142855</v>
      </c>
      <c r="G1449" s="7">
        <f t="shared" si="334"/>
        <v>9782686.6761622764</v>
      </c>
      <c r="H1449" s="6">
        <f t="shared" si="335"/>
        <v>3127.7286768775639</v>
      </c>
      <c r="I1449" s="7">
        <f t="shared" si="336"/>
        <v>-7.0110159558356617</v>
      </c>
      <c r="J1449" s="7">
        <f t="shared" si="337"/>
        <v>-57.066115951590007</v>
      </c>
      <c r="K1449" s="8">
        <f t="shared" si="341"/>
        <v>270.42490115366121</v>
      </c>
      <c r="L1449" s="8">
        <f t="shared" si="342"/>
        <v>-11.357845848453771</v>
      </c>
      <c r="M1449" s="8">
        <f t="shared" si="339"/>
        <v>92.447107841575814</v>
      </c>
      <c r="N1449" s="8">
        <f t="shared" si="343"/>
        <v>24.999999999999996</v>
      </c>
      <c r="O1449" s="8">
        <f t="shared" si="344"/>
        <v>28.071444340886629</v>
      </c>
    </row>
    <row r="1450" spans="1:15" x14ac:dyDescent="0.3">
      <c r="A1450" s="5">
        <f t="shared" si="330"/>
        <v>14.419999999999737</v>
      </c>
      <c r="B1450" s="5">
        <f t="shared" si="340"/>
        <v>103.73484353047122</v>
      </c>
      <c r="C1450" s="6">
        <f t="shared" si="338"/>
        <v>4001.2011076038898</v>
      </c>
      <c r="D1450" s="6">
        <f t="shared" si="331"/>
        <v>16009610.303490594</v>
      </c>
      <c r="E1450" s="7">
        <f t="shared" si="332"/>
        <v>6248571.4285714282</v>
      </c>
      <c r="F1450" s="7">
        <f t="shared" si="333"/>
        <v>124.97142857142855</v>
      </c>
      <c r="G1450" s="7">
        <f t="shared" si="334"/>
        <v>9761038.8749191649</v>
      </c>
      <c r="H1450" s="6">
        <f t="shared" si="335"/>
        <v>3124.2661338175344</v>
      </c>
      <c r="I1450" s="7">
        <f t="shared" si="336"/>
        <v>-7.0170836951354465</v>
      </c>
      <c r="J1450" s="7">
        <f t="shared" si="337"/>
        <v>-57.016770336019633</v>
      </c>
      <c r="K1450" s="8">
        <f t="shared" si="341"/>
        <v>270.65894252665294</v>
      </c>
      <c r="L1450" s="8">
        <f t="shared" si="342"/>
        <v>-11.367675586119422</v>
      </c>
      <c r="M1450" s="8">
        <f t="shared" si="339"/>
        <v>92.367167944351806</v>
      </c>
      <c r="N1450" s="8">
        <f t="shared" si="343"/>
        <v>25.000000000000014</v>
      </c>
      <c r="O1450" s="8">
        <f t="shared" si="344"/>
        <v>28.076763053125145</v>
      </c>
    </row>
    <row r="1451" spans="1:15" x14ac:dyDescent="0.3">
      <c r="A1451" s="5">
        <f t="shared" si="330"/>
        <v>14.429999999999737</v>
      </c>
      <c r="B1451" s="5">
        <f t="shared" si="340"/>
        <v>103.66467269351988</v>
      </c>
      <c r="C1451" s="6">
        <f t="shared" si="338"/>
        <v>3998.4945181786234</v>
      </c>
      <c r="D1451" s="6">
        <f t="shared" si="331"/>
        <v>15987958.411904501</v>
      </c>
      <c r="E1451" s="7">
        <f t="shared" si="332"/>
        <v>6248571.4285714282</v>
      </c>
      <c r="F1451" s="7">
        <f t="shared" si="333"/>
        <v>124.97142857142855</v>
      </c>
      <c r="G1451" s="7">
        <f t="shared" si="334"/>
        <v>9739386.9833330736</v>
      </c>
      <c r="H1451" s="6">
        <f t="shared" si="335"/>
        <v>3120.7990937151135</v>
      </c>
      <c r="I1451" s="7">
        <f t="shared" si="336"/>
        <v>-7.0231686914089737</v>
      </c>
      <c r="J1451" s="7">
        <f t="shared" si="337"/>
        <v>-56.967370008294658</v>
      </c>
      <c r="K1451" s="8">
        <f t="shared" si="341"/>
        <v>270.89364952577466</v>
      </c>
      <c r="L1451" s="8">
        <f t="shared" si="342"/>
        <v>-11.377533280082535</v>
      </c>
      <c r="M1451" s="8">
        <f t="shared" si="339"/>
        <v>92.287139413437345</v>
      </c>
      <c r="N1451" s="8">
        <f t="shared" si="343"/>
        <v>25</v>
      </c>
      <c r="O1451" s="8">
        <f t="shared" si="344"/>
        <v>28.082101512842517</v>
      </c>
    </row>
    <row r="1452" spans="1:15" x14ac:dyDescent="0.3">
      <c r="A1452" s="5">
        <f t="shared" si="330"/>
        <v>14.439999999999737</v>
      </c>
      <c r="B1452" s="5">
        <f t="shared" si="340"/>
        <v>103.59444100660579</v>
      </c>
      <c r="C1452" s="6">
        <f t="shared" si="338"/>
        <v>3995.7855816833662</v>
      </c>
      <c r="D1452" s="6">
        <f t="shared" si="331"/>
        <v>15966302.414788676</v>
      </c>
      <c r="E1452" s="7">
        <f t="shared" si="332"/>
        <v>6248571.4285714282</v>
      </c>
      <c r="F1452" s="7">
        <f t="shared" si="333"/>
        <v>124.97142857142855</v>
      </c>
      <c r="G1452" s="7">
        <f t="shared" si="334"/>
        <v>9717730.9862172492</v>
      </c>
      <c r="H1452" s="6">
        <f t="shared" si="335"/>
        <v>3117.3275391298312</v>
      </c>
      <c r="I1452" s="7">
        <f t="shared" si="336"/>
        <v>-7.0292710309496416</v>
      </c>
      <c r="J1452" s="7">
        <f t="shared" si="337"/>
        <v>-56.917914775597154</v>
      </c>
      <c r="K1452" s="8">
        <f t="shared" si="341"/>
        <v>271.12902547948619</v>
      </c>
      <c r="L1452" s="8">
        <f t="shared" si="342"/>
        <v>-11.387419070138419</v>
      </c>
      <c r="M1452" s="8">
        <f t="shared" si="339"/>
        <v>92.20702193646737</v>
      </c>
      <c r="N1452" s="8">
        <f t="shared" si="343"/>
        <v>25.000000000000004</v>
      </c>
      <c r="O1452" s="8">
        <f t="shared" si="344"/>
        <v>28.087459835213149</v>
      </c>
    </row>
    <row r="1453" spans="1:15" x14ac:dyDescent="0.3">
      <c r="A1453" s="5">
        <f t="shared" si="330"/>
        <v>14.449999999999736</v>
      </c>
      <c r="B1453" s="5">
        <f t="shared" si="340"/>
        <v>103.52414829629629</v>
      </c>
      <c r="C1453" s="6">
        <f t="shared" si="338"/>
        <v>3993.0742914285711</v>
      </c>
      <c r="D1453" s="6">
        <f t="shared" si="331"/>
        <v>15944642.296867786</v>
      </c>
      <c r="E1453" s="7">
        <f t="shared" si="332"/>
        <v>6248571.4285714282</v>
      </c>
      <c r="F1453" s="7">
        <f t="shared" si="333"/>
        <v>124.97142857142855</v>
      </c>
      <c r="G1453" s="7">
        <f t="shared" si="334"/>
        <v>9696070.8682963587</v>
      </c>
      <c r="H1453" s="6">
        <f t="shared" si="335"/>
        <v>3113.8514525096343</v>
      </c>
      <c r="I1453" s="7">
        <f t="shared" si="336"/>
        <v>-7.0353908006773649</v>
      </c>
      <c r="J1453" s="7">
        <f t="shared" si="337"/>
        <v>-56.868404443949984</v>
      </c>
      <c r="K1453" s="8">
        <f t="shared" si="341"/>
        <v>271.36507374041264</v>
      </c>
      <c r="L1453" s="8">
        <f t="shared" si="342"/>
        <v>-11.397333097097329</v>
      </c>
      <c r="M1453" s="8">
        <f t="shared" si="339"/>
        <v>92.126815199198958</v>
      </c>
      <c r="N1453" s="8">
        <f t="shared" si="343"/>
        <v>24.999999999999993</v>
      </c>
      <c r="O1453" s="8">
        <f t="shared" si="344"/>
        <v>28.092838136337857</v>
      </c>
    </row>
    <row r="1454" spans="1:15" x14ac:dyDescent="0.3">
      <c r="A1454" s="5">
        <f t="shared" si="330"/>
        <v>14.459999999999736</v>
      </c>
      <c r="B1454" s="5">
        <f t="shared" si="340"/>
        <v>103.45379438828951</v>
      </c>
      <c r="C1454" s="6">
        <f t="shared" si="338"/>
        <v>3990.3606406911667</v>
      </c>
      <c r="D1454" s="6">
        <f t="shared" si="331"/>
        <v>15922978.042777218</v>
      </c>
      <c r="E1454" s="7">
        <f t="shared" si="332"/>
        <v>6248571.4285714282</v>
      </c>
      <c r="F1454" s="7">
        <f t="shared" si="333"/>
        <v>124.97142857142855</v>
      </c>
      <c r="G1454" s="7">
        <f t="shared" si="334"/>
        <v>9674406.6142057888</v>
      </c>
      <c r="H1454" s="6">
        <f t="shared" si="335"/>
        <v>3110.3708161898944</v>
      </c>
      <c r="I1454" s="7">
        <f t="shared" si="336"/>
        <v>-7.041528088144613</v>
      </c>
      <c r="J1454" s="7">
        <f t="shared" si="337"/>
        <v>-56.818838818206949</v>
      </c>
      <c r="K1454" s="8">
        <f t="shared" si="341"/>
        <v>271.60179768557794</v>
      </c>
      <c r="L1454" s="8">
        <f t="shared" si="342"/>
        <v>-11.407275502794272</v>
      </c>
      <c r="M1454" s="8">
        <f t="shared" si="339"/>
        <v>92.046518885495232</v>
      </c>
      <c r="N1454" s="8">
        <f t="shared" si="343"/>
        <v>25.000000000000004</v>
      </c>
      <c r="O1454" s="8">
        <f t="shared" si="344"/>
        <v>28.098236533253584</v>
      </c>
    </row>
    <row r="1455" spans="1:15" x14ac:dyDescent="0.3">
      <c r="A1455" s="5">
        <f t="shared" si="330"/>
        <v>14.469999999999736</v>
      </c>
      <c r="B1455" s="5">
        <f t="shared" si="340"/>
        <v>103.38337910740806</v>
      </c>
      <c r="C1455" s="6">
        <f t="shared" si="338"/>
        <v>3987.6446227143106</v>
      </c>
      <c r="D1455" s="6">
        <f t="shared" si="331"/>
        <v>15901309.637062356</v>
      </c>
      <c r="E1455" s="7">
        <f t="shared" si="332"/>
        <v>6248571.4285714282</v>
      </c>
      <c r="F1455" s="7">
        <f t="shared" si="333"/>
        <v>124.97142857142855</v>
      </c>
      <c r="G1455" s="7">
        <f t="shared" si="334"/>
        <v>9652738.2084909268</v>
      </c>
      <c r="H1455" s="6">
        <f t="shared" si="335"/>
        <v>3106.8856123924047</v>
      </c>
      <c r="I1455" s="7">
        <f t="shared" si="336"/>
        <v>-7.047682981542458</v>
      </c>
      <c r="J1455" s="7">
        <f t="shared" si="337"/>
        <v>-56.769217702042766</v>
      </c>
      <c r="K1455" s="8">
        <f t="shared" si="341"/>
        <v>271.83920071663766</v>
      </c>
      <c r="L1455" s="8">
        <f t="shared" si="342"/>
        <v>-11.41724643009878</v>
      </c>
      <c r="M1455" s="8">
        <f t="shared" si="339"/>
        <v>91.966132677309275</v>
      </c>
      <c r="N1455" s="8">
        <f t="shared" si="343"/>
        <v>25.000000000000007</v>
      </c>
      <c r="O1455" s="8">
        <f t="shared" si="344"/>
        <v>28.103655143942945</v>
      </c>
    </row>
    <row r="1456" spans="1:15" x14ac:dyDescent="0.3">
      <c r="A1456" s="5">
        <f t="shared" si="330"/>
        <v>14.479999999999736</v>
      </c>
      <c r="B1456" s="5">
        <f t="shared" si="340"/>
        <v>103.31290227759264</v>
      </c>
      <c r="C1456" s="6">
        <f t="shared" si="338"/>
        <v>3984.9262307071444</v>
      </c>
      <c r="D1456" s="6">
        <f t="shared" si="331"/>
        <v>15879637.06417785</v>
      </c>
      <c r="E1456" s="7">
        <f t="shared" si="332"/>
        <v>6248571.4285714282</v>
      </c>
      <c r="F1456" s="7">
        <f t="shared" si="333"/>
        <v>124.97142857142855</v>
      </c>
      <c r="G1456" s="7">
        <f t="shared" si="334"/>
        <v>9631065.635606423</v>
      </c>
      <c r="H1456" s="6">
        <f t="shared" si="335"/>
        <v>3103.3958232243631</v>
      </c>
      <c r="I1456" s="7">
        <f t="shared" si="336"/>
        <v>-7.0538555697067569</v>
      </c>
      <c r="J1456" s="7">
        <f t="shared" si="337"/>
        <v>-56.719540897943034</v>
      </c>
      <c r="K1456" s="8">
        <f t="shared" si="341"/>
        <v>272.07728626011777</v>
      </c>
      <c r="L1456" s="8">
        <f t="shared" si="342"/>
        <v>-11.427246022924946</v>
      </c>
      <c r="M1456" s="8">
        <f t="shared" si="339"/>
        <v>91.885656254667694</v>
      </c>
      <c r="N1456" s="8">
        <f t="shared" si="343"/>
        <v>25.000000000000004</v>
      </c>
      <c r="O1456" s="8">
        <f t="shared" si="344"/>
        <v>28.109094087344147</v>
      </c>
    </row>
    <row r="1457" spans="1:15" x14ac:dyDescent="0.3">
      <c r="A1457" s="5">
        <f t="shared" si="330"/>
        <v>14.489999999999736</v>
      </c>
      <c r="B1457" s="5">
        <f t="shared" si="340"/>
        <v>103.24236372189557</v>
      </c>
      <c r="C1457" s="6">
        <f t="shared" si="338"/>
        <v>3982.2054578445432</v>
      </c>
      <c r="D1457" s="6">
        <f t="shared" si="331"/>
        <v>15857960.308486868</v>
      </c>
      <c r="E1457" s="7">
        <f t="shared" si="332"/>
        <v>6248571.4285714282</v>
      </c>
      <c r="F1457" s="7">
        <f t="shared" si="333"/>
        <v>124.97142857142855</v>
      </c>
      <c r="G1457" s="7">
        <f t="shared" si="334"/>
        <v>9609388.8799154386</v>
      </c>
      <c r="H1457" s="6">
        <f t="shared" si="335"/>
        <v>3099.9014306773429</v>
      </c>
      <c r="I1457" s="7">
        <f t="shared" si="336"/>
        <v>-7.0600459421243746</v>
      </c>
      <c r="J1457" s="7">
        <f t="shared" si="337"/>
        <v>-56.669808207193888</v>
      </c>
      <c r="K1457" s="8">
        <f t="shared" si="341"/>
        <v>272.31605776765446</v>
      </c>
      <c r="L1457" s="8">
        <f t="shared" si="342"/>
        <v>-11.437274426241485</v>
      </c>
      <c r="M1457" s="8">
        <f t="shared" si="339"/>
        <v>91.805089295654085</v>
      </c>
      <c r="N1457" s="8">
        <f t="shared" si="343"/>
        <v>25.000000000000014</v>
      </c>
      <c r="O1457" s="8">
        <f t="shared" si="344"/>
        <v>28.114553483360908</v>
      </c>
    </row>
    <row r="1458" spans="1:15" x14ac:dyDescent="0.3">
      <c r="A1458" s="5">
        <f t="shared" si="330"/>
        <v>14.499999999999735</v>
      </c>
      <c r="B1458" s="5">
        <f t="shared" si="340"/>
        <v>103.17176326247433</v>
      </c>
      <c r="C1458" s="6">
        <f t="shared" si="338"/>
        <v>3979.4822972668667</v>
      </c>
      <c r="D1458" s="6">
        <f t="shared" si="331"/>
        <v>15836279.354260379</v>
      </c>
      <c r="E1458" s="7">
        <f t="shared" si="332"/>
        <v>6248571.4285714282</v>
      </c>
      <c r="F1458" s="7">
        <f t="shared" si="333"/>
        <v>124.97142857142855</v>
      </c>
      <c r="G1458" s="7">
        <f t="shared" si="334"/>
        <v>9587707.9256889522</v>
      </c>
      <c r="H1458" s="6">
        <f t="shared" si="335"/>
        <v>3096.4024166262616</v>
      </c>
      <c r="I1458" s="7">
        <f t="shared" si="336"/>
        <v>-7.0662541889394568</v>
      </c>
      <c r="J1458" s="7">
        <f t="shared" si="337"/>
        <v>-56.620019429871867</v>
      </c>
      <c r="K1458" s="8">
        <f t="shared" si="341"/>
        <v>272.55551871623618</v>
      </c>
      <c r="L1458" s="8">
        <f t="shared" si="342"/>
        <v>-11.447331786081918</v>
      </c>
      <c r="M1458" s="8">
        <f t="shared" si="339"/>
        <v>91.724431476392411</v>
      </c>
      <c r="N1458" s="8">
        <f t="shared" si="343"/>
        <v>24.999999999999996</v>
      </c>
      <c r="O1458" s="8">
        <f t="shared" si="344"/>
        <v>28.120033452872409</v>
      </c>
    </row>
    <row r="1459" spans="1:15" x14ac:dyDescent="0.3">
      <c r="A1459" s="5">
        <f t="shared" si="330"/>
        <v>14.509999999999735</v>
      </c>
      <c r="B1459" s="5">
        <f t="shared" si="340"/>
        <v>103.10110072058494</v>
      </c>
      <c r="C1459" s="6">
        <f t="shared" si="338"/>
        <v>3976.7567420797045</v>
      </c>
      <c r="D1459" s="6">
        <f t="shared" si="331"/>
        <v>15814594.185676385</v>
      </c>
      <c r="E1459" s="7">
        <f t="shared" si="332"/>
        <v>6248571.4285714282</v>
      </c>
      <c r="F1459" s="7">
        <f t="shared" si="333"/>
        <v>124.97142857142855</v>
      </c>
      <c r="G1459" s="7">
        <f t="shared" si="334"/>
        <v>9566022.7571049556</v>
      </c>
      <c r="H1459" s="6">
        <f t="shared" si="335"/>
        <v>3092.8987628283203</v>
      </c>
      <c r="I1459" s="7">
        <f t="shared" si="336"/>
        <v>-7.0724804009598659</v>
      </c>
      <c r="J1459" s="7">
        <f t="shared" si="337"/>
        <v>-56.570174364833321</v>
      </c>
      <c r="K1459" s="8">
        <f t="shared" si="341"/>
        <v>272.79567260845198</v>
      </c>
      <c r="L1459" s="8">
        <f t="shared" si="342"/>
        <v>-11.457418249554982</v>
      </c>
      <c r="M1459" s="8">
        <f t="shared" si="339"/>
        <v>91.643682471029962</v>
      </c>
      <c r="N1459" s="8">
        <f t="shared" si="343"/>
        <v>25.000000000000018</v>
      </c>
      <c r="O1459" s="8">
        <f t="shared" si="344"/>
        <v>28.125534117743722</v>
      </c>
    </row>
    <row r="1460" spans="1:15" x14ac:dyDescent="0.3">
      <c r="A1460" s="5">
        <f t="shared" si="330"/>
        <v>14.519999999999735</v>
      </c>
      <c r="B1460" s="5">
        <f t="shared" si="340"/>
        <v>103.03037591657534</v>
      </c>
      <c r="C1460" s="6">
        <f t="shared" si="338"/>
        <v>3974.0287853536202</v>
      </c>
      <c r="D1460" s="6">
        <f t="shared" si="331"/>
        <v>15792904.786819169</v>
      </c>
      <c r="E1460" s="7">
        <f t="shared" si="332"/>
        <v>6248571.4285714282</v>
      </c>
      <c r="F1460" s="7">
        <f t="shared" si="333"/>
        <v>124.97142857142855</v>
      </c>
      <c r="G1460" s="7">
        <f t="shared" si="334"/>
        <v>9544333.3582477421</v>
      </c>
      <c r="H1460" s="6">
        <f t="shared" si="335"/>
        <v>3089.3904509219519</v>
      </c>
      <c r="I1460" s="7">
        <f t="shared" si="336"/>
        <v>-7.078724669663556</v>
      </c>
      <c r="J1460" s="7">
        <f t="shared" si="337"/>
        <v>-56.520272809703947</v>
      </c>
      <c r="K1460" s="8">
        <f t="shared" si="341"/>
        <v>273.03652297273715</v>
      </c>
      <c r="L1460" s="8">
        <f t="shared" si="342"/>
        <v>-11.467533964854958</v>
      </c>
      <c r="M1460" s="8">
        <f t="shared" si="339"/>
        <v>91.562841951720372</v>
      </c>
      <c r="N1460" s="8">
        <f t="shared" si="343"/>
        <v>25</v>
      </c>
      <c r="O1460" s="8">
        <f t="shared" si="344"/>
        <v>28.131055600835769</v>
      </c>
    </row>
    <row r="1461" spans="1:15" x14ac:dyDescent="0.3">
      <c r="A1461" s="5">
        <f t="shared" ref="A1461:A1524" si="345">A1460+$B$5</f>
        <v>14.529999999999735</v>
      </c>
      <c r="B1461" s="5">
        <f t="shared" si="340"/>
        <v>102.9595886698787</v>
      </c>
      <c r="C1461" s="6">
        <f t="shared" si="338"/>
        <v>3971.2984201238924</v>
      </c>
      <c r="D1461" s="6">
        <f t="shared" ref="D1461:D1524" si="346">POWER(C1461,2)</f>
        <v>15771211.141678523</v>
      </c>
      <c r="E1461" s="7">
        <f t="shared" ref="E1461:E1524" si="347">4*$B$2*$B$3*POWER($B$1,2)</f>
        <v>6248571.4285714282</v>
      </c>
      <c r="F1461" s="7">
        <f t="shared" ref="F1461:F1524" si="348">POWER($B$1,2)*2*$B$2</f>
        <v>124.97142857142855</v>
      </c>
      <c r="G1461" s="7">
        <f t="shared" ref="G1461:G1524" si="349">D1461-E1461</f>
        <v>9522639.7131070942</v>
      </c>
      <c r="H1461" s="6">
        <f t="shared" ref="H1461:H1524" si="350">SQRT(G1461)</f>
        <v>3085.8774624257353</v>
      </c>
      <c r="I1461" s="7">
        <f t="shared" ref="I1461:I1524" si="351">(-C1461+H1461)/F1461</f>
        <v>-7.0849870872051905</v>
      </c>
      <c r="J1461" s="7">
        <f t="shared" ref="J1461:J1524" si="352">(-C1461-H1461)/F1461</f>
        <v>-56.470314560868083</v>
      </c>
      <c r="K1461" s="8">
        <f t="shared" si="341"/>
        <v>273.27807336362878</v>
      </c>
      <c r="L1461" s="8">
        <f t="shared" si="342"/>
        <v>-11.477679081272408</v>
      </c>
      <c r="M1461" s="8">
        <f t="shared" si="339"/>
        <v>91.481909588606285</v>
      </c>
      <c r="N1461" s="8">
        <f t="shared" si="343"/>
        <v>25.000000000000004</v>
      </c>
      <c r="O1461" s="8">
        <f t="shared" si="344"/>
        <v>28.136598026016152</v>
      </c>
    </row>
    <row r="1462" spans="1:15" x14ac:dyDescent="0.3">
      <c r="A1462" s="5">
        <f t="shared" si="345"/>
        <v>14.539999999999734</v>
      </c>
      <c r="B1462" s="5">
        <f t="shared" si="340"/>
        <v>102.88873879900665</v>
      </c>
      <c r="C1462" s="6">
        <f t="shared" si="338"/>
        <v>3968.5656393902559</v>
      </c>
      <c r="D1462" s="6">
        <f t="shared" si="346"/>
        <v>15749513.23414899</v>
      </c>
      <c r="E1462" s="7">
        <f t="shared" si="347"/>
        <v>6248571.4285714282</v>
      </c>
      <c r="F1462" s="7">
        <f t="shared" si="348"/>
        <v>124.97142857142855</v>
      </c>
      <c r="G1462" s="7">
        <f t="shared" si="349"/>
        <v>9500941.8055775613</v>
      </c>
      <c r="H1462" s="6">
        <f t="shared" si="350"/>
        <v>3082.3597787373169</v>
      </c>
      <c r="I1462" s="7">
        <f t="shared" si="351"/>
        <v>-7.0912677464226954</v>
      </c>
      <c r="J1462" s="7">
        <f t="shared" si="352"/>
        <v>-56.420299413457954</v>
      </c>
      <c r="K1462" s="8">
        <f t="shared" si="341"/>
        <v>273.52032736201824</v>
      </c>
      <c r="L1462" s="8">
        <f t="shared" si="342"/>
        <v>-11.487853749204765</v>
      </c>
      <c r="M1462" s="8">
        <f t="shared" si="339"/>
        <v>91.400885049801886</v>
      </c>
      <c r="N1462" s="8">
        <f t="shared" si="343"/>
        <v>25.000000000000011</v>
      </c>
      <c r="O1462" s="8">
        <f t="shared" si="344"/>
        <v>28.142161518169484</v>
      </c>
    </row>
    <row r="1463" spans="1:15" x14ac:dyDescent="0.3">
      <c r="A1463" s="5">
        <f t="shared" si="345"/>
        <v>14.549999999999734</v>
      </c>
      <c r="B1463" s="5">
        <f t="shared" si="340"/>
        <v>102.81782612154242</v>
      </c>
      <c r="C1463" s="6">
        <f t="shared" si="338"/>
        <v>3965.8304361166361</v>
      </c>
      <c r="D1463" s="6">
        <f t="shared" si="346"/>
        <v>15727811.048029067</v>
      </c>
      <c r="E1463" s="7">
        <f t="shared" si="347"/>
        <v>6248571.4285714282</v>
      </c>
      <c r="F1463" s="7">
        <f t="shared" si="348"/>
        <v>124.97142857142855</v>
      </c>
      <c r="G1463" s="7">
        <f t="shared" si="349"/>
        <v>9479239.6194576398</v>
      </c>
      <c r="H1463" s="6">
        <f t="shared" si="350"/>
        <v>3078.8373811323067</v>
      </c>
      <c r="I1463" s="7">
        <f t="shared" si="351"/>
        <v>-7.0975667408439715</v>
      </c>
      <c r="J1463" s="7">
        <f t="shared" si="352"/>
        <v>-56.370227161342719</v>
      </c>
      <c r="K1463" s="8">
        <f t="shared" si="341"/>
        <v>273.76328857541034</v>
      </c>
      <c r="L1463" s="8">
        <f t="shared" si="342"/>
        <v>-11.498058120167233</v>
      </c>
      <c r="M1463" s="8">
        <f t="shared" si="339"/>
        <v>91.319768001375195</v>
      </c>
      <c r="N1463" s="8">
        <f t="shared" si="343"/>
        <v>25</v>
      </c>
      <c r="O1463" s="8">
        <f t="shared" si="344"/>
        <v>28.147746203208182</v>
      </c>
    </row>
    <row r="1464" spans="1:15" x14ac:dyDescent="0.3">
      <c r="A1464" s="5">
        <f t="shared" si="345"/>
        <v>14.559999999999734</v>
      </c>
      <c r="B1464" s="5">
        <f t="shared" si="340"/>
        <v>102.74685045413399</v>
      </c>
      <c r="C1464" s="6">
        <f t="shared" si="338"/>
        <v>3963.0928032308825</v>
      </c>
      <c r="D1464" s="6">
        <f t="shared" si="346"/>
        <v>15706104.567020414</v>
      </c>
      <c r="E1464" s="7">
        <f t="shared" si="347"/>
        <v>6248571.4285714282</v>
      </c>
      <c r="F1464" s="7">
        <f t="shared" si="348"/>
        <v>124.97142857142855</v>
      </c>
      <c r="G1464" s="7">
        <f t="shared" si="349"/>
        <v>9457533.1384489872</v>
      </c>
      <c r="H1464" s="6">
        <f t="shared" si="350"/>
        <v>3075.3102507631629</v>
      </c>
      <c r="I1464" s="7">
        <f t="shared" si="351"/>
        <v>-7.1038841646936879</v>
      </c>
      <c r="J1464" s="7">
        <f t="shared" si="352"/>
        <v>-56.320097597117424</v>
      </c>
      <c r="K1464" s="8">
        <f t="shared" si="341"/>
        <v>274.00696063818509</v>
      </c>
      <c r="L1464" s="8">
        <f t="shared" si="342"/>
        <v>-11.508292346803772</v>
      </c>
      <c r="M1464" s="8">
        <f t="shared" si="339"/>
        <v>91.238558107330221</v>
      </c>
      <c r="N1464" s="8">
        <f t="shared" si="343"/>
        <v>24.999999999999996</v>
      </c>
      <c r="O1464" s="8">
        <f t="shared" si="344"/>
        <v>28.153352208083383</v>
      </c>
    </row>
    <row r="1465" spans="1:15" x14ac:dyDescent="0.3">
      <c r="A1465" s="5">
        <f t="shared" si="345"/>
        <v>14.569999999999734</v>
      </c>
      <c r="B1465" s="5">
        <f t="shared" si="340"/>
        <v>102.67581161248705</v>
      </c>
      <c r="C1465" s="6">
        <f t="shared" si="338"/>
        <v>3960.3527336245006</v>
      </c>
      <c r="D1465" s="6">
        <f t="shared" si="346"/>
        <v>15684393.774727054</v>
      </c>
      <c r="E1465" s="7">
        <f t="shared" si="347"/>
        <v>6248571.4285714282</v>
      </c>
      <c r="F1465" s="7">
        <f t="shared" si="348"/>
        <v>124.97142857142855</v>
      </c>
      <c r="G1465" s="7">
        <f t="shared" si="349"/>
        <v>9435822.3461556248</v>
      </c>
      <c r="H1465" s="6">
        <f t="shared" si="350"/>
        <v>3071.7783686580688</v>
      </c>
      <c r="I1465" s="7">
        <f t="shared" si="351"/>
        <v>-7.1102201129001195</v>
      </c>
      <c r="J1465" s="7">
        <f t="shared" si="352"/>
        <v>-56.269910512091904</v>
      </c>
      <c r="K1465" s="8">
        <f t="shared" si="341"/>
        <v>274.25134721186174</v>
      </c>
      <c r="L1465" s="8">
        <f t="shared" si="342"/>
        <v>-11.518556582898192</v>
      </c>
      <c r="M1465" s="8">
        <f t="shared" si="339"/>
        <v>91.157255029588868</v>
      </c>
      <c r="N1465" s="8">
        <f t="shared" si="343"/>
        <v>25.000000000000007</v>
      </c>
      <c r="O1465" s="8">
        <f t="shared" si="344"/>
        <v>28.158979660795893</v>
      </c>
    </row>
    <row r="1466" spans="1:15" x14ac:dyDescent="0.3">
      <c r="A1466" s="5">
        <f t="shared" si="345"/>
        <v>14.579999999999734</v>
      </c>
      <c r="B1466" s="5">
        <f t="shared" si="340"/>
        <v>102.60470941135806</v>
      </c>
      <c r="C1466" s="6">
        <f t="shared" si="338"/>
        <v>3957.6102201523822</v>
      </c>
      <c r="D1466" s="6">
        <f t="shared" si="346"/>
        <v>15662678.654654587</v>
      </c>
      <c r="E1466" s="7">
        <f t="shared" si="347"/>
        <v>6248571.4285714282</v>
      </c>
      <c r="F1466" s="7">
        <f t="shared" si="348"/>
        <v>124.97142857142855</v>
      </c>
      <c r="G1466" s="7">
        <f t="shared" si="349"/>
        <v>9414107.2260831594</v>
      </c>
      <c r="H1466" s="6">
        <f t="shared" si="350"/>
        <v>3068.2417157197965</v>
      </c>
      <c r="I1466" s="7">
        <f t="shared" si="351"/>
        <v>-7.1165746811020822</v>
      </c>
      <c r="J1466" s="7">
        <f t="shared" si="352"/>
        <v>-56.219665696279449</v>
      </c>
      <c r="K1466" s="8">
        <f t="shared" si="341"/>
        <v>274.49645198536604</v>
      </c>
      <c r="L1466" s="8">
        <f t="shared" si="342"/>
        <v>-11.528850983385372</v>
      </c>
      <c r="M1466" s="8">
        <f t="shared" si="339"/>
        <v>91.07585842797269</v>
      </c>
      <c r="N1466" s="8">
        <f t="shared" si="343"/>
        <v>25</v>
      </c>
      <c r="O1466" s="8">
        <f t="shared" si="344"/>
        <v>28.16462869040728</v>
      </c>
    </row>
    <row r="1467" spans="1:15" x14ac:dyDescent="0.3">
      <c r="A1467" s="5">
        <f t="shared" si="345"/>
        <v>14.589999999999733</v>
      </c>
      <c r="B1467" s="5">
        <f t="shared" si="340"/>
        <v>102.53354366454704</v>
      </c>
      <c r="C1467" s="6">
        <f t="shared" si="338"/>
        <v>3954.8652556325283</v>
      </c>
      <c r="D1467" s="6">
        <f t="shared" si="346"/>
        <v>15640959.190209344</v>
      </c>
      <c r="E1467" s="7">
        <f t="shared" si="347"/>
        <v>6248571.4285714282</v>
      </c>
      <c r="F1467" s="7">
        <f t="shared" si="348"/>
        <v>124.97142857142855</v>
      </c>
      <c r="G1467" s="7">
        <f t="shared" si="349"/>
        <v>9392387.7616379149</v>
      </c>
      <c r="H1467" s="6">
        <f t="shared" si="350"/>
        <v>3064.7002727245472</v>
      </c>
      <c r="I1467" s="7">
        <f t="shared" si="351"/>
        <v>-7.1229479656560004</v>
      </c>
      <c r="J1467" s="7">
        <f t="shared" si="352"/>
        <v>-56.16936293838539</v>
      </c>
      <c r="K1467" s="8">
        <f t="shared" si="341"/>
        <v>274.74227867530288</v>
      </c>
      <c r="L1467" s="8">
        <f t="shared" si="342"/>
        <v>-11.539175704362719</v>
      </c>
      <c r="M1467" s="8">
        <f t="shared" si="339"/>
        <v>90.99436796018432</v>
      </c>
      <c r="N1467" s="8">
        <f t="shared" si="343"/>
        <v>25.000000000000011</v>
      </c>
      <c r="O1467" s="8">
        <f t="shared" si="344"/>
        <v>28.170299427051319</v>
      </c>
    </row>
    <row r="1468" spans="1:15" x14ac:dyDescent="0.3">
      <c r="A1468" s="5">
        <f t="shared" si="345"/>
        <v>14.599999999999733</v>
      </c>
      <c r="B1468" s="5">
        <f t="shared" si="340"/>
        <v>102.46231418489047</v>
      </c>
      <c r="C1468" s="6">
        <f t="shared" si="338"/>
        <v>3952.1178328457754</v>
      </c>
      <c r="D1468" s="6">
        <f t="shared" si="346"/>
        <v>15619235.364697589</v>
      </c>
      <c r="E1468" s="7">
        <f t="shared" si="347"/>
        <v>6248571.4285714282</v>
      </c>
      <c r="F1468" s="7">
        <f t="shared" si="348"/>
        <v>124.97142857142855</v>
      </c>
      <c r="G1468" s="7">
        <f t="shared" si="349"/>
        <v>9370663.9361261614</v>
      </c>
      <c r="H1468" s="6">
        <f t="shared" si="350"/>
        <v>3061.1540203207942</v>
      </c>
      <c r="I1468" s="7">
        <f t="shared" si="351"/>
        <v>-7.12934006364297</v>
      </c>
      <c r="J1468" s="7">
        <f t="shared" si="352"/>
        <v>-56.119002025795609</v>
      </c>
      <c r="K1468" s="8">
        <f t="shared" si="341"/>
        <v>274.98883102622881</v>
      </c>
      <c r="L1468" s="8">
        <f t="shared" si="342"/>
        <v>-11.549530903101608</v>
      </c>
      <c r="M1468" s="8">
        <f t="shared" si="339"/>
        <v>90.912783281788862</v>
      </c>
      <c r="N1468" s="8">
        <f t="shared" si="343"/>
        <v>24.999999999999996</v>
      </c>
      <c r="O1468" s="8">
        <f t="shared" si="344"/>
        <v>28.175992001945215</v>
      </c>
    </row>
    <row r="1469" spans="1:15" x14ac:dyDescent="0.3">
      <c r="A1469" s="5">
        <f t="shared" si="345"/>
        <v>14.609999999999733</v>
      </c>
      <c r="B1469" s="5">
        <f t="shared" si="340"/>
        <v>102.39102078425404</v>
      </c>
      <c r="C1469" s="6">
        <f t="shared" si="338"/>
        <v>3949.3679445355128</v>
      </c>
      <c r="D1469" s="6">
        <f t="shared" si="346"/>
        <v>15597507.161324661</v>
      </c>
      <c r="E1469" s="7">
        <f t="shared" si="347"/>
        <v>6248571.4285714282</v>
      </c>
      <c r="F1469" s="7">
        <f t="shared" si="348"/>
        <v>124.97142857142855</v>
      </c>
      <c r="G1469" s="7">
        <f t="shared" si="349"/>
        <v>9348935.7327532321</v>
      </c>
      <c r="H1469" s="6">
        <f t="shared" si="350"/>
        <v>3057.6029390280928</v>
      </c>
      <c r="I1469" s="7">
        <f t="shared" si="351"/>
        <v>-7.135751072876019</v>
      </c>
      <c r="J1469" s="7">
        <f t="shared" si="352"/>
        <v>-56.068582744564758</v>
      </c>
      <c r="K1469" s="8">
        <f t="shared" si="341"/>
        <v>275.23611281093213</v>
      </c>
      <c r="L1469" s="8">
        <f t="shared" si="342"/>
        <v>-11.559916738059147</v>
      </c>
      <c r="M1469" s="8">
        <f t="shared" si="339"/>
        <v>90.831104046194895</v>
      </c>
      <c r="N1469" s="8">
        <f t="shared" si="343"/>
        <v>25.000000000000011</v>
      </c>
      <c r="O1469" s="8">
        <f t="shared" si="344"/>
        <v>28.18170654740144</v>
      </c>
    </row>
    <row r="1470" spans="1:15" x14ac:dyDescent="0.3">
      <c r="A1470" s="5">
        <f t="shared" si="345"/>
        <v>14.619999999999733</v>
      </c>
      <c r="B1470" s="5">
        <f t="shared" si="340"/>
        <v>102.31966327352528</v>
      </c>
      <c r="C1470" s="6">
        <f t="shared" si="338"/>
        <v>3946.6155834074034</v>
      </c>
      <c r="D1470" s="6">
        <f t="shared" si="346"/>
        <v>15575774.563194159</v>
      </c>
      <c r="E1470" s="7">
        <f t="shared" si="347"/>
        <v>6248571.4285714282</v>
      </c>
      <c r="F1470" s="7">
        <f t="shared" si="348"/>
        <v>124.97142857142855</v>
      </c>
      <c r="G1470" s="7">
        <f t="shared" si="349"/>
        <v>9327203.1346227303</v>
      </c>
      <c r="H1470" s="6">
        <f t="shared" si="350"/>
        <v>3054.0470092358973</v>
      </c>
      <c r="I1470" s="7">
        <f t="shared" si="351"/>
        <v>-7.142181091907343</v>
      </c>
      <c r="J1470" s="7">
        <f t="shared" si="352"/>
        <v>-56.018104879404568</v>
      </c>
      <c r="K1470" s="8">
        <f t="shared" si="341"/>
        <v>275.48412783071177</v>
      </c>
      <c r="L1470" s="8">
        <f t="shared" si="342"/>
        <v>-11.570333368889893</v>
      </c>
      <c r="M1470" s="8">
        <f t="shared" si="339"/>
        <v>90.749329904635388</v>
      </c>
      <c r="N1470" s="8">
        <f t="shared" si="343"/>
        <v>25.000000000000011</v>
      </c>
      <c r="O1470" s="8">
        <f t="shared" si="344"/>
        <v>28.187443196839222</v>
      </c>
    </row>
    <row r="1471" spans="1:15" x14ac:dyDescent="0.3">
      <c r="A1471" s="5">
        <f t="shared" si="345"/>
        <v>14.629999999999733</v>
      </c>
      <c r="B1471" s="5">
        <f t="shared" si="340"/>
        <v>102.2482414626062</v>
      </c>
      <c r="C1471" s="6">
        <f t="shared" si="338"/>
        <v>3943.8607421290963</v>
      </c>
      <c r="D1471" s="6">
        <f t="shared" si="346"/>
        <v>15554037.553307066</v>
      </c>
      <c r="E1471" s="7">
        <f t="shared" si="347"/>
        <v>6248571.4285714282</v>
      </c>
      <c r="F1471" s="7">
        <f t="shared" si="348"/>
        <v>124.97142857142855</v>
      </c>
      <c r="G1471" s="7">
        <f t="shared" si="349"/>
        <v>9305466.1247356385</v>
      </c>
      <c r="H1471" s="6">
        <f t="shared" si="350"/>
        <v>3050.4862112023452</v>
      </c>
      <c r="I1471" s="7">
        <f t="shared" si="351"/>
        <v>-7.1486302200357326</v>
      </c>
      <c r="J1471" s="7">
        <f t="shared" si="352"/>
        <v>-55.967568213671811</v>
      </c>
      <c r="K1471" s="8">
        <f t="shared" si="341"/>
        <v>275.73287991566394</v>
      </c>
      <c r="L1471" s="8">
        <f t="shared" si="342"/>
        <v>-11.580780956457884</v>
      </c>
      <c r="M1471" s="8">
        <f t="shared" si="339"/>
        <v>90.667460506148316</v>
      </c>
      <c r="N1471" s="8">
        <f t="shared" si="343"/>
        <v>24.999999999999996</v>
      </c>
      <c r="O1471" s="8">
        <f t="shared" si="344"/>
        <v>28.19320208479661</v>
      </c>
    </row>
    <row r="1472" spans="1:15" x14ac:dyDescent="0.3">
      <c r="A1472" s="5">
        <f t="shared" si="345"/>
        <v>14.639999999999732</v>
      </c>
      <c r="B1472" s="5">
        <f t="shared" si="340"/>
        <v>102.17675516040585</v>
      </c>
      <c r="C1472" s="6">
        <f t="shared" si="338"/>
        <v>3941.1034133299395</v>
      </c>
      <c r="D1472" s="6">
        <f t="shared" si="346"/>
        <v>15532296.1145609</v>
      </c>
      <c r="E1472" s="7">
        <f t="shared" si="347"/>
        <v>6248571.4285714282</v>
      </c>
      <c r="F1472" s="7">
        <f t="shared" si="348"/>
        <v>124.97142857142855</v>
      </c>
      <c r="G1472" s="7">
        <f t="shared" si="349"/>
        <v>9283724.685989473</v>
      </c>
      <c r="H1472" s="6">
        <f t="shared" si="350"/>
        <v>3046.9205250530367</v>
      </c>
      <c r="I1472" s="7">
        <f t="shared" si="351"/>
        <v>-7.1550985573140382</v>
      </c>
      <c r="J1472" s="7">
        <f t="shared" si="352"/>
        <v>-55.916972529356244</v>
      </c>
      <c r="K1472" s="8">
        <f t="shared" si="341"/>
        <v>275.98237292497004</v>
      </c>
      <c r="L1472" s="8">
        <f t="shared" si="342"/>
        <v>-11.59125966284874</v>
      </c>
      <c r="M1472" s="8">
        <f t="shared" si="339"/>
        <v>90.585495497557105</v>
      </c>
      <c r="N1472" s="8">
        <f t="shared" si="343"/>
        <v>25</v>
      </c>
      <c r="O1472" s="8">
        <f t="shared" si="344"/>
        <v>28.198983346942484</v>
      </c>
    </row>
    <row r="1473" spans="1:15" x14ac:dyDescent="0.3">
      <c r="A1473" s="5">
        <f t="shared" si="345"/>
        <v>14.649999999999732</v>
      </c>
      <c r="B1473" s="5">
        <f t="shared" si="340"/>
        <v>102.10520417483271</v>
      </c>
      <c r="C1473" s="6">
        <f t="shared" si="338"/>
        <v>3938.3435896006899</v>
      </c>
      <c r="D1473" s="6">
        <f t="shared" si="346"/>
        <v>15510550.229748847</v>
      </c>
      <c r="E1473" s="7">
        <f t="shared" si="347"/>
        <v>6248571.4285714282</v>
      </c>
      <c r="F1473" s="7">
        <f t="shared" si="348"/>
        <v>124.97142857142855</v>
      </c>
      <c r="G1473" s="7">
        <f t="shared" si="349"/>
        <v>9261978.8011774197</v>
      </c>
      <c r="H1473" s="6">
        <f t="shared" si="350"/>
        <v>3043.3499307798011</v>
      </c>
      <c r="I1473" s="7">
        <f t="shared" si="351"/>
        <v>-7.1615862045567251</v>
      </c>
      <c r="J1473" s="7">
        <f t="shared" si="352"/>
        <v>-55.866317607068417</v>
      </c>
      <c r="K1473" s="8">
        <f t="shared" si="341"/>
        <v>276.23261074718795</v>
      </c>
      <c r="L1473" s="8">
        <f t="shared" si="342"/>
        <v>-11.601769651381893</v>
      </c>
      <c r="M1473" s="8">
        <f t="shared" si="339"/>
        <v>90.503434523450807</v>
      </c>
      <c r="N1473" s="8">
        <f t="shared" si="343"/>
        <v>24.999999999999996</v>
      </c>
      <c r="O1473" s="8">
        <f t="shared" si="344"/>
        <v>28.204787120088714</v>
      </c>
    </row>
    <row r="1474" spans="1:15" x14ac:dyDescent="0.3">
      <c r="A1474" s="5">
        <f t="shared" si="345"/>
        <v>14.659999999999732</v>
      </c>
      <c r="B1474" s="5">
        <f t="shared" si="340"/>
        <v>102.03358831278715</v>
      </c>
      <c r="C1474" s="6">
        <f t="shared" si="338"/>
        <v>3935.5812634932181</v>
      </c>
      <c r="D1474" s="6">
        <f t="shared" si="346"/>
        <v>15488799.881558875</v>
      </c>
      <c r="E1474" s="7">
        <f t="shared" si="347"/>
        <v>6248571.4285714282</v>
      </c>
      <c r="F1474" s="7">
        <f t="shared" si="348"/>
        <v>124.97142857142855</v>
      </c>
      <c r="G1474" s="7">
        <f t="shared" si="349"/>
        <v>9240228.4529874474</v>
      </c>
      <c r="H1474" s="6">
        <f t="shared" si="350"/>
        <v>3039.7744082394415</v>
      </c>
      <c r="I1474" s="7">
        <f t="shared" si="351"/>
        <v>-7.1680932633475507</v>
      </c>
      <c r="J1474" s="7">
        <f t="shared" si="352"/>
        <v>-55.815603226027235</v>
      </c>
      <c r="K1474" s="8">
        <f t="shared" si="341"/>
        <v>276.48359730054835</v>
      </c>
      <c r="L1474" s="8">
        <f t="shared" si="342"/>
        <v>-11.612311086623029</v>
      </c>
      <c r="M1474" s="8">
        <f t="shared" si="339"/>
        <v>90.421277226164122</v>
      </c>
      <c r="N1474" s="8">
        <f t="shared" si="343"/>
        <v>25.000000000000004</v>
      </c>
      <c r="O1474" s="8">
        <f t="shared" si="344"/>
        <v>28.210613542202577</v>
      </c>
    </row>
    <row r="1475" spans="1:15" x14ac:dyDescent="0.3">
      <c r="A1475" s="5">
        <f t="shared" si="345"/>
        <v>14.669999999999732</v>
      </c>
      <c r="B1475" s="5">
        <f t="shared" si="340"/>
        <v>101.96190738015368</v>
      </c>
      <c r="C1475" s="6">
        <f t="shared" si="338"/>
        <v>3932.816427520213</v>
      </c>
      <c r="D1475" s="6">
        <f t="shared" si="346"/>
        <v>15467045.05257285</v>
      </c>
      <c r="E1475" s="7">
        <f t="shared" si="347"/>
        <v>6248571.4285714282</v>
      </c>
      <c r="F1475" s="7">
        <f t="shared" si="348"/>
        <v>124.97142857142855</v>
      </c>
      <c r="G1475" s="7">
        <f t="shared" si="349"/>
        <v>9218473.624001421</v>
      </c>
      <c r="H1475" s="6">
        <f t="shared" si="350"/>
        <v>3036.1939371524709</v>
      </c>
      <c r="I1475" s="7">
        <f t="shared" si="351"/>
        <v>-7.1746198360473201</v>
      </c>
      <c r="J1475" s="7">
        <f t="shared" si="352"/>
        <v>-55.764829164047548</v>
      </c>
      <c r="K1475" s="8">
        <f t="shared" si="341"/>
        <v>276.73533653325376</v>
      </c>
      <c r="L1475" s="8">
        <f t="shared" si="342"/>
        <v>-11.622884134396656</v>
      </c>
      <c r="M1475" s="8">
        <f t="shared" si="339"/>
        <v>90.339023245757019</v>
      </c>
      <c r="N1475" s="8">
        <f t="shared" si="343"/>
        <v>25.000000000000004</v>
      </c>
      <c r="O1475" s="8">
        <f t="shared" si="344"/>
        <v>28.216462752419275</v>
      </c>
    </row>
    <row r="1476" spans="1:15" x14ac:dyDescent="0.3">
      <c r="A1476" s="5">
        <f t="shared" si="345"/>
        <v>14.679999999999731</v>
      </c>
      <c r="B1476" s="5">
        <f t="shared" si="340"/>
        <v>101.8901611817932</v>
      </c>
      <c r="C1476" s="6">
        <f t="shared" si="338"/>
        <v>3930.0490741548806</v>
      </c>
      <c r="D1476" s="6">
        <f t="shared" si="346"/>
        <v>15445285.725265633</v>
      </c>
      <c r="E1476" s="7">
        <f t="shared" si="347"/>
        <v>6248571.4285714282</v>
      </c>
      <c r="F1476" s="7">
        <f t="shared" si="348"/>
        <v>124.97142857142855</v>
      </c>
      <c r="G1476" s="7">
        <f t="shared" si="349"/>
        <v>9196714.2966942042</v>
      </c>
      <c r="H1476" s="6">
        <f t="shared" si="350"/>
        <v>3032.6084971018272</v>
      </c>
      <c r="I1476" s="7">
        <f t="shared" si="351"/>
        <v>-7.1811660258017547</v>
      </c>
      <c r="J1476" s="7">
        <f t="shared" si="352"/>
        <v>-55.713995197527396</v>
      </c>
      <c r="K1476" s="8">
        <f t="shared" si="341"/>
        <v>276.98783242378192</v>
      </c>
      <c r="L1476" s="8">
        <f t="shared" si="342"/>
        <v>-11.63348896179884</v>
      </c>
      <c r="M1476" s="8">
        <f t="shared" si="339"/>
        <v>90.256672219994357</v>
      </c>
      <c r="N1476" s="8">
        <f t="shared" si="343"/>
        <v>25.000000000000011</v>
      </c>
      <c r="O1476" s="8">
        <f t="shared" si="344"/>
        <v>28.222334891054665</v>
      </c>
    </row>
    <row r="1477" spans="1:15" x14ac:dyDescent="0.3">
      <c r="A1477" s="5">
        <f t="shared" si="345"/>
        <v>14.689999999999731</v>
      </c>
      <c r="B1477" s="5">
        <f t="shared" si="340"/>
        <v>101.81834952153518</v>
      </c>
      <c r="C1477" s="6">
        <f t="shared" si="338"/>
        <v>3927.2791958306425</v>
      </c>
      <c r="D1477" s="6">
        <f t="shared" si="346"/>
        <v>15423521.882004177</v>
      </c>
      <c r="E1477" s="7">
        <f t="shared" si="347"/>
        <v>6248571.4285714282</v>
      </c>
      <c r="F1477" s="7">
        <f t="shared" si="348"/>
        <v>124.97142857142855</v>
      </c>
      <c r="G1477" s="7">
        <f t="shared" si="349"/>
        <v>9174950.45343275</v>
      </c>
      <c r="H1477" s="6">
        <f t="shared" si="350"/>
        <v>3029.0180675315805</v>
      </c>
      <c r="I1477" s="7">
        <f t="shared" si="351"/>
        <v>-7.1877319365494223</v>
      </c>
      <c r="J1477" s="7">
        <f t="shared" si="352"/>
        <v>-55.663101101435267</v>
      </c>
      <c r="K1477" s="8">
        <f t="shared" si="341"/>
        <v>277.24108898119198</v>
      </c>
      <c r="L1477" s="8">
        <f t="shared" si="342"/>
        <v>-11.644125737210063</v>
      </c>
      <c r="M1477" s="8">
        <f t="shared" si="339"/>
        <v>90.174223784325122</v>
      </c>
      <c r="N1477" s="8">
        <f t="shared" si="343"/>
        <v>25</v>
      </c>
      <c r="O1477" s="8">
        <f t="shared" si="344"/>
        <v>28.228230099618042</v>
      </c>
    </row>
    <row r="1478" spans="1:15" x14ac:dyDescent="0.3">
      <c r="A1478" s="5">
        <f t="shared" si="345"/>
        <v>14.699999999999731</v>
      </c>
      <c r="B1478" s="5">
        <f t="shared" si="340"/>
        <v>101.74647220216968</v>
      </c>
      <c r="C1478" s="6">
        <f t="shared" si="338"/>
        <v>3924.5067849408306</v>
      </c>
      <c r="D1478" s="6">
        <f t="shared" si="346"/>
        <v>15401753.505046615</v>
      </c>
      <c r="E1478" s="7">
        <f t="shared" si="347"/>
        <v>6248571.4285714282</v>
      </c>
      <c r="F1478" s="7">
        <f t="shared" si="348"/>
        <v>124.97142857142855</v>
      </c>
      <c r="G1478" s="7">
        <f t="shared" si="349"/>
        <v>9153182.0764751881</v>
      </c>
      <c r="H1478" s="6">
        <f t="shared" si="350"/>
        <v>3025.422627745616</v>
      </c>
      <c r="I1478" s="7">
        <f t="shared" si="351"/>
        <v>-7.1943176730298397</v>
      </c>
      <c r="J1478" s="7">
        <f t="shared" si="352"/>
        <v>-55.612146649297131</v>
      </c>
      <c r="K1478" s="8">
        <f t="shared" si="341"/>
        <v>277.49511024543665</v>
      </c>
      <c r="L1478" s="8">
        <f t="shared" si="342"/>
        <v>-11.654794630308338</v>
      </c>
      <c r="M1478" s="8">
        <f t="shared" si="339"/>
        <v>90.091677571861339</v>
      </c>
      <c r="N1478" s="8">
        <f t="shared" si="343"/>
        <v>24.999999999999996</v>
      </c>
      <c r="O1478" s="8">
        <f t="shared" si="344"/>
        <v>28.234148520825332</v>
      </c>
    </row>
    <row r="1479" spans="1:15" x14ac:dyDescent="0.3">
      <c r="A1479" s="5">
        <f t="shared" si="345"/>
        <v>14.709999999999731</v>
      </c>
      <c r="B1479" s="5">
        <f t="shared" si="340"/>
        <v>101.67452902543938</v>
      </c>
      <c r="C1479" s="6">
        <f t="shared" si="338"/>
        <v>3921.7318338383761</v>
      </c>
      <c r="D1479" s="6">
        <f t="shared" si="346"/>
        <v>15379980.576541312</v>
      </c>
      <c r="E1479" s="7">
        <f t="shared" si="347"/>
        <v>6248571.4285714282</v>
      </c>
      <c r="F1479" s="7">
        <f t="shared" si="348"/>
        <v>124.97142857142855</v>
      </c>
      <c r="G1479" s="7">
        <f t="shared" si="349"/>
        <v>9131409.1479698829</v>
      </c>
      <c r="H1479" s="6">
        <f t="shared" si="350"/>
        <v>3021.8221569063066</v>
      </c>
      <c r="I1479" s="7">
        <f t="shared" si="351"/>
        <v>-7.2009233407915954</v>
      </c>
      <c r="J1479" s="7">
        <f t="shared" si="352"/>
        <v>-55.561131613183342</v>
      </c>
      <c r="K1479" s="8">
        <f t="shared" si="341"/>
        <v>277.74990028767581</v>
      </c>
      <c r="L1479" s="8">
        <f t="shared" si="342"/>
        <v>-11.665495812082384</v>
      </c>
      <c r="M1479" s="8">
        <f t="shared" si="339"/>
        <v>90.009033213357</v>
      </c>
      <c r="N1479" s="8">
        <f t="shared" si="343"/>
        <v>25.000000000000007</v>
      </c>
      <c r="O1479" s="8">
        <f t="shared" si="344"/>
        <v>28.240090298612191</v>
      </c>
    </row>
    <row r="1480" spans="1:15" x14ac:dyDescent="0.3">
      <c r="A1480" s="5">
        <f t="shared" si="345"/>
        <v>14.719999999999731</v>
      </c>
      <c r="B1480" s="5">
        <f t="shared" si="340"/>
        <v>101.60251979203147</v>
      </c>
      <c r="C1480" s="6">
        <f t="shared" ref="C1480:C1543" si="353">$B$1*B1480</f>
        <v>3918.9543348354996</v>
      </c>
      <c r="D1480" s="6">
        <f t="shared" si="346"/>
        <v>15358203.078525953</v>
      </c>
      <c r="E1480" s="7">
        <f t="shared" si="347"/>
        <v>6248571.4285714282</v>
      </c>
      <c r="F1480" s="7">
        <f t="shared" si="348"/>
        <v>124.97142857142855</v>
      </c>
      <c r="G1480" s="7">
        <f t="shared" si="349"/>
        <v>9109631.6499545239</v>
      </c>
      <c r="H1480" s="6">
        <f t="shared" si="350"/>
        <v>3018.216634033171</v>
      </c>
      <c r="I1480" s="7">
        <f t="shared" si="351"/>
        <v>-7.2075490462006186</v>
      </c>
      <c r="J1480" s="7">
        <f t="shared" si="352"/>
        <v>-55.510055763695362</v>
      </c>
      <c r="K1480" s="8">
        <f t="shared" si="341"/>
        <v>278.00546321059528</v>
      </c>
      <c r="L1480" s="8">
        <f t="shared" si="342"/>
        <v>-11.676229454845</v>
      </c>
      <c r="M1480" s="8">
        <f t="shared" ref="M1480:M1543" si="354">B1480+L1480</f>
        <v>89.926290337186472</v>
      </c>
      <c r="N1480" s="8">
        <f t="shared" si="343"/>
        <v>25.000000000000004</v>
      </c>
      <c r="O1480" s="8">
        <f t="shared" si="344"/>
        <v>28.246055578147384</v>
      </c>
    </row>
    <row r="1481" spans="1:15" x14ac:dyDescent="0.3">
      <c r="A1481" s="5">
        <f t="shared" si="345"/>
        <v>14.72999999999973</v>
      </c>
      <c r="B1481" s="5">
        <f t="shared" ref="B1481:B1544" si="355">I1480*$B$5+B1480</f>
        <v>101.53044430156946</v>
      </c>
      <c r="C1481" s="6">
        <f t="shared" si="353"/>
        <v>3916.1742802033932</v>
      </c>
      <c r="D1481" s="6">
        <f t="shared" si="346"/>
        <v>15336420.992926564</v>
      </c>
      <c r="E1481" s="7">
        <f t="shared" si="347"/>
        <v>6248571.4285714282</v>
      </c>
      <c r="F1481" s="7">
        <f t="shared" si="348"/>
        <v>124.97142857142855</v>
      </c>
      <c r="G1481" s="7">
        <f t="shared" si="349"/>
        <v>9087849.564355135</v>
      </c>
      <c r="H1481" s="6">
        <f t="shared" si="350"/>
        <v>3014.6060380015056</v>
      </c>
      <c r="I1481" s="7">
        <f t="shared" si="351"/>
        <v>-7.2141948964485767</v>
      </c>
      <c r="J1481" s="7">
        <f t="shared" si="352"/>
        <v>-55.458918869952335</v>
      </c>
      <c r="K1481" s="8">
        <f t="shared" ref="K1481:K1544" si="356">-$B$1*I1481</f>
        <v>278.26180314873079</v>
      </c>
      <c r="L1481" s="8">
        <f t="shared" ref="L1481:L1544" si="357">-$B$2*K1481</f>
        <v>-11.686995732246691</v>
      </c>
      <c r="M1481" s="8">
        <f t="shared" si="354"/>
        <v>89.843448569322774</v>
      </c>
      <c r="N1481" s="8">
        <f t="shared" ref="N1481:N1544" si="358">K1481*M1481/1000</f>
        <v>25.000000000000014</v>
      </c>
      <c r="O1481" s="8">
        <f t="shared" ref="O1481:O1544" si="359">B1481*K1481/1000</f>
        <v>28.252044505846499</v>
      </c>
    </row>
    <row r="1482" spans="1:15" x14ac:dyDescent="0.3">
      <c r="A1482" s="5">
        <f t="shared" si="345"/>
        <v>14.73999999999973</v>
      </c>
      <c r="B1482" s="5">
        <f t="shared" si="355"/>
        <v>101.45830235260497</v>
      </c>
      <c r="C1482" s="6">
        <f t="shared" si="353"/>
        <v>3913.3916621719059</v>
      </c>
      <c r="D1482" s="6">
        <f t="shared" si="346"/>
        <v>15314634.301556593</v>
      </c>
      <c r="E1482" s="7">
        <f t="shared" si="347"/>
        <v>6248571.4285714282</v>
      </c>
      <c r="F1482" s="7">
        <f t="shared" si="348"/>
        <v>124.97142857142855</v>
      </c>
      <c r="G1482" s="7">
        <f t="shared" si="349"/>
        <v>9066062.8729851656</v>
      </c>
      <c r="H1482" s="6">
        <f t="shared" si="350"/>
        <v>3010.9903475410156</v>
      </c>
      <c r="I1482" s="7">
        <f t="shared" si="351"/>
        <v>-7.2208609995613093</v>
      </c>
      <c r="J1482" s="7">
        <f t="shared" si="352"/>
        <v>-55.407720699577567</v>
      </c>
      <c r="K1482" s="8">
        <f t="shared" si="356"/>
        <v>278.51892426879334</v>
      </c>
      <c r="L1482" s="8">
        <f t="shared" si="357"/>
        <v>-11.697794819289319</v>
      </c>
      <c r="M1482" s="8">
        <f t="shared" si="354"/>
        <v>89.760507533315661</v>
      </c>
      <c r="N1482" s="8">
        <f t="shared" si="358"/>
        <v>25</v>
      </c>
      <c r="O1482" s="8">
        <f t="shared" si="359"/>
        <v>28.258057229385521</v>
      </c>
    </row>
    <row r="1483" spans="1:15" x14ac:dyDescent="0.3">
      <c r="A1483" s="5">
        <f t="shared" si="345"/>
        <v>14.74999999999973</v>
      </c>
      <c r="B1483" s="5">
        <f t="shared" si="355"/>
        <v>101.38609374260936</v>
      </c>
      <c r="C1483" s="6">
        <f t="shared" si="353"/>
        <v>3910.6064729292179</v>
      </c>
      <c r="D1483" s="6">
        <f t="shared" si="346"/>
        <v>15292842.986115899</v>
      </c>
      <c r="E1483" s="7">
        <f t="shared" si="347"/>
        <v>6248571.4285714282</v>
      </c>
      <c r="F1483" s="7">
        <f t="shared" si="348"/>
        <v>124.97142857142855</v>
      </c>
      <c r="G1483" s="7">
        <f t="shared" si="349"/>
        <v>9044271.5575444698</v>
      </c>
      <c r="H1483" s="6">
        <f t="shared" si="350"/>
        <v>3007.3695412344109</v>
      </c>
      <c r="I1483" s="7">
        <f t="shared" si="351"/>
        <v>-7.2275474644074649</v>
      </c>
      <c r="J1483" s="7">
        <f t="shared" si="352"/>
        <v>-55.35646101868474</v>
      </c>
      <c r="K1483" s="8">
        <f t="shared" si="356"/>
        <v>278.77683077000222</v>
      </c>
      <c r="L1483" s="8">
        <f t="shared" si="357"/>
        <v>-11.708626892340092</v>
      </c>
      <c r="M1483" s="8">
        <f t="shared" si="354"/>
        <v>89.677466850269269</v>
      </c>
      <c r="N1483" s="8">
        <f t="shared" si="358"/>
        <v>25</v>
      </c>
      <c r="O1483" s="8">
        <f t="shared" si="359"/>
        <v>28.264093897714993</v>
      </c>
    </row>
    <row r="1484" spans="1:15" x14ac:dyDescent="0.3">
      <c r="A1484" s="5">
        <f t="shared" si="345"/>
        <v>14.75999999999973</v>
      </c>
      <c r="B1484" s="5">
        <f t="shared" si="355"/>
        <v>101.31381826796529</v>
      </c>
      <c r="C1484" s="6">
        <f t="shared" si="353"/>
        <v>3907.818704621518</v>
      </c>
      <c r="D1484" s="6">
        <f t="shared" si="346"/>
        <v>15271047.028189799</v>
      </c>
      <c r="E1484" s="7">
        <f t="shared" si="347"/>
        <v>6248571.4285714282</v>
      </c>
      <c r="F1484" s="7">
        <f t="shared" si="348"/>
        <v>124.97142857142855</v>
      </c>
      <c r="G1484" s="7">
        <f t="shared" si="349"/>
        <v>9022475.5996183716</v>
      </c>
      <c r="H1484" s="6">
        <f t="shared" si="350"/>
        <v>3003.7435975160015</v>
      </c>
      <c r="I1484" s="7">
        <f t="shared" si="351"/>
        <v>-7.2342544007071519</v>
      </c>
      <c r="J1484" s="7">
        <f t="shared" si="352"/>
        <v>-55.30513959186402</v>
      </c>
      <c r="K1484" s="8">
        <f t="shared" si="356"/>
        <v>279.03552688441869</v>
      </c>
      <c r="L1484" s="8">
        <f t="shared" si="357"/>
        <v>-11.719492129145584</v>
      </c>
      <c r="M1484" s="8">
        <f t="shared" si="354"/>
        <v>89.59432613881971</v>
      </c>
      <c r="N1484" s="8">
        <f t="shared" si="358"/>
        <v>25.000000000000004</v>
      </c>
      <c r="O1484" s="8">
        <f t="shared" si="359"/>
        <v>28.270154661073938</v>
      </c>
    </row>
    <row r="1485" spans="1:15" x14ac:dyDescent="0.3">
      <c r="A1485" s="5">
        <f t="shared" si="345"/>
        <v>14.76999999999973</v>
      </c>
      <c r="B1485" s="5">
        <f t="shared" si="355"/>
        <v>101.24147572395822</v>
      </c>
      <c r="C1485" s="6">
        <f t="shared" si="353"/>
        <v>3905.028349352674</v>
      </c>
      <c r="D1485" s="6">
        <f t="shared" si="346"/>
        <v>15249246.409248069</v>
      </c>
      <c r="E1485" s="7">
        <f t="shared" si="347"/>
        <v>6248571.4285714282</v>
      </c>
      <c r="F1485" s="7">
        <f t="shared" si="348"/>
        <v>124.97142857142855</v>
      </c>
      <c r="G1485" s="7">
        <f t="shared" si="349"/>
        <v>9000674.9806766398</v>
      </c>
      <c r="H1485" s="6">
        <f t="shared" si="350"/>
        <v>3000.1124946702648</v>
      </c>
      <c r="I1485" s="7">
        <f t="shared" si="351"/>
        <v>-7.2409819190407703</v>
      </c>
      <c r="J1485" s="7">
        <f t="shared" si="352"/>
        <v>-55.253756182168019</v>
      </c>
      <c r="K1485" s="8">
        <f t="shared" si="356"/>
        <v>279.29501687728686</v>
      </c>
      <c r="L1485" s="8">
        <f t="shared" si="357"/>
        <v>-11.730390708846047</v>
      </c>
      <c r="M1485" s="8">
        <f t="shared" si="354"/>
        <v>89.511085015112172</v>
      </c>
      <c r="N1485" s="8">
        <f t="shared" si="358"/>
        <v>25.000000000000011</v>
      </c>
      <c r="O1485" s="8">
        <f t="shared" si="359"/>
        <v>28.27623967100434</v>
      </c>
    </row>
    <row r="1486" spans="1:15" x14ac:dyDescent="0.3">
      <c r="A1486" s="5">
        <f t="shared" si="345"/>
        <v>14.779999999999729</v>
      </c>
      <c r="B1486" s="5">
        <f t="shared" si="355"/>
        <v>101.16906590476781</v>
      </c>
      <c r="C1486" s="6">
        <f t="shared" si="353"/>
        <v>3902.2353991839009</v>
      </c>
      <c r="D1486" s="6">
        <f t="shared" si="346"/>
        <v>15227441.110643938</v>
      </c>
      <c r="E1486" s="7">
        <f t="shared" si="347"/>
        <v>6248571.4285714282</v>
      </c>
      <c r="F1486" s="7">
        <f t="shared" si="348"/>
        <v>124.97142857142855</v>
      </c>
      <c r="G1486" s="7">
        <f t="shared" si="349"/>
        <v>8978869.6820725091</v>
      </c>
      <c r="H1486" s="6">
        <f t="shared" si="350"/>
        <v>2996.4762108303994</v>
      </c>
      <c r="I1486" s="7">
        <f t="shared" si="351"/>
        <v>-7.2477301308579234</v>
      </c>
      <c r="J1486" s="7">
        <f t="shared" si="352"/>
        <v>-55.202310551097518</v>
      </c>
      <c r="K1486" s="8">
        <f t="shared" si="356"/>
        <v>279.55530504737703</v>
      </c>
      <c r="L1486" s="8">
        <f t="shared" si="357"/>
        <v>-11.741322811989834</v>
      </c>
      <c r="M1486" s="8">
        <f t="shared" si="354"/>
        <v>89.427743092777973</v>
      </c>
      <c r="N1486" s="8">
        <f t="shared" si="358"/>
        <v>25.000000000000011</v>
      </c>
      <c r="O1486" s="8">
        <f t="shared" si="359"/>
        <v>28.282349080365556</v>
      </c>
    </row>
    <row r="1487" spans="1:15" x14ac:dyDescent="0.3">
      <c r="A1487" s="5">
        <f t="shared" si="345"/>
        <v>14.789999999999729</v>
      </c>
      <c r="B1487" s="5">
        <f t="shared" si="355"/>
        <v>101.09658860345922</v>
      </c>
      <c r="C1487" s="6">
        <f t="shared" si="353"/>
        <v>3899.4398461334272</v>
      </c>
      <c r="D1487" s="6">
        <f t="shared" si="346"/>
        <v>15205631.113613086</v>
      </c>
      <c r="E1487" s="7">
        <f t="shared" si="347"/>
        <v>6248571.4285714282</v>
      </c>
      <c r="F1487" s="7">
        <f t="shared" si="348"/>
        <v>124.97142857142855</v>
      </c>
      <c r="G1487" s="7">
        <f t="shared" si="349"/>
        <v>8957059.6850416586</v>
      </c>
      <c r="H1487" s="6">
        <f t="shared" si="350"/>
        <v>2992.8347239768618</v>
      </c>
      <c r="I1487" s="7">
        <f t="shared" si="351"/>
        <v>-7.254499148486464</v>
      </c>
      <c r="J1487" s="7">
        <f t="shared" si="352"/>
        <v>-55.150802458587137</v>
      </c>
      <c r="K1487" s="8">
        <f t="shared" si="356"/>
        <v>279.81639572733502</v>
      </c>
      <c r="L1487" s="8">
        <f t="shared" si="357"/>
        <v>-11.75228862054807</v>
      </c>
      <c r="M1487" s="8">
        <f t="shared" si="354"/>
        <v>89.344299982911153</v>
      </c>
      <c r="N1487" s="8">
        <f t="shared" si="358"/>
        <v>25</v>
      </c>
      <c r="O1487" s="8">
        <f t="shared" si="359"/>
        <v>28.288483043349132</v>
      </c>
    </row>
    <row r="1488" spans="1:15" x14ac:dyDescent="0.3">
      <c r="A1488" s="5">
        <f t="shared" si="345"/>
        <v>14.799999999999729</v>
      </c>
      <c r="B1488" s="5">
        <f t="shared" si="355"/>
        <v>101.02404361197436</v>
      </c>
      <c r="C1488" s="6">
        <f t="shared" si="353"/>
        <v>3896.6416821761536</v>
      </c>
      <c r="D1488" s="6">
        <f t="shared" si="346"/>
        <v>15183816.399272604</v>
      </c>
      <c r="E1488" s="7">
        <f t="shared" si="347"/>
        <v>6248571.4285714282</v>
      </c>
      <c r="F1488" s="7">
        <f t="shared" si="348"/>
        <v>124.97142857142855</v>
      </c>
      <c r="G1488" s="7">
        <f t="shared" si="349"/>
        <v>8935244.9707011767</v>
      </c>
      <c r="H1488" s="6">
        <f t="shared" si="350"/>
        <v>2989.1880119358798</v>
      </c>
      <c r="I1488" s="7">
        <f t="shared" si="351"/>
        <v>-7.2612890851416534</v>
      </c>
      <c r="J1488" s="7">
        <f t="shared" si="352"/>
        <v>-55.099231662990675</v>
      </c>
      <c r="K1488" s="8">
        <f t="shared" si="356"/>
        <v>280.07829328403517</v>
      </c>
      <c r="L1488" s="8">
        <f t="shared" si="357"/>
        <v>-11.763288317929476</v>
      </c>
      <c r="M1488" s="8">
        <f t="shared" si="354"/>
        <v>89.260755294044884</v>
      </c>
      <c r="N1488" s="8">
        <f t="shared" si="358"/>
        <v>24.999999999999996</v>
      </c>
      <c r="O1488" s="8">
        <f t="shared" si="359"/>
        <v>28.294641715493714</v>
      </c>
    </row>
    <row r="1489" spans="1:15" x14ac:dyDescent="0.3">
      <c r="A1489" s="5">
        <f t="shared" si="345"/>
        <v>14.809999999999729</v>
      </c>
      <c r="B1489" s="5">
        <f t="shared" si="355"/>
        <v>100.95143072112295</v>
      </c>
      <c r="C1489" s="6">
        <f t="shared" si="353"/>
        <v>3893.8408992433133</v>
      </c>
      <c r="D1489" s="6">
        <f t="shared" si="346"/>
        <v>15161996.948619975</v>
      </c>
      <c r="E1489" s="7">
        <f t="shared" si="347"/>
        <v>6248571.4285714282</v>
      </c>
      <c r="F1489" s="7">
        <f t="shared" si="348"/>
        <v>124.97142857142855</v>
      </c>
      <c r="G1489" s="7">
        <f t="shared" si="349"/>
        <v>8913425.5200485475</v>
      </c>
      <c r="H1489" s="6">
        <f t="shared" si="350"/>
        <v>2985.5360523779559</v>
      </c>
      <c r="I1489" s="7">
        <f t="shared" si="351"/>
        <v>-7.2681000549354176</v>
      </c>
      <c r="J1489" s="7">
        <f t="shared" si="352"/>
        <v>-55.047597921066405</v>
      </c>
      <c r="K1489" s="8">
        <f t="shared" si="356"/>
        <v>280.34100211893752</v>
      </c>
      <c r="L1489" s="8">
        <f t="shared" si="357"/>
        <v>-11.774322088995374</v>
      </c>
      <c r="M1489" s="8">
        <f t="shared" si="354"/>
        <v>89.17710863212757</v>
      </c>
      <c r="N1489" s="8">
        <f t="shared" si="358"/>
        <v>24.999999999999996</v>
      </c>
      <c r="O1489" s="8">
        <f t="shared" si="359"/>
        <v>28.300825253700104</v>
      </c>
    </row>
    <row r="1490" spans="1:15" x14ac:dyDescent="0.3">
      <c r="A1490" s="5">
        <f t="shared" si="345"/>
        <v>14.819999999999729</v>
      </c>
      <c r="B1490" s="5">
        <f t="shared" si="355"/>
        <v>100.87874972057359</v>
      </c>
      <c r="C1490" s="6">
        <f t="shared" si="353"/>
        <v>3891.0374892221243</v>
      </c>
      <c r="D1490" s="6">
        <f t="shared" si="346"/>
        <v>15140172.742532013</v>
      </c>
      <c r="E1490" s="7">
        <f t="shared" si="347"/>
        <v>6248571.4285714282</v>
      </c>
      <c r="F1490" s="7">
        <f t="shared" si="348"/>
        <v>124.97142857142855</v>
      </c>
      <c r="G1490" s="7">
        <f t="shared" si="349"/>
        <v>8891601.3139605857</v>
      </c>
      <c r="H1490" s="6">
        <f t="shared" si="350"/>
        <v>2981.8788228163439</v>
      </c>
      <c r="I1490" s="7">
        <f t="shared" si="351"/>
        <v>-7.2749321728857614</v>
      </c>
      <c r="J1490" s="7">
        <f t="shared" si="352"/>
        <v>-54.995900987962152</v>
      </c>
      <c r="K1490" s="8">
        <f t="shared" si="356"/>
        <v>280.60452666845077</v>
      </c>
      <c r="L1490" s="8">
        <f t="shared" si="357"/>
        <v>-11.785390120074931</v>
      </c>
      <c r="M1490" s="8">
        <f t="shared" si="354"/>
        <v>89.093359600498658</v>
      </c>
      <c r="N1490" s="8">
        <f t="shared" si="358"/>
        <v>25</v>
      </c>
      <c r="O1490" s="8">
        <f t="shared" si="359"/>
        <v>28.307033816246665</v>
      </c>
    </row>
    <row r="1491" spans="1:15" x14ac:dyDescent="0.3">
      <c r="A1491" s="5">
        <f t="shared" si="345"/>
        <v>14.829999999999728</v>
      </c>
      <c r="B1491" s="5">
        <f t="shared" si="355"/>
        <v>100.80600039884473</v>
      </c>
      <c r="C1491" s="6">
        <f t="shared" si="353"/>
        <v>3888.2314439554393</v>
      </c>
      <c r="D1491" s="6">
        <f t="shared" si="346"/>
        <v>15118343.7617638</v>
      </c>
      <c r="E1491" s="7">
        <f t="shared" si="347"/>
        <v>6248571.4285714282</v>
      </c>
      <c r="F1491" s="7">
        <f t="shared" si="348"/>
        <v>124.97142857142855</v>
      </c>
      <c r="G1491" s="7">
        <f t="shared" si="349"/>
        <v>8869772.3331923708</v>
      </c>
      <c r="H1491" s="6">
        <f t="shared" si="350"/>
        <v>2978.2163006055102</v>
      </c>
      <c r="I1491" s="7">
        <f t="shared" si="351"/>
        <v>-7.281785554926274</v>
      </c>
      <c r="J1491" s="7">
        <f t="shared" si="352"/>
        <v>-54.944140617200112</v>
      </c>
      <c r="K1491" s="8">
        <f t="shared" si="356"/>
        <v>280.86887140429911</v>
      </c>
      <c r="L1491" s="8">
        <f t="shared" si="357"/>
        <v>-11.796492598980562</v>
      </c>
      <c r="M1491" s="8">
        <f t="shared" si="354"/>
        <v>89.009507799864167</v>
      </c>
      <c r="N1491" s="8">
        <f t="shared" si="358"/>
        <v>25.000000000000007</v>
      </c>
      <c r="O1491" s="8">
        <f t="shared" si="359"/>
        <v>28.313267562804846</v>
      </c>
    </row>
    <row r="1492" spans="1:15" x14ac:dyDescent="0.3">
      <c r="A1492" s="5">
        <f t="shared" si="345"/>
        <v>14.839999999999728</v>
      </c>
      <c r="B1492" s="5">
        <f t="shared" si="355"/>
        <v>100.73318254329547</v>
      </c>
      <c r="C1492" s="6">
        <f t="shared" si="353"/>
        <v>3885.4227552413963</v>
      </c>
      <c r="D1492" s="6">
        <f t="shared" si="346"/>
        <v>15096509.986947643</v>
      </c>
      <c r="E1492" s="7">
        <f t="shared" si="347"/>
        <v>6248571.4285714282</v>
      </c>
      <c r="F1492" s="7">
        <f t="shared" si="348"/>
        <v>124.97142857142855</v>
      </c>
      <c r="G1492" s="7">
        <f t="shared" si="349"/>
        <v>8847938.5583762154</v>
      </c>
      <c r="H1492" s="6">
        <f t="shared" si="350"/>
        <v>2974.5484629395796</v>
      </c>
      <c r="I1492" s="7">
        <f t="shared" si="351"/>
        <v>-7.288660317915773</v>
      </c>
      <c r="J1492" s="7">
        <f t="shared" si="352"/>
        <v>-54.892316560661683</v>
      </c>
      <c r="K1492" s="8">
        <f t="shared" si="356"/>
        <v>281.13404083389406</v>
      </c>
      <c r="L1492" s="8">
        <f t="shared" si="357"/>
        <v>-11.80762971502355</v>
      </c>
      <c r="M1492" s="8">
        <f t="shared" si="354"/>
        <v>88.925552828271918</v>
      </c>
      <c r="N1492" s="8">
        <f t="shared" si="358"/>
        <v>25</v>
      </c>
      <c r="O1492" s="8">
        <f t="shared" si="359"/>
        <v>28.319526654454933</v>
      </c>
    </row>
    <row r="1493" spans="1:15" x14ac:dyDescent="0.3">
      <c r="A1493" s="5">
        <f t="shared" si="345"/>
        <v>14.849999999999728</v>
      </c>
      <c r="B1493" s="5">
        <f t="shared" si="355"/>
        <v>100.66029594011631</v>
      </c>
      <c r="C1493" s="6">
        <f t="shared" si="353"/>
        <v>3882.6114148330576</v>
      </c>
      <c r="D1493" s="6">
        <f t="shared" si="346"/>
        <v>15074671.398591956</v>
      </c>
      <c r="E1493" s="7">
        <f t="shared" si="347"/>
        <v>6248571.4285714282</v>
      </c>
      <c r="F1493" s="7">
        <f t="shared" si="348"/>
        <v>124.97142857142855</v>
      </c>
      <c r="G1493" s="7">
        <f t="shared" si="349"/>
        <v>8826099.9700205289</v>
      </c>
      <c r="H1493" s="6">
        <f t="shared" si="350"/>
        <v>2970.8752868507504</v>
      </c>
      <c r="I1493" s="7">
        <f t="shared" si="351"/>
        <v>-7.2955565796480926</v>
      </c>
      <c r="J1493" s="7">
        <f t="shared" si="352"/>
        <v>-54.840428568571859</v>
      </c>
      <c r="K1493" s="8">
        <f t="shared" si="356"/>
        <v>281.40003950071213</v>
      </c>
      <c r="L1493" s="8">
        <f t="shared" si="357"/>
        <v>-11.818801659029909</v>
      </c>
      <c r="M1493" s="8">
        <f t="shared" si="354"/>
        <v>88.841494281086398</v>
      </c>
      <c r="N1493" s="8">
        <f t="shared" si="358"/>
        <v>25.000000000000004</v>
      </c>
      <c r="O1493" s="8">
        <f t="shared" si="359"/>
        <v>28.325811253702103</v>
      </c>
    </row>
    <row r="1494" spans="1:15" x14ac:dyDescent="0.3">
      <c r="A1494" s="5">
        <f t="shared" si="345"/>
        <v>14.859999999999728</v>
      </c>
      <c r="B1494" s="5">
        <f t="shared" si="355"/>
        <v>100.58734037431984</v>
      </c>
      <c r="C1494" s="6">
        <f t="shared" si="353"/>
        <v>3879.7974144380505</v>
      </c>
      <c r="D1494" s="6">
        <f t="shared" si="346"/>
        <v>15052827.977080181</v>
      </c>
      <c r="E1494" s="7">
        <f t="shared" si="347"/>
        <v>6248571.4285714282</v>
      </c>
      <c r="F1494" s="7">
        <f t="shared" si="348"/>
        <v>124.97142857142855</v>
      </c>
      <c r="G1494" s="7">
        <f t="shared" si="349"/>
        <v>8804256.5485087521</v>
      </c>
      <c r="H1494" s="6">
        <f t="shared" si="350"/>
        <v>2967.1967492077015</v>
      </c>
      <c r="I1494" s="7">
        <f t="shared" si="351"/>
        <v>-7.3024744588619619</v>
      </c>
      <c r="J1494" s="7">
        <f t="shared" si="352"/>
        <v>-54.78847638948362</v>
      </c>
      <c r="K1494" s="8">
        <f t="shared" si="356"/>
        <v>281.66687198467565</v>
      </c>
      <c r="L1494" s="8">
        <f t="shared" si="357"/>
        <v>-11.830008623356376</v>
      </c>
      <c r="M1494" s="8">
        <f t="shared" si="354"/>
        <v>88.757331750963459</v>
      </c>
      <c r="N1494" s="8">
        <f t="shared" si="358"/>
        <v>25.000000000000011</v>
      </c>
      <c r="O1494" s="8">
        <f t="shared" si="359"/>
        <v>28.332121524492539</v>
      </c>
    </row>
    <row r="1495" spans="1:15" x14ac:dyDescent="0.3">
      <c r="A1495" s="5">
        <f t="shared" si="345"/>
        <v>14.869999999999727</v>
      </c>
      <c r="B1495" s="5">
        <f t="shared" si="355"/>
        <v>100.51431562973121</v>
      </c>
      <c r="C1495" s="6">
        <f t="shared" si="353"/>
        <v>3876.9807457182037</v>
      </c>
      <c r="D1495" s="6">
        <f t="shared" si="346"/>
        <v>15030979.702669678</v>
      </c>
      <c r="E1495" s="7">
        <f t="shared" si="347"/>
        <v>6248571.4285714282</v>
      </c>
      <c r="F1495" s="7">
        <f t="shared" si="348"/>
        <v>124.97142857142855</v>
      </c>
      <c r="G1495" s="7">
        <f t="shared" si="349"/>
        <v>8782408.274098251</v>
      </c>
      <c r="H1495" s="6">
        <f t="shared" si="350"/>
        <v>2963.5128267139744</v>
      </c>
      <c r="I1495" s="7">
        <f t="shared" si="351"/>
        <v>-7.3094140752510359</v>
      </c>
      <c r="J1495" s="7">
        <f t="shared" si="352"/>
        <v>-54.736459770262073</v>
      </c>
      <c r="K1495" s="8">
        <f t="shared" si="356"/>
        <v>281.93454290253993</v>
      </c>
      <c r="L1495" s="8">
        <f t="shared" si="357"/>
        <v>-11.841250801906677</v>
      </c>
      <c r="M1495" s="8">
        <f t="shared" si="354"/>
        <v>88.673064827824533</v>
      </c>
      <c r="N1495" s="8">
        <f t="shared" si="358"/>
        <v>25</v>
      </c>
      <c r="O1495" s="8">
        <f t="shared" si="359"/>
        <v>28.338457632229897</v>
      </c>
    </row>
    <row r="1496" spans="1:15" x14ac:dyDescent="0.3">
      <c r="A1496" s="5">
        <f t="shared" si="345"/>
        <v>14.879999999999727</v>
      </c>
      <c r="B1496" s="5">
        <f t="shared" si="355"/>
        <v>100.4412214889787</v>
      </c>
      <c r="C1496" s="6">
        <f t="shared" si="353"/>
        <v>3874.1614002891783</v>
      </c>
      <c r="D1496" s="6">
        <f t="shared" si="346"/>
        <v>15009126.555490607</v>
      </c>
      <c r="E1496" s="7">
        <f t="shared" si="347"/>
        <v>6248571.4285714282</v>
      </c>
      <c r="F1496" s="7">
        <f t="shared" si="348"/>
        <v>124.97142857142855</v>
      </c>
      <c r="G1496" s="7">
        <f t="shared" si="349"/>
        <v>8760555.1269191802</v>
      </c>
      <c r="H1496" s="6">
        <f t="shared" si="350"/>
        <v>2959.823495906332</v>
      </c>
      <c r="I1496" s="7">
        <f t="shared" si="351"/>
        <v>-7.3163755494740803</v>
      </c>
      <c r="J1496" s="7">
        <f t="shared" si="352"/>
        <v>-54.684378456068337</v>
      </c>
      <c r="K1496" s="8">
        <f t="shared" si="356"/>
        <v>282.20305690828593</v>
      </c>
      <c r="L1496" s="8">
        <f t="shared" si="357"/>
        <v>-11.852528390148008</v>
      </c>
      <c r="M1496" s="8">
        <f t="shared" si="354"/>
        <v>88.588693098830689</v>
      </c>
      <c r="N1496" s="8">
        <f t="shared" si="358"/>
        <v>24.999999999999993</v>
      </c>
      <c r="O1496" s="8">
        <f t="shared" si="359"/>
        <v>28.344819743792005</v>
      </c>
    </row>
    <row r="1497" spans="1:15" x14ac:dyDescent="0.3">
      <c r="A1497" s="5">
        <f t="shared" si="345"/>
        <v>14.889999999999727</v>
      </c>
      <c r="B1497" s="5">
        <f t="shared" si="355"/>
        <v>100.36805773348395</v>
      </c>
      <c r="C1497" s="6">
        <f t="shared" si="353"/>
        <v>3871.339369720095</v>
      </c>
      <c r="D1497" s="6">
        <f t="shared" si="346"/>
        <v>14987268.515544781</v>
      </c>
      <c r="E1497" s="7">
        <f t="shared" si="347"/>
        <v>6248571.4285714282</v>
      </c>
      <c r="F1497" s="7">
        <f t="shared" si="348"/>
        <v>124.97142857142855</v>
      </c>
      <c r="G1497" s="7">
        <f t="shared" si="349"/>
        <v>8738697.0869733542</v>
      </c>
      <c r="H1497" s="6">
        <f t="shared" si="350"/>
        <v>2956.1287331531003</v>
      </c>
      <c r="I1497" s="7">
        <f t="shared" si="351"/>
        <v>-7.3233590031652538</v>
      </c>
      <c r="J1497" s="7">
        <f t="shared" si="352"/>
        <v>-54.632232190343366</v>
      </c>
      <c r="K1497" s="8">
        <f t="shared" si="356"/>
        <v>282.47241869351694</v>
      </c>
      <c r="L1497" s="8">
        <f t="shared" si="357"/>
        <v>-11.863841585127711</v>
      </c>
      <c r="M1497" s="8">
        <f t="shared" si="354"/>
        <v>88.504216148356235</v>
      </c>
      <c r="N1497" s="8">
        <f t="shared" si="358"/>
        <v>25.000000000000007</v>
      </c>
      <c r="O1497" s="8">
        <f t="shared" si="359"/>
        <v>28.351208027547759</v>
      </c>
    </row>
    <row r="1498" spans="1:15" x14ac:dyDescent="0.3">
      <c r="A1498" s="5">
        <f t="shared" si="345"/>
        <v>14.899999999999727</v>
      </c>
      <c r="B1498" s="5">
        <f t="shared" si="355"/>
        <v>100.2948241434523</v>
      </c>
      <c r="C1498" s="6">
        <f t="shared" si="353"/>
        <v>3868.5146455331601</v>
      </c>
      <c r="D1498" s="6">
        <f t="shared" si="346"/>
        <v>14965405.562704552</v>
      </c>
      <c r="E1498" s="7">
        <f t="shared" si="347"/>
        <v>6248571.4285714282</v>
      </c>
      <c r="F1498" s="7">
        <f t="shared" si="348"/>
        <v>124.97142857142855</v>
      </c>
      <c r="G1498" s="7">
        <f t="shared" si="349"/>
        <v>8716834.1341331229</v>
      </c>
      <c r="H1498" s="6">
        <f t="shared" si="350"/>
        <v>2952.4285146524926</v>
      </c>
      <c r="I1498" s="7">
        <f t="shared" si="351"/>
        <v>-7.3303645589445283</v>
      </c>
      <c r="J1498" s="7">
        <f t="shared" si="352"/>
        <v>-54.580020714791466</v>
      </c>
      <c r="K1498" s="8">
        <f t="shared" si="356"/>
        <v>282.74263298786036</v>
      </c>
      <c r="L1498" s="8">
        <f t="shared" si="357"/>
        <v>-11.875190585490135</v>
      </c>
      <c r="M1498" s="8">
        <f t="shared" si="354"/>
        <v>88.419633557962172</v>
      </c>
      <c r="N1498" s="8">
        <f t="shared" si="358"/>
        <v>25</v>
      </c>
      <c r="O1498" s="8">
        <f t="shared" si="359"/>
        <v>28.357622653374133</v>
      </c>
    </row>
    <row r="1499" spans="1:15" x14ac:dyDescent="0.3">
      <c r="A1499" s="5">
        <f t="shared" si="345"/>
        <v>14.909999999999727</v>
      </c>
      <c r="B1499" s="5">
        <f t="shared" si="355"/>
        <v>100.22152049786285</v>
      </c>
      <c r="C1499" s="6">
        <f t="shared" si="353"/>
        <v>3865.6872192032815</v>
      </c>
      <c r="D1499" s="6">
        <f t="shared" si="346"/>
        <v>14943537.6767116</v>
      </c>
      <c r="E1499" s="7">
        <f t="shared" si="347"/>
        <v>6248571.4285714282</v>
      </c>
      <c r="F1499" s="7">
        <f t="shared" si="348"/>
        <v>124.97142857142855</v>
      </c>
      <c r="G1499" s="7">
        <f t="shared" si="349"/>
        <v>8694966.2481401712</v>
      </c>
      <c r="H1499" s="6">
        <f t="shared" si="350"/>
        <v>2948.7228164308985</v>
      </c>
      <c r="I1499" s="7">
        <f t="shared" si="351"/>
        <v>-7.3373923404283063</v>
      </c>
      <c r="J1499" s="7">
        <f t="shared" si="352"/>
        <v>-54.527743769363596</v>
      </c>
      <c r="K1499" s="8">
        <f t="shared" si="356"/>
        <v>283.01370455937752</v>
      </c>
      <c r="L1499" s="8">
        <f t="shared" si="357"/>
        <v>-11.886575591493854</v>
      </c>
      <c r="M1499" s="8">
        <f t="shared" si="354"/>
        <v>88.334944906369003</v>
      </c>
      <c r="N1499" s="8">
        <f t="shared" si="358"/>
        <v>25.000000000000007</v>
      </c>
      <c r="O1499" s="8">
        <f t="shared" si="359"/>
        <v>28.364063792673754</v>
      </c>
    </row>
    <row r="1500" spans="1:15" x14ac:dyDescent="0.3">
      <c r="A1500" s="5">
        <f t="shared" si="345"/>
        <v>14.919999999999726</v>
      </c>
      <c r="B1500" s="5">
        <f t="shared" si="355"/>
        <v>100.14814657445856</v>
      </c>
      <c r="C1500" s="6">
        <f t="shared" si="353"/>
        <v>3862.8570821576873</v>
      </c>
      <c r="D1500" s="6">
        <f t="shared" si="346"/>
        <v>14921664.837175801</v>
      </c>
      <c r="E1500" s="7">
        <f t="shared" si="347"/>
        <v>6248571.4285714282</v>
      </c>
      <c r="F1500" s="7">
        <f t="shared" si="348"/>
        <v>124.97142857142855</v>
      </c>
      <c r="G1500" s="7">
        <f t="shared" si="349"/>
        <v>8673093.4086043723</v>
      </c>
      <c r="H1500" s="6">
        <f t="shared" si="350"/>
        <v>2945.0116143411678</v>
      </c>
      <c r="I1500" s="7">
        <f t="shared" si="351"/>
        <v>-7.3444424722400976</v>
      </c>
      <c r="J1500" s="7">
        <f t="shared" si="352"/>
        <v>-54.47540109224051</v>
      </c>
      <c r="K1500" s="8">
        <f t="shared" si="356"/>
        <v>283.28563821497517</v>
      </c>
      <c r="L1500" s="8">
        <f t="shared" si="357"/>
        <v>-11.897996805028956</v>
      </c>
      <c r="M1500" s="8">
        <f t="shared" si="354"/>
        <v>88.250149769429612</v>
      </c>
      <c r="N1500" s="8">
        <f t="shared" si="358"/>
        <v>25.000000000000011</v>
      </c>
      <c r="O1500" s="8">
        <f t="shared" si="359"/>
        <v>28.370531618392373</v>
      </c>
    </row>
    <row r="1501" spans="1:15" x14ac:dyDescent="0.3">
      <c r="A1501" s="5">
        <f t="shared" si="345"/>
        <v>14.929999999999726</v>
      </c>
      <c r="B1501" s="5">
        <f t="shared" si="355"/>
        <v>100.07470214973617</v>
      </c>
      <c r="C1501" s="6">
        <f t="shared" si="353"/>
        <v>3860.0242257755376</v>
      </c>
      <c r="D1501" s="6">
        <f t="shared" si="346"/>
        <v>14899787.023574039</v>
      </c>
      <c r="E1501" s="7">
        <f t="shared" si="347"/>
        <v>6248571.4285714282</v>
      </c>
      <c r="F1501" s="7">
        <f t="shared" si="348"/>
        <v>124.97142857142855</v>
      </c>
      <c r="G1501" s="7">
        <f t="shared" si="349"/>
        <v>8651215.5950026102</v>
      </c>
      <c r="H1501" s="6">
        <f t="shared" si="350"/>
        <v>2941.2948840608638</v>
      </c>
      <c r="I1501" s="7">
        <f t="shared" si="351"/>
        <v>-7.3515150800213975</v>
      </c>
      <c r="J1501" s="7">
        <f t="shared" si="352"/>
        <v>-54.422992419815749</v>
      </c>
      <c r="K1501" s="8">
        <f t="shared" si="356"/>
        <v>283.55843880082534</v>
      </c>
      <c r="L1501" s="8">
        <f t="shared" si="357"/>
        <v>-11.909454429634664</v>
      </c>
      <c r="M1501" s="8">
        <f t="shared" si="354"/>
        <v>88.165247720101505</v>
      </c>
      <c r="N1501" s="8">
        <f t="shared" si="358"/>
        <v>25.000000000000007</v>
      </c>
      <c r="O1501" s="8">
        <f t="shared" si="359"/>
        <v>28.377026305036786</v>
      </c>
    </row>
    <row r="1502" spans="1:15" x14ac:dyDescent="0.3">
      <c r="A1502" s="5">
        <f t="shared" si="345"/>
        <v>14.939999999999726</v>
      </c>
      <c r="B1502" s="5">
        <f t="shared" si="355"/>
        <v>100.00118699893595</v>
      </c>
      <c r="C1502" s="6">
        <f t="shared" si="353"/>
        <v>3857.1886413875291</v>
      </c>
      <c r="D1502" s="6">
        <f t="shared" si="346"/>
        <v>14877904.215248972</v>
      </c>
      <c r="E1502" s="7">
        <f t="shared" si="347"/>
        <v>6248571.4285714282</v>
      </c>
      <c r="F1502" s="7">
        <f t="shared" si="348"/>
        <v>124.97142857142855</v>
      </c>
      <c r="G1502" s="7">
        <f t="shared" si="349"/>
        <v>8629332.7866775431</v>
      </c>
      <c r="H1502" s="6">
        <f t="shared" si="350"/>
        <v>2937.5726010904891</v>
      </c>
      <c r="I1502" s="7">
        <f t="shared" si="351"/>
        <v>-7.3586102904427078</v>
      </c>
      <c r="J1502" s="7">
        <f t="shared" si="352"/>
        <v>-54.370517486678253</v>
      </c>
      <c r="K1502" s="8">
        <f t="shared" si="356"/>
        <v>283.83211120279014</v>
      </c>
      <c r="L1502" s="8">
        <f t="shared" si="357"/>
        <v>-11.920948670517184</v>
      </c>
      <c r="M1502" s="8">
        <f t="shared" si="354"/>
        <v>88.080238328418773</v>
      </c>
      <c r="N1502" s="8">
        <f t="shared" si="358"/>
        <v>25.000000000000014</v>
      </c>
      <c r="O1502" s="8">
        <f t="shared" si="359"/>
        <v>28.383548028692999</v>
      </c>
    </row>
    <row r="1503" spans="1:15" x14ac:dyDescent="0.3">
      <c r="A1503" s="5">
        <f t="shared" si="345"/>
        <v>14.949999999999726</v>
      </c>
      <c r="B1503" s="5">
        <f t="shared" si="355"/>
        <v>99.927600896031521</v>
      </c>
      <c r="C1503" s="6">
        <f t="shared" si="353"/>
        <v>3854.3503202755014</v>
      </c>
      <c r="D1503" s="6">
        <f t="shared" si="346"/>
        <v>14856016.39140786</v>
      </c>
      <c r="E1503" s="7">
        <f t="shared" si="347"/>
        <v>6248571.4285714282</v>
      </c>
      <c r="F1503" s="7">
        <f t="shared" si="348"/>
        <v>124.97142857142855</v>
      </c>
      <c r="G1503" s="7">
        <f t="shared" si="349"/>
        <v>8607444.9628364332</v>
      </c>
      <c r="H1503" s="6">
        <f t="shared" si="350"/>
        <v>2933.8447407517042</v>
      </c>
      <c r="I1503" s="7">
        <f t="shared" si="351"/>
        <v>-7.365728231214657</v>
      </c>
      <c r="J1503" s="7">
        <f t="shared" si="352"/>
        <v>-54.31797602559493</v>
      </c>
      <c r="K1503" s="8">
        <f t="shared" si="356"/>
        <v>284.10666034685102</v>
      </c>
      <c r="L1503" s="8">
        <f t="shared" si="357"/>
        <v>-11.932479734567741</v>
      </c>
      <c r="M1503" s="8">
        <f t="shared" si="354"/>
        <v>87.995121161463786</v>
      </c>
      <c r="N1503" s="8">
        <f t="shared" si="358"/>
        <v>24.999999999999993</v>
      </c>
      <c r="O1503" s="8">
        <f t="shared" si="359"/>
        <v>28.390096967044514</v>
      </c>
    </row>
    <row r="1504" spans="1:15" x14ac:dyDescent="0.3">
      <c r="A1504" s="5">
        <f t="shared" si="345"/>
        <v>14.959999999999726</v>
      </c>
      <c r="B1504" s="5">
        <f t="shared" si="355"/>
        <v>99.85394361371938</v>
      </c>
      <c r="C1504" s="6">
        <f t="shared" si="353"/>
        <v>3851.5092536720331</v>
      </c>
      <c r="D1504" s="6">
        <f t="shared" si="346"/>
        <v>14834123.531121301</v>
      </c>
      <c r="E1504" s="7">
        <f t="shared" si="347"/>
        <v>6248571.4285714282</v>
      </c>
      <c r="F1504" s="7">
        <f t="shared" si="348"/>
        <v>124.97142857142855</v>
      </c>
      <c r="G1504" s="7">
        <f t="shared" si="349"/>
        <v>8585552.1025498733</v>
      </c>
      <c r="H1504" s="6">
        <f t="shared" si="350"/>
        <v>2930.1112781855013</v>
      </c>
      <c r="I1504" s="7">
        <f t="shared" si="351"/>
        <v>-7.3728690310993645</v>
      </c>
      <c r="J1504" s="7">
        <f t="shared" si="352"/>
        <v>-54.265367767492855</v>
      </c>
      <c r="K1504" s="8">
        <f t="shared" si="356"/>
        <v>284.38209119954689</v>
      </c>
      <c r="L1504" s="8">
        <f t="shared" si="357"/>
        <v>-11.944047830380969</v>
      </c>
      <c r="M1504" s="8">
        <f t="shared" si="354"/>
        <v>87.909895783338413</v>
      </c>
      <c r="N1504" s="8">
        <f t="shared" si="358"/>
        <v>25.000000000000007</v>
      </c>
      <c r="O1504" s="8">
        <f t="shared" si="359"/>
        <v>28.396673299391157</v>
      </c>
    </row>
    <row r="1505" spans="1:15" x14ac:dyDescent="0.3">
      <c r="A1505" s="5">
        <f t="shared" si="345"/>
        <v>14.969999999999725</v>
      </c>
      <c r="B1505" s="5">
        <f t="shared" si="355"/>
        <v>99.78021492340838</v>
      </c>
      <c r="C1505" s="6">
        <f t="shared" si="353"/>
        <v>3848.6654327600372</v>
      </c>
      <c r="D1505" s="6">
        <f t="shared" si="346"/>
        <v>14812225.613322005</v>
      </c>
      <c r="E1505" s="7">
        <f t="shared" si="347"/>
        <v>6248571.4285714282</v>
      </c>
      <c r="F1505" s="7">
        <f t="shared" si="348"/>
        <v>124.97142857142855</v>
      </c>
      <c r="G1505" s="7">
        <f t="shared" si="349"/>
        <v>8563654.1847505756</v>
      </c>
      <c r="H1505" s="6">
        <f t="shared" si="350"/>
        <v>2926.3721883503772</v>
      </c>
      <c r="I1505" s="7">
        <f t="shared" si="351"/>
        <v>-7.3800328199218352</v>
      </c>
      <c r="J1505" s="7">
        <f t="shared" si="352"/>
        <v>-54.212692441441369</v>
      </c>
      <c r="K1505" s="8">
        <f t="shared" si="356"/>
        <v>284.65840876841361</v>
      </c>
      <c r="L1505" s="8">
        <f t="shared" si="357"/>
        <v>-11.95565316827337</v>
      </c>
      <c r="M1505" s="8">
        <f t="shared" si="354"/>
        <v>87.824561755135008</v>
      </c>
      <c r="N1505" s="8">
        <f t="shared" si="358"/>
        <v>25.000000000000007</v>
      </c>
      <c r="O1505" s="8">
        <f t="shared" si="359"/>
        <v>28.403277206667745</v>
      </c>
    </row>
    <row r="1506" spans="1:15" x14ac:dyDescent="0.3">
      <c r="A1506" s="5">
        <f t="shared" si="345"/>
        <v>14.979999999999725</v>
      </c>
      <c r="B1506" s="5">
        <f t="shared" si="355"/>
        <v>99.706414595209168</v>
      </c>
      <c r="C1506" s="6">
        <f t="shared" si="353"/>
        <v>3845.8188486723534</v>
      </c>
      <c r="D1506" s="6">
        <f t="shared" si="346"/>
        <v>14790322.616803546</v>
      </c>
      <c r="E1506" s="7">
        <f t="shared" si="347"/>
        <v>6248571.4285714282</v>
      </c>
      <c r="F1506" s="7">
        <f t="shared" si="348"/>
        <v>124.97142857142855</v>
      </c>
      <c r="G1506" s="7">
        <f t="shared" si="349"/>
        <v>8541751.1882321164</v>
      </c>
      <c r="H1506" s="6">
        <f t="shared" si="350"/>
        <v>2922.6274460204668</v>
      </c>
      <c r="I1506" s="7">
        <f t="shared" si="351"/>
        <v>-7.387219728581627</v>
      </c>
      <c r="J1506" s="7">
        <f t="shared" si="352"/>
        <v>-54.159949774633915</v>
      </c>
      <c r="K1506" s="8">
        <f t="shared" si="356"/>
        <v>284.93561810243415</v>
      </c>
      <c r="L1506" s="8">
        <f t="shared" si="357"/>
        <v>-11.967295960302232</v>
      </c>
      <c r="M1506" s="8">
        <f t="shared" si="354"/>
        <v>87.73911863490693</v>
      </c>
      <c r="N1506" s="8">
        <f t="shared" si="358"/>
        <v>25.000000000000004</v>
      </c>
      <c r="O1506" s="8">
        <f t="shared" si="359"/>
        <v>28.409908871463486</v>
      </c>
    </row>
    <row r="1507" spans="1:15" x14ac:dyDescent="0.3">
      <c r="A1507" s="5">
        <f t="shared" si="345"/>
        <v>14.989999999999725</v>
      </c>
      <c r="B1507" s="5">
        <f t="shared" si="355"/>
        <v>99.632542397923345</v>
      </c>
      <c r="C1507" s="6">
        <f t="shared" si="353"/>
        <v>3842.9694924913288</v>
      </c>
      <c r="D1507" s="6">
        <f t="shared" si="346"/>
        <v>14768414.520219062</v>
      </c>
      <c r="E1507" s="7">
        <f t="shared" si="347"/>
        <v>6248571.4285714282</v>
      </c>
      <c r="F1507" s="7">
        <f t="shared" si="348"/>
        <v>124.97142857142855</v>
      </c>
      <c r="G1507" s="7">
        <f t="shared" si="349"/>
        <v>8519843.0916476324</v>
      </c>
      <c r="H1507" s="6">
        <f t="shared" si="350"/>
        <v>2918.8770257836545</v>
      </c>
      <c r="I1507" s="7">
        <f t="shared" si="351"/>
        <v>-7.3944298890646101</v>
      </c>
      <c r="J1507" s="7">
        <f t="shared" si="352"/>
        <v>-54.107139492369562</v>
      </c>
      <c r="K1507" s="8">
        <f t="shared" si="356"/>
        <v>285.21372429249209</v>
      </c>
      <c r="L1507" s="8">
        <f t="shared" si="357"/>
        <v>-11.978976420284667</v>
      </c>
      <c r="M1507" s="8">
        <f t="shared" si="354"/>
        <v>87.653565977638678</v>
      </c>
      <c r="N1507" s="8">
        <f t="shared" si="358"/>
        <v>25.000000000000004</v>
      </c>
      <c r="O1507" s="8">
        <f t="shared" si="359"/>
        <v>28.416568478041334</v>
      </c>
    </row>
    <row r="1508" spans="1:15" x14ac:dyDescent="0.3">
      <c r="A1508" s="5">
        <f t="shared" si="345"/>
        <v>14.999999999999725</v>
      </c>
      <c r="B1508" s="5">
        <f t="shared" si="355"/>
        <v>99.558598099032693</v>
      </c>
      <c r="C1508" s="6">
        <f t="shared" si="353"/>
        <v>3840.1173552484038</v>
      </c>
      <c r="D1508" s="6">
        <f t="shared" si="346"/>
        <v>14746501.302079996</v>
      </c>
      <c r="E1508" s="7">
        <f t="shared" si="347"/>
        <v>6248571.4285714282</v>
      </c>
      <c r="F1508" s="7">
        <f t="shared" si="348"/>
        <v>124.97142857142855</v>
      </c>
      <c r="G1508" s="7">
        <f t="shared" si="349"/>
        <v>8497929.8735085689</v>
      </c>
      <c r="H1508" s="6">
        <f t="shared" si="350"/>
        <v>2915.1209020396682</v>
      </c>
      <c r="I1508" s="7">
        <f t="shared" si="351"/>
        <v>-7.4016634344549042</v>
      </c>
      <c r="J1508" s="7">
        <f t="shared" si="352"/>
        <v>-54.054261318034428</v>
      </c>
      <c r="K1508" s="8">
        <f t="shared" si="356"/>
        <v>285.49273247183203</v>
      </c>
      <c r="L1508" s="8">
        <f t="shared" si="357"/>
        <v>-11.990694763816943</v>
      </c>
      <c r="M1508" s="8">
        <f t="shared" si="354"/>
        <v>87.567903335215746</v>
      </c>
      <c r="N1508" s="8">
        <f t="shared" si="358"/>
        <v>24.999999999999996</v>
      </c>
      <c r="O1508" s="8">
        <f t="shared" si="359"/>
        <v>28.423256212357785</v>
      </c>
    </row>
    <row r="1509" spans="1:15" x14ac:dyDescent="0.3">
      <c r="A1509" s="5">
        <f t="shared" si="345"/>
        <v>15.009999999999724</v>
      </c>
      <c r="B1509" s="5">
        <f t="shared" si="355"/>
        <v>99.484581464688148</v>
      </c>
      <c r="C1509" s="6">
        <f t="shared" si="353"/>
        <v>3837.2624279236857</v>
      </c>
      <c r="D1509" s="6">
        <f t="shared" si="346"/>
        <v>14724582.940754779</v>
      </c>
      <c r="E1509" s="7">
        <f t="shared" si="347"/>
        <v>6248571.4285714282</v>
      </c>
      <c r="F1509" s="7">
        <f t="shared" si="348"/>
        <v>124.97142857142855</v>
      </c>
      <c r="G1509" s="7">
        <f t="shared" si="349"/>
        <v>8476011.5121833496</v>
      </c>
      <c r="H1509" s="6">
        <f t="shared" si="350"/>
        <v>2911.3590489981393</v>
      </c>
      <c r="I1509" s="7">
        <f t="shared" si="351"/>
        <v>-7.4089204989469888</v>
      </c>
      <c r="J1509" s="7">
        <f t="shared" si="352"/>
        <v>-54.001314973082742</v>
      </c>
      <c r="K1509" s="8">
        <f t="shared" si="356"/>
        <v>285.77264781652667</v>
      </c>
      <c r="L1509" s="8">
        <f t="shared" si="357"/>
        <v>-12.002451208294119</v>
      </c>
      <c r="M1509" s="8">
        <f t="shared" si="354"/>
        <v>87.482130256394029</v>
      </c>
      <c r="N1509" s="8">
        <f t="shared" si="358"/>
        <v>25.000000000000004</v>
      </c>
      <c r="O1509" s="8">
        <f t="shared" si="359"/>
        <v>28.429972262082885</v>
      </c>
    </row>
    <row r="1510" spans="1:15" x14ac:dyDescent="0.3">
      <c r="A1510" s="5">
        <f t="shared" si="345"/>
        <v>15.019999999999724</v>
      </c>
      <c r="B1510" s="5">
        <f t="shared" si="355"/>
        <v>99.410492259698671</v>
      </c>
      <c r="C1510" s="6">
        <f t="shared" si="353"/>
        <v>3834.40470144552</v>
      </c>
      <c r="D1510" s="6">
        <f t="shared" si="346"/>
        <v>14702659.414467508</v>
      </c>
      <c r="E1510" s="7">
        <f t="shared" si="347"/>
        <v>6248571.4285714282</v>
      </c>
      <c r="F1510" s="7">
        <f t="shared" si="348"/>
        <v>124.97142857142855</v>
      </c>
      <c r="G1510" s="7">
        <f t="shared" si="349"/>
        <v>8454087.9858960807</v>
      </c>
      <c r="H1510" s="6">
        <f t="shared" si="350"/>
        <v>2907.5914406766437</v>
      </c>
      <c r="I1510" s="7">
        <f t="shared" si="351"/>
        <v>-7.4162012178579504</v>
      </c>
      <c r="J1510" s="7">
        <f t="shared" si="352"/>
        <v>-53.948300177017778</v>
      </c>
      <c r="K1510" s="8">
        <f t="shared" si="356"/>
        <v>286.05347554594948</v>
      </c>
      <c r="L1510" s="8">
        <f t="shared" si="357"/>
        <v>-12.014245972929878</v>
      </c>
      <c r="M1510" s="8">
        <f t="shared" si="354"/>
        <v>87.396246286768786</v>
      </c>
      <c r="N1510" s="8">
        <f t="shared" si="358"/>
        <v>24.999999999999993</v>
      </c>
      <c r="O1510" s="8">
        <f t="shared" si="359"/>
        <v>28.436716816620514</v>
      </c>
    </row>
    <row r="1511" spans="1:15" x14ac:dyDescent="0.3">
      <c r="A1511" s="5">
        <f t="shared" si="345"/>
        <v>15.029999999999724</v>
      </c>
      <c r="B1511" s="5">
        <f t="shared" si="355"/>
        <v>99.336330247520095</v>
      </c>
      <c r="C1511" s="6">
        <f t="shared" si="353"/>
        <v>3831.5441666900606</v>
      </c>
      <c r="D1511" s="6">
        <f t="shared" si="346"/>
        <v>14680730.701296631</v>
      </c>
      <c r="E1511" s="7">
        <f t="shared" si="347"/>
        <v>6248571.4285714282</v>
      </c>
      <c r="F1511" s="7">
        <f t="shared" si="348"/>
        <v>124.97142857142855</v>
      </c>
      <c r="G1511" s="7">
        <f t="shared" si="349"/>
        <v>8432159.2727252021</v>
      </c>
      <c r="H1511" s="6">
        <f t="shared" si="350"/>
        <v>2903.8180508987134</v>
      </c>
      <c r="I1511" s="7">
        <f t="shared" si="351"/>
        <v>-7.4235057276399541</v>
      </c>
      <c r="J1511" s="7">
        <f t="shared" si="352"/>
        <v>-53.895216647372457</v>
      </c>
      <c r="K1511" s="8">
        <f t="shared" si="356"/>
        <v>286.33522092325535</v>
      </c>
      <c r="L1511" s="8">
        <f t="shared" si="357"/>
        <v>-12.026079278776724</v>
      </c>
      <c r="M1511" s="8">
        <f t="shared" si="354"/>
        <v>87.310250968743375</v>
      </c>
      <c r="N1511" s="8">
        <f t="shared" si="358"/>
        <v>25.000000000000004</v>
      </c>
      <c r="O1511" s="8">
        <f t="shared" si="359"/>
        <v>28.443490067129119</v>
      </c>
    </row>
    <row r="1512" spans="1:15" x14ac:dyDescent="0.3">
      <c r="A1512" s="5">
        <f t="shared" si="345"/>
        <v>15.039999999999724</v>
      </c>
      <c r="B1512" s="5">
        <f t="shared" si="355"/>
        <v>99.262095190243699</v>
      </c>
      <c r="C1512" s="6">
        <f t="shared" si="353"/>
        <v>3828.6808144808283</v>
      </c>
      <c r="D1512" s="6">
        <f t="shared" si="346"/>
        <v>14658796.779173579</v>
      </c>
      <c r="E1512" s="7">
        <f t="shared" si="347"/>
        <v>6248571.4285714282</v>
      </c>
      <c r="F1512" s="7">
        <f t="shared" si="348"/>
        <v>124.97142857142855</v>
      </c>
      <c r="G1512" s="7">
        <f t="shared" si="349"/>
        <v>8410225.35060215</v>
      </c>
      <c r="H1512" s="6">
        <f t="shared" si="350"/>
        <v>2900.0388532918228</v>
      </c>
      <c r="I1512" s="7">
        <f t="shared" si="351"/>
        <v>-7.4308341658928212</v>
      </c>
      <c r="J1512" s="7">
        <f t="shared" si="352"/>
        <v>-53.842064099689722</v>
      </c>
      <c r="K1512" s="8">
        <f t="shared" si="356"/>
        <v>286.61788925586592</v>
      </c>
      <c r="L1512" s="8">
        <f t="shared" si="357"/>
        <v>-12.037951348746367</v>
      </c>
      <c r="M1512" s="8">
        <f t="shared" si="354"/>
        <v>87.224143841497337</v>
      </c>
      <c r="N1512" s="8">
        <f t="shared" si="358"/>
        <v>25.000000000000004</v>
      </c>
      <c r="O1512" s="8">
        <f t="shared" si="359"/>
        <v>28.450292206542489</v>
      </c>
    </row>
    <row r="1513" spans="1:15" x14ac:dyDescent="0.3">
      <c r="A1513" s="5">
        <f t="shared" si="345"/>
        <v>15.049999999999724</v>
      </c>
      <c r="B1513" s="5">
        <f t="shared" si="355"/>
        <v>99.187786848584764</v>
      </c>
      <c r="C1513" s="6">
        <f t="shared" si="353"/>
        <v>3825.8146355882691</v>
      </c>
      <c r="D1513" s="6">
        <f t="shared" si="346"/>
        <v>14636857.6258814</v>
      </c>
      <c r="E1513" s="7">
        <f t="shared" si="347"/>
        <v>6248571.4285714282</v>
      </c>
      <c r="F1513" s="7">
        <f t="shared" si="348"/>
        <v>124.97142857142855</v>
      </c>
      <c r="G1513" s="7">
        <f t="shared" si="349"/>
        <v>8388286.1973099718</v>
      </c>
      <c r="H1513" s="6">
        <f t="shared" si="350"/>
        <v>2896.2538212853465</v>
      </c>
      <c r="I1513" s="7">
        <f t="shared" si="351"/>
        <v>-7.4381866713768403</v>
      </c>
      <c r="J1513" s="7">
        <f t="shared" si="352"/>
        <v>-53.78884224750265</v>
      </c>
      <c r="K1513" s="8">
        <f t="shared" si="356"/>
        <v>286.90148589596384</v>
      </c>
      <c r="L1513" s="8">
        <f t="shared" si="357"/>
        <v>-12.04986240763048</v>
      </c>
      <c r="M1513" s="8">
        <f t="shared" si="354"/>
        <v>87.137924440954279</v>
      </c>
      <c r="N1513" s="8">
        <f t="shared" si="358"/>
        <v>25.000000000000007</v>
      </c>
      <c r="O1513" s="8">
        <f t="shared" si="359"/>
        <v>28.45712342959111</v>
      </c>
    </row>
    <row r="1514" spans="1:15" x14ac:dyDescent="0.3">
      <c r="A1514" s="5">
        <f t="shared" si="345"/>
        <v>15.059999999999723</v>
      </c>
      <c r="B1514" s="5">
        <f t="shared" si="355"/>
        <v>99.113404981871</v>
      </c>
      <c r="C1514" s="6">
        <f t="shared" si="353"/>
        <v>3822.9456207293097</v>
      </c>
      <c r="D1514" s="6">
        <f t="shared" si="346"/>
        <v>14614913.219053406</v>
      </c>
      <c r="E1514" s="7">
        <f t="shared" si="347"/>
        <v>6248571.4285714282</v>
      </c>
      <c r="F1514" s="7">
        <f t="shared" si="348"/>
        <v>124.97142857142855</v>
      </c>
      <c r="G1514" s="7">
        <f t="shared" si="349"/>
        <v>8366341.7904819781</v>
      </c>
      <c r="H1514" s="6">
        <f t="shared" si="350"/>
        <v>2892.4629281084967</v>
      </c>
      <c r="I1514" s="7">
        <f t="shared" si="351"/>
        <v>-7.4455633840257107</v>
      </c>
      <c r="J1514" s="7">
        <f t="shared" si="352"/>
        <v>-53.735550802314414</v>
      </c>
      <c r="K1514" s="8">
        <f t="shared" si="356"/>
        <v>287.18601624099171</v>
      </c>
      <c r="L1514" s="8">
        <f t="shared" si="357"/>
        <v>-12.06181268212165</v>
      </c>
      <c r="M1514" s="8">
        <f t="shared" si="354"/>
        <v>87.051592299749345</v>
      </c>
      <c r="N1514" s="8">
        <f t="shared" si="358"/>
        <v>25.000000000000004</v>
      </c>
      <c r="O1514" s="8">
        <f t="shared" si="359"/>
        <v>28.463983932823595</v>
      </c>
    </row>
    <row r="1515" spans="1:15" x14ac:dyDescent="0.3">
      <c r="A1515" s="5">
        <f t="shared" si="345"/>
        <v>15.069999999999723</v>
      </c>
      <c r="B1515" s="5">
        <f t="shared" si="355"/>
        <v>99.038949348030741</v>
      </c>
      <c r="C1515" s="6">
        <f t="shared" si="353"/>
        <v>3820.0737605668996</v>
      </c>
      <c r="D1515" s="6">
        <f t="shared" si="346"/>
        <v>14592963.536171734</v>
      </c>
      <c r="E1515" s="7">
        <f t="shared" si="347"/>
        <v>6248571.4285714282</v>
      </c>
      <c r="F1515" s="7">
        <f t="shared" si="348"/>
        <v>124.97142857142855</v>
      </c>
      <c r="G1515" s="7">
        <f t="shared" si="349"/>
        <v>8344392.1076003062</v>
      </c>
      <c r="H1515" s="6">
        <f t="shared" si="350"/>
        <v>2888.6661467882209</v>
      </c>
      <c r="I1515" s="7">
        <f t="shared" si="351"/>
        <v>-7.4529644449597079</v>
      </c>
      <c r="J1515" s="7">
        <f t="shared" si="352"/>
        <v>-53.682189473577793</v>
      </c>
      <c r="K1515" s="8">
        <f t="shared" si="356"/>
        <v>287.47148573416013</v>
      </c>
      <c r="L1515" s="8">
        <f t="shared" si="357"/>
        <v>-12.073802400834724</v>
      </c>
      <c r="M1515" s="8">
        <f t="shared" si="354"/>
        <v>86.965146947196018</v>
      </c>
      <c r="N1515" s="8">
        <f t="shared" si="358"/>
        <v>25</v>
      </c>
      <c r="O1515" s="8">
        <f t="shared" si="359"/>
        <v>28.470873914628626</v>
      </c>
    </row>
    <row r="1516" spans="1:15" x14ac:dyDescent="0.3">
      <c r="A1516" s="5">
        <f t="shared" si="345"/>
        <v>15.079999999999723</v>
      </c>
      <c r="B1516" s="5">
        <f t="shared" si="355"/>
        <v>98.964419703581143</v>
      </c>
      <c r="C1516" s="6">
        <f t="shared" si="353"/>
        <v>3817.199045709558</v>
      </c>
      <c r="D1516" s="6">
        <f t="shared" si="346"/>
        <v>14571008.554565961</v>
      </c>
      <c r="E1516" s="7">
        <f t="shared" si="347"/>
        <v>6248571.4285714282</v>
      </c>
      <c r="F1516" s="7">
        <f t="shared" si="348"/>
        <v>124.97142857142855</v>
      </c>
      <c r="G1516" s="7">
        <f t="shared" si="349"/>
        <v>8322437.1259945324</v>
      </c>
      <c r="H1516" s="6">
        <f t="shared" si="350"/>
        <v>2884.8634501470833</v>
      </c>
      <c r="I1516" s="7">
        <f t="shared" si="351"/>
        <v>-7.460389996498999</v>
      </c>
      <c r="J1516" s="7">
        <f t="shared" si="352"/>
        <v>-53.628757968674556</v>
      </c>
      <c r="K1516" s="8">
        <f t="shared" si="356"/>
        <v>287.75789986496136</v>
      </c>
      <c r="L1516" s="8">
        <f t="shared" si="357"/>
        <v>-12.085831794328376</v>
      </c>
      <c r="M1516" s="8">
        <f t="shared" si="354"/>
        <v>86.878587909252772</v>
      </c>
      <c r="N1516" s="8">
        <f t="shared" si="358"/>
        <v>25.000000000000004</v>
      </c>
      <c r="O1516" s="8">
        <f t="shared" si="359"/>
        <v>28.47779357525711</v>
      </c>
    </row>
    <row r="1517" spans="1:15" x14ac:dyDescent="0.3">
      <c r="A1517" s="5">
        <f t="shared" si="345"/>
        <v>15.089999999999723</v>
      </c>
      <c r="B1517" s="5">
        <f t="shared" si="355"/>
        <v>98.889815803616159</v>
      </c>
      <c r="C1517" s="6">
        <f t="shared" si="353"/>
        <v>3814.3214667109087</v>
      </c>
      <c r="D1517" s="6">
        <f t="shared" si="346"/>
        <v>14549048.251411658</v>
      </c>
      <c r="E1517" s="7">
        <f t="shared" si="347"/>
        <v>6248571.4285714282</v>
      </c>
      <c r="F1517" s="7">
        <f t="shared" si="348"/>
        <v>124.97142857142855</v>
      </c>
      <c r="G1517" s="7">
        <f t="shared" si="349"/>
        <v>8300476.8228402296</v>
      </c>
      <c r="H1517" s="6">
        <f t="shared" si="350"/>
        <v>2881.0548108011117</v>
      </c>
      <c r="I1517" s="7">
        <f t="shared" si="351"/>
        <v>-7.4678401821771612</v>
      </c>
      <c r="J1517" s="7">
        <f t="shared" si="352"/>
        <v>-53.575255992894547</v>
      </c>
      <c r="K1517" s="8">
        <f t="shared" si="356"/>
        <v>288.04526416969048</v>
      </c>
      <c r="L1517" s="8">
        <f t="shared" si="357"/>
        <v>-12.097901095127</v>
      </c>
      <c r="M1517" s="8">
        <f t="shared" si="354"/>
        <v>86.791914708489159</v>
      </c>
      <c r="N1517" s="8">
        <f t="shared" si="358"/>
        <v>25.000000000000004</v>
      </c>
      <c r="O1517" s="8">
        <f t="shared" si="359"/>
        <v>28.484743116844648</v>
      </c>
    </row>
    <row r="1518" spans="1:15" x14ac:dyDescent="0.3">
      <c r="A1518" s="5">
        <f t="shared" si="345"/>
        <v>15.099999999999723</v>
      </c>
      <c r="B1518" s="5">
        <f t="shared" si="355"/>
        <v>98.815137401794388</v>
      </c>
      <c r="C1518" s="6">
        <f t="shared" si="353"/>
        <v>3811.4410140692121</v>
      </c>
      <c r="D1518" s="6">
        <f t="shared" si="346"/>
        <v>14527082.603728944</v>
      </c>
      <c r="E1518" s="7">
        <f t="shared" si="347"/>
        <v>6248571.4285714282</v>
      </c>
      <c r="F1518" s="7">
        <f t="shared" si="348"/>
        <v>124.97142857142855</v>
      </c>
      <c r="G1518" s="7">
        <f t="shared" si="349"/>
        <v>8278511.1751575163</v>
      </c>
      <c r="H1518" s="6">
        <f t="shared" si="350"/>
        <v>2877.2402011576155</v>
      </c>
      <c r="I1518" s="7">
        <f t="shared" si="351"/>
        <v>-7.4753151467548893</v>
      </c>
      <c r="J1518" s="7">
        <f t="shared" si="352"/>
        <v>-53.521683249414501</v>
      </c>
      <c r="K1518" s="8">
        <f t="shared" si="356"/>
        <v>288.33358423197427</v>
      </c>
      <c r="L1518" s="8">
        <f t="shared" si="357"/>
        <v>-12.110010537742918</v>
      </c>
      <c r="M1518" s="8">
        <f t="shared" si="354"/>
        <v>86.705126864051465</v>
      </c>
      <c r="N1518" s="8">
        <f t="shared" si="358"/>
        <v>25</v>
      </c>
      <c r="O1518" s="8">
        <f t="shared" si="359"/>
        <v>28.491722743434394</v>
      </c>
    </row>
    <row r="1519" spans="1:15" x14ac:dyDescent="0.3">
      <c r="A1519" s="5">
        <f t="shared" si="345"/>
        <v>15.109999999999722</v>
      </c>
      <c r="B1519" s="5">
        <f t="shared" si="355"/>
        <v>98.740384250326841</v>
      </c>
      <c r="C1519" s="6">
        <f t="shared" si="353"/>
        <v>3808.5576782268922</v>
      </c>
      <c r="D1519" s="6">
        <f t="shared" si="346"/>
        <v>14505111.588381017</v>
      </c>
      <c r="E1519" s="7">
        <f t="shared" si="347"/>
        <v>6248571.4285714282</v>
      </c>
      <c r="F1519" s="7">
        <f t="shared" si="348"/>
        <v>124.97142857142855</v>
      </c>
      <c r="G1519" s="7">
        <f t="shared" si="349"/>
        <v>8256540.1598095885</v>
      </c>
      <c r="H1519" s="6">
        <f t="shared" si="350"/>
        <v>2873.4195934129752</v>
      </c>
      <c r="I1519" s="7">
        <f t="shared" si="351"/>
        <v>-7.4828150362339052</v>
      </c>
      <c r="J1519" s="7">
        <f t="shared" si="352"/>
        <v>-53.468039439276502</v>
      </c>
      <c r="K1519" s="8">
        <f t="shared" si="356"/>
        <v>288.62286568330774</v>
      </c>
      <c r="L1519" s="8">
        <f t="shared" si="357"/>
        <v>-12.122160358698924</v>
      </c>
      <c r="M1519" s="8">
        <f t="shared" si="354"/>
        <v>86.61822389162792</v>
      </c>
      <c r="N1519" s="8">
        <f t="shared" si="358"/>
        <v>25.000000000000004</v>
      </c>
      <c r="O1519" s="8">
        <f t="shared" si="359"/>
        <v>28.498732661000279</v>
      </c>
    </row>
    <row r="1520" spans="1:15" x14ac:dyDescent="0.3">
      <c r="A1520" s="5">
        <f t="shared" si="345"/>
        <v>15.119999999999722</v>
      </c>
      <c r="B1520" s="5">
        <f t="shared" si="355"/>
        <v>98.665556099964505</v>
      </c>
      <c r="C1520" s="6">
        <f t="shared" si="353"/>
        <v>3805.6714495700594</v>
      </c>
      <c r="D1520" s="6">
        <f t="shared" si="346"/>
        <v>14483135.182072677</v>
      </c>
      <c r="E1520" s="7">
        <f t="shared" si="347"/>
        <v>6248571.4285714282</v>
      </c>
      <c r="F1520" s="7">
        <f t="shared" si="348"/>
        <v>124.97142857142855</v>
      </c>
      <c r="G1520" s="7">
        <f t="shared" si="349"/>
        <v>8234563.7535012485</v>
      </c>
      <c r="H1520" s="6">
        <f t="shared" si="350"/>
        <v>2869.5929595504044</v>
      </c>
      <c r="I1520" s="7">
        <f t="shared" si="351"/>
        <v>-7.4903399978710405</v>
      </c>
      <c r="J1520" s="7">
        <f t="shared" si="352"/>
        <v>-53.414324261366318</v>
      </c>
      <c r="K1520" s="8">
        <f t="shared" si="356"/>
        <v>288.91311420359727</v>
      </c>
      <c r="L1520" s="8">
        <f t="shared" si="357"/>
        <v>-12.134350796551084</v>
      </c>
      <c r="M1520" s="8">
        <f t="shared" si="354"/>
        <v>86.531205303413415</v>
      </c>
      <c r="N1520" s="8">
        <f t="shared" si="358"/>
        <v>25.000000000000004</v>
      </c>
      <c r="O1520" s="8">
        <f t="shared" si="359"/>
        <v>28.505773077470479</v>
      </c>
    </row>
    <row r="1521" spans="1:15" x14ac:dyDescent="0.3">
      <c r="A1521" s="5">
        <f t="shared" si="345"/>
        <v>15.129999999999722</v>
      </c>
      <c r="B1521" s="5">
        <f t="shared" si="355"/>
        <v>98.590652699985796</v>
      </c>
      <c r="C1521" s="6">
        <f t="shared" si="353"/>
        <v>3802.7823184280232</v>
      </c>
      <c r="D1521" s="6">
        <f t="shared" si="346"/>
        <v>14461153.361348812</v>
      </c>
      <c r="E1521" s="7">
        <f t="shared" si="347"/>
        <v>6248571.4285714282</v>
      </c>
      <c r="F1521" s="7">
        <f t="shared" si="348"/>
        <v>124.97142857142855</v>
      </c>
      <c r="G1521" s="7">
        <f t="shared" si="349"/>
        <v>8212581.9327773834</v>
      </c>
      <c r="H1521" s="6">
        <f t="shared" si="350"/>
        <v>2865.7602713376746</v>
      </c>
      <c r="I1521" s="7">
        <f t="shared" si="351"/>
        <v>-7.4978901801925488</v>
      </c>
      <c r="J1521" s="7">
        <f t="shared" si="352"/>
        <v>-53.360537412391281</v>
      </c>
      <c r="K1521" s="8">
        <f t="shared" si="356"/>
        <v>289.20433552171261</v>
      </c>
      <c r="L1521" s="8">
        <f t="shared" si="357"/>
        <v>-12.146582091911927</v>
      </c>
      <c r="M1521" s="8">
        <f t="shared" si="354"/>
        <v>86.444070608073872</v>
      </c>
      <c r="N1521" s="8">
        <f t="shared" si="358"/>
        <v>25.000000000000011</v>
      </c>
      <c r="O1521" s="8">
        <f t="shared" si="359"/>
        <v>28.512844202751335</v>
      </c>
    </row>
    <row r="1522" spans="1:15" x14ac:dyDescent="0.3">
      <c r="A1522" s="5">
        <f t="shared" si="345"/>
        <v>15.139999999999722</v>
      </c>
      <c r="B1522" s="5">
        <f t="shared" si="355"/>
        <v>98.515673798183869</v>
      </c>
      <c r="C1522" s="6">
        <f t="shared" si="353"/>
        <v>3799.8902750728062</v>
      </c>
      <c r="D1522" s="6">
        <f t="shared" si="346"/>
        <v>14439166.102592887</v>
      </c>
      <c r="E1522" s="7">
        <f t="shared" si="347"/>
        <v>6248571.4285714282</v>
      </c>
      <c r="F1522" s="7">
        <f t="shared" si="348"/>
        <v>124.97142857142855</v>
      </c>
      <c r="G1522" s="7">
        <f t="shared" si="349"/>
        <v>8190594.6740214592</v>
      </c>
      <c r="H1522" s="6">
        <f t="shared" si="350"/>
        <v>2861.9215003248182</v>
      </c>
      <c r="I1522" s="7">
        <f t="shared" si="351"/>
        <v>-7.5054657330085925</v>
      </c>
      <c r="J1522" s="7">
        <f t="shared" si="352"/>
        <v>-53.306678586857998</v>
      </c>
      <c r="K1522" s="8">
        <f t="shared" si="356"/>
        <v>289.49653541604567</v>
      </c>
      <c r="L1522" s="8">
        <f t="shared" si="357"/>
        <v>-12.158854487473917</v>
      </c>
      <c r="M1522" s="8">
        <f t="shared" si="354"/>
        <v>86.356819310709952</v>
      </c>
      <c r="N1522" s="8">
        <f t="shared" si="358"/>
        <v>25</v>
      </c>
      <c r="O1522" s="8">
        <f t="shared" si="359"/>
        <v>28.519946248751538</v>
      </c>
    </row>
    <row r="1523" spans="1:15" x14ac:dyDescent="0.3">
      <c r="A1523" s="5">
        <f t="shared" si="345"/>
        <v>15.149999999999721</v>
      </c>
      <c r="B1523" s="5">
        <f t="shared" si="355"/>
        <v>98.440619140853784</v>
      </c>
      <c r="C1523" s="6">
        <f t="shared" si="353"/>
        <v>3796.9953097186458</v>
      </c>
      <c r="D1523" s="6">
        <f t="shared" si="346"/>
        <v>14417173.382025395</v>
      </c>
      <c r="E1523" s="7">
        <f t="shared" si="347"/>
        <v>6248571.4285714282</v>
      </c>
      <c r="F1523" s="7">
        <f t="shared" si="348"/>
        <v>124.97142857142855</v>
      </c>
      <c r="G1523" s="7">
        <f t="shared" si="349"/>
        <v>8168601.9534539664</v>
      </c>
      <c r="H1523" s="6">
        <f t="shared" si="350"/>
        <v>2858.0766178417903</v>
      </c>
      <c r="I1523" s="7">
        <f t="shared" si="351"/>
        <v>-7.5130668074279718</v>
      </c>
      <c r="J1523" s="7">
        <f t="shared" si="352"/>
        <v>-53.252747477049681</v>
      </c>
      <c r="K1523" s="8">
        <f t="shared" si="356"/>
        <v>289.78971971507889</v>
      </c>
      <c r="L1523" s="8">
        <f t="shared" si="357"/>
        <v>-12.171168228033313</v>
      </c>
      <c r="M1523" s="8">
        <f t="shared" si="354"/>
        <v>86.269450912820474</v>
      </c>
      <c r="N1523" s="8">
        <f t="shared" si="358"/>
        <v>25</v>
      </c>
      <c r="O1523" s="8">
        <f t="shared" si="359"/>
        <v>28.527079429406847</v>
      </c>
    </row>
    <row r="1524" spans="1:15" x14ac:dyDescent="0.3">
      <c r="A1524" s="5">
        <f t="shared" si="345"/>
        <v>15.159999999999721</v>
      </c>
      <c r="B1524" s="5">
        <f t="shared" si="355"/>
        <v>98.365488472779504</v>
      </c>
      <c r="C1524" s="6">
        <f t="shared" si="353"/>
        <v>3794.0974125214948</v>
      </c>
      <c r="D1524" s="6">
        <f t="shared" si="346"/>
        <v>14395175.175702302</v>
      </c>
      <c r="E1524" s="7">
        <f t="shared" si="347"/>
        <v>6248571.4285714282</v>
      </c>
      <c r="F1524" s="7">
        <f t="shared" si="348"/>
        <v>124.97142857142855</v>
      </c>
      <c r="G1524" s="7">
        <f t="shared" si="349"/>
        <v>8146603.7471308736</v>
      </c>
      <c r="H1524" s="6">
        <f t="shared" si="350"/>
        <v>2854.2255949961059</v>
      </c>
      <c r="I1524" s="7">
        <f t="shared" si="351"/>
        <v>-7.5206935558730263</v>
      </c>
      <c r="J1524" s="7">
        <f t="shared" si="352"/>
        <v>-53.198743773003216</v>
      </c>
      <c r="K1524" s="8">
        <f t="shared" si="356"/>
        <v>290.08389429795955</v>
      </c>
      <c r="L1524" s="8">
        <f t="shared" si="357"/>
        <v>-12.183523560514299</v>
      </c>
      <c r="M1524" s="8">
        <f t="shared" si="354"/>
        <v>86.181964912265201</v>
      </c>
      <c r="N1524" s="8">
        <f t="shared" si="358"/>
        <v>24.999999999999996</v>
      </c>
      <c r="O1524" s="8">
        <f t="shared" si="359"/>
        <v>28.534243960704927</v>
      </c>
    </row>
    <row r="1525" spans="1:15" x14ac:dyDescent="0.3">
      <c r="A1525" s="5">
        <f t="shared" ref="A1525:A1587" si="360">A1524+$B$5</f>
        <v>15.169999999999721</v>
      </c>
      <c r="B1525" s="5">
        <f t="shared" si="355"/>
        <v>98.290281537220778</v>
      </c>
      <c r="C1525" s="6">
        <f t="shared" si="353"/>
        <v>3791.1965735785157</v>
      </c>
      <c r="D1525" s="6">
        <f t="shared" ref="D1525:D1587" si="361">POWER(C1525,2)</f>
        <v>14373171.459513478</v>
      </c>
      <c r="E1525" s="7">
        <f t="shared" ref="E1525:E1587" si="362">4*$B$2*$B$3*POWER($B$1,2)</f>
        <v>6248571.4285714282</v>
      </c>
      <c r="F1525" s="7">
        <f t="shared" ref="F1525:F1587" si="363">POWER($B$1,2)*2*$B$2</f>
        <v>124.97142857142855</v>
      </c>
      <c r="G1525" s="7">
        <f t="shared" ref="G1525:G1587" si="364">D1525-E1525</f>
        <v>8124600.0309420498</v>
      </c>
      <c r="H1525" s="6">
        <f t="shared" ref="H1525:H1587" si="365">SQRT(G1525)</f>
        <v>2850.3684026704427</v>
      </c>
      <c r="I1525" s="7">
        <f t="shared" ref="I1525:I1587" si="366">(-C1525+H1525)/F1525</f>
        <v>-7.5283461320947778</v>
      </c>
      <c r="J1525" s="7">
        <f t="shared" ref="J1525:J1587" si="367">(-C1525-H1525)/F1525</f>
        <v>-53.144667162485959</v>
      </c>
      <c r="K1525" s="8">
        <f t="shared" si="356"/>
        <v>290.37906509508429</v>
      </c>
      <c r="L1525" s="8">
        <f t="shared" si="357"/>
        <v>-12.195920733993539</v>
      </c>
      <c r="M1525" s="8">
        <f t="shared" si="354"/>
        <v>86.094360803227232</v>
      </c>
      <c r="N1525" s="8">
        <f t="shared" si="358"/>
        <v>24.999999999999993</v>
      </c>
      <c r="O1525" s="8">
        <f t="shared" si="359"/>
        <v>28.541440060710794</v>
      </c>
    </row>
    <row r="1526" spans="1:15" x14ac:dyDescent="0.3">
      <c r="A1526" s="5">
        <f t="shared" si="360"/>
        <v>15.179999999999721</v>
      </c>
      <c r="B1526" s="5">
        <f t="shared" si="355"/>
        <v>98.214998075899828</v>
      </c>
      <c r="C1526" s="6">
        <f t="shared" si="353"/>
        <v>3788.2927829275645</v>
      </c>
      <c r="D1526" s="6">
        <f t="shared" si="361"/>
        <v>14351162.209181072</v>
      </c>
      <c r="E1526" s="7">
        <f t="shared" si="362"/>
        <v>6248571.4285714282</v>
      </c>
      <c r="F1526" s="7">
        <f t="shared" si="363"/>
        <v>124.97142857142855</v>
      </c>
      <c r="G1526" s="7">
        <f t="shared" si="364"/>
        <v>8102590.780609644</v>
      </c>
      <c r="H1526" s="6">
        <f t="shared" si="365"/>
        <v>2846.5050115202052</v>
      </c>
      <c r="I1526" s="7">
        <f t="shared" si="366"/>
        <v>-7.53602469118829</v>
      </c>
      <c r="J1526" s="7">
        <f t="shared" si="367"/>
        <v>-53.090517330972105</v>
      </c>
      <c r="K1526" s="8">
        <f t="shared" si="356"/>
        <v>290.67523808869117</v>
      </c>
      <c r="L1526" s="8">
        <f t="shared" si="357"/>
        <v>-12.208359999725028</v>
      </c>
      <c r="M1526" s="8">
        <f t="shared" si="354"/>
        <v>86.006638076174795</v>
      </c>
      <c r="N1526" s="8">
        <f t="shared" si="358"/>
        <v>25</v>
      </c>
      <c r="O1526" s="8">
        <f t="shared" si="359"/>
        <v>28.548667949592527</v>
      </c>
    </row>
    <row r="1527" spans="1:15" x14ac:dyDescent="0.3">
      <c r="A1527" s="5">
        <f t="shared" si="360"/>
        <v>15.189999999999721</v>
      </c>
      <c r="B1527" s="5">
        <f t="shared" si="355"/>
        <v>98.139637828987944</v>
      </c>
      <c r="C1527" s="6">
        <f t="shared" si="353"/>
        <v>3785.3860305466778</v>
      </c>
      <c r="D1527" s="6">
        <f t="shared" si="361"/>
        <v>14329147.400257934</v>
      </c>
      <c r="E1527" s="7">
        <f t="shared" si="362"/>
        <v>6248571.4285714282</v>
      </c>
      <c r="F1527" s="7">
        <f t="shared" si="363"/>
        <v>124.97142857142855</v>
      </c>
      <c r="G1527" s="7">
        <f t="shared" si="364"/>
        <v>8080575.9716865057</v>
      </c>
      <c r="H1527" s="6">
        <f t="shared" si="365"/>
        <v>2842.6353919710677</v>
      </c>
      <c r="I1527" s="7">
        <f t="shared" si="366"/>
        <v>-7.5437293896082211</v>
      </c>
      <c r="J1527" s="7">
        <f t="shared" si="367"/>
        <v>-53.036293961618924</v>
      </c>
      <c r="K1527" s="8">
        <f t="shared" si="356"/>
        <v>290.97241931345997</v>
      </c>
      <c r="L1527" s="8">
        <f t="shared" si="357"/>
        <v>-12.220841611165318</v>
      </c>
      <c r="M1527" s="8">
        <f t="shared" si="354"/>
        <v>85.918796217822631</v>
      </c>
      <c r="N1527" s="8">
        <f t="shared" si="358"/>
        <v>25.000000000000004</v>
      </c>
      <c r="O1527" s="8">
        <f t="shared" si="359"/>
        <v>28.555927849647379</v>
      </c>
    </row>
    <row r="1528" spans="1:15" x14ac:dyDescent="0.3">
      <c r="A1528" s="5">
        <f t="shared" si="360"/>
        <v>15.19999999999972</v>
      </c>
      <c r="B1528" s="5">
        <f t="shared" si="355"/>
        <v>98.064200535091857</v>
      </c>
      <c r="C1528" s="6">
        <f t="shared" si="353"/>
        <v>3782.4763063535429</v>
      </c>
      <c r="D1528" s="6">
        <f t="shared" si="361"/>
        <v>14307127.00812594</v>
      </c>
      <c r="E1528" s="7">
        <f t="shared" si="362"/>
        <v>6248571.4285714282</v>
      </c>
      <c r="F1528" s="7">
        <f t="shared" si="363"/>
        <v>124.97142857142855</v>
      </c>
      <c r="G1528" s="7">
        <f t="shared" si="364"/>
        <v>8058555.5795545122</v>
      </c>
      <c r="H1528" s="6">
        <f t="shared" si="365"/>
        <v>2838.7595142164669</v>
      </c>
      <c r="I1528" s="7">
        <f t="shared" si="366"/>
        <v>-7.5514603851846518</v>
      </c>
      <c r="J1528" s="7">
        <f t="shared" si="367"/>
        <v>-52.981996735242426</v>
      </c>
      <c r="K1528" s="8">
        <f t="shared" si="356"/>
        <v>291.27061485712227</v>
      </c>
      <c r="L1528" s="8">
        <f t="shared" si="357"/>
        <v>-12.233365823999135</v>
      </c>
      <c r="M1528" s="8">
        <f t="shared" si="354"/>
        <v>85.83083471109272</v>
      </c>
      <c r="N1528" s="8">
        <f t="shared" si="358"/>
        <v>25.000000000000007</v>
      </c>
      <c r="O1528" s="8">
        <f t="shared" si="359"/>
        <v>28.563219985328342</v>
      </c>
    </row>
    <row r="1529" spans="1:15" x14ac:dyDescent="0.3">
      <c r="A1529" s="5">
        <f t="shared" si="360"/>
        <v>15.20999999999972</v>
      </c>
      <c r="B1529" s="5">
        <f t="shared" si="355"/>
        <v>97.988685931240013</v>
      </c>
      <c r="C1529" s="6">
        <f t="shared" si="353"/>
        <v>3779.5636002049719</v>
      </c>
      <c r="D1529" s="6">
        <f t="shared" si="361"/>
        <v>14285101.007994369</v>
      </c>
      <c r="E1529" s="7">
        <f t="shared" si="362"/>
        <v>6248571.4285714282</v>
      </c>
      <c r="F1529" s="7">
        <f t="shared" si="363"/>
        <v>124.97142857142855</v>
      </c>
      <c r="G1529" s="7">
        <f t="shared" si="364"/>
        <v>8036529.5794229405</v>
      </c>
      <c r="H1529" s="6">
        <f t="shared" si="365"/>
        <v>2834.8773482150759</v>
      </c>
      <c r="I1529" s="7">
        <f t="shared" si="366"/>
        <v>-7.5592178371390863</v>
      </c>
      <c r="J1529" s="7">
        <f t="shared" si="367"/>
        <v>-52.927625330293033</v>
      </c>
      <c r="K1529" s="8">
        <f t="shared" si="356"/>
        <v>291.56983086107903</v>
      </c>
      <c r="L1529" s="8">
        <f t="shared" si="357"/>
        <v>-12.245932896165318</v>
      </c>
      <c r="M1529" s="8">
        <f t="shared" si="354"/>
        <v>85.742753035074699</v>
      </c>
      <c r="N1529" s="8">
        <f t="shared" si="358"/>
        <v>25</v>
      </c>
      <c r="O1529" s="8">
        <f t="shared" si="359"/>
        <v>28.570544583271044</v>
      </c>
    </row>
    <row r="1530" spans="1:15" x14ac:dyDescent="0.3">
      <c r="A1530" s="5">
        <f t="shared" si="360"/>
        <v>15.21999999999972</v>
      </c>
      <c r="B1530" s="5">
        <f t="shared" si="355"/>
        <v>97.913093752868619</v>
      </c>
      <c r="C1530" s="6">
        <f t="shared" si="353"/>
        <v>3776.647901896361</v>
      </c>
      <c r="D1530" s="6">
        <f t="shared" si="361"/>
        <v>14263069.374898186</v>
      </c>
      <c r="E1530" s="7">
        <f t="shared" si="362"/>
        <v>6248571.4285714282</v>
      </c>
      <c r="F1530" s="7">
        <f t="shared" si="363"/>
        <v>124.97142857142855</v>
      </c>
      <c r="G1530" s="7">
        <f t="shared" si="364"/>
        <v>8014497.9463267578</v>
      </c>
      <c r="H1530" s="6">
        <f t="shared" si="365"/>
        <v>2830.988863688227</v>
      </c>
      <c r="I1530" s="7">
        <f t="shared" si="366"/>
        <v>-7.5670019061007538</v>
      </c>
      <c r="J1530" s="7">
        <f t="shared" si="367"/>
        <v>-52.873179422830503</v>
      </c>
      <c r="K1530" s="8">
        <f t="shared" si="356"/>
        <v>291.87007352102904</v>
      </c>
      <c r="L1530" s="8">
        <f t="shared" si="357"/>
        <v>-12.258543087883218</v>
      </c>
      <c r="M1530" s="8">
        <f t="shared" si="354"/>
        <v>85.654550664985408</v>
      </c>
      <c r="N1530" s="8">
        <f t="shared" si="358"/>
        <v>24.999999999999996</v>
      </c>
      <c r="O1530" s="8">
        <f t="shared" si="359"/>
        <v>28.577901872321174</v>
      </c>
    </row>
    <row r="1531" spans="1:15" x14ac:dyDescent="0.3">
      <c r="A1531" s="5">
        <f t="shared" si="360"/>
        <v>15.22999999999972</v>
      </c>
      <c r="B1531" s="5">
        <f t="shared" si="355"/>
        <v>97.837423733807611</v>
      </c>
      <c r="C1531" s="6">
        <f t="shared" si="353"/>
        <v>3773.7292011611507</v>
      </c>
      <c r="D1531" s="6">
        <f t="shared" si="361"/>
        <v>14241032.083696377</v>
      </c>
      <c r="E1531" s="7">
        <f t="shared" si="362"/>
        <v>6248571.4285714282</v>
      </c>
      <c r="F1531" s="7">
        <f t="shared" si="363"/>
        <v>124.97142857142855</v>
      </c>
      <c r="G1531" s="7">
        <f t="shared" si="364"/>
        <v>7992460.6551249484</v>
      </c>
      <c r="H1531" s="6">
        <f t="shared" si="365"/>
        <v>2827.0940301173127</v>
      </c>
      <c r="I1531" s="7">
        <f t="shared" si="366"/>
        <v>-7.5748127541230765</v>
      </c>
      <c r="J1531" s="7">
        <f t="shared" si="367"/>
        <v>-52.818658686498921</v>
      </c>
      <c r="K1531" s="8">
        <f t="shared" si="356"/>
        <v>292.17134908760437</v>
      </c>
      <c r="L1531" s="8">
        <f t="shared" si="357"/>
        <v>-12.271196661679383</v>
      </c>
      <c r="M1531" s="8">
        <f t="shared" si="354"/>
        <v>85.566227072128228</v>
      </c>
      <c r="N1531" s="8">
        <f t="shared" si="358"/>
        <v>25</v>
      </c>
      <c r="O1531" s="8">
        <f t="shared" si="359"/>
        <v>28.585292083562173</v>
      </c>
    </row>
    <row r="1532" spans="1:15" x14ac:dyDescent="0.3">
      <c r="A1532" s="5">
        <f t="shared" si="360"/>
        <v>15.23999999999972</v>
      </c>
      <c r="B1532" s="5">
        <f t="shared" si="355"/>
        <v>97.76167560626638</v>
      </c>
      <c r="C1532" s="6">
        <f t="shared" si="353"/>
        <v>3770.8074876702744</v>
      </c>
      <c r="D1532" s="6">
        <f t="shared" si="361"/>
        <v>14218989.109070206</v>
      </c>
      <c r="E1532" s="7">
        <f t="shared" si="362"/>
        <v>6248571.4285714282</v>
      </c>
      <c r="F1532" s="7">
        <f t="shared" si="363"/>
        <v>124.97142857142855</v>
      </c>
      <c r="G1532" s="7">
        <f t="shared" si="364"/>
        <v>7970417.6804987779</v>
      </c>
      <c r="H1532" s="6">
        <f t="shared" si="365"/>
        <v>2823.1928167411411</v>
      </c>
      <c r="I1532" s="7">
        <f t="shared" si="366"/>
        <v>-7.582650544700428</v>
      </c>
      <c r="J1532" s="7">
        <f t="shared" si="367"/>
        <v>-52.764062792501051</v>
      </c>
      <c r="K1532" s="8">
        <f t="shared" si="356"/>
        <v>292.47366386701651</v>
      </c>
      <c r="L1532" s="8">
        <f t="shared" si="357"/>
        <v>-12.283893882414691</v>
      </c>
      <c r="M1532" s="8">
        <f t="shared" si="354"/>
        <v>85.477781723851692</v>
      </c>
      <c r="N1532" s="8">
        <f t="shared" si="358"/>
        <v>25.000000000000007</v>
      </c>
      <c r="O1532" s="8">
        <f t="shared" si="359"/>
        <v>28.592715450343462</v>
      </c>
    </row>
    <row r="1533" spans="1:15" x14ac:dyDescent="0.3">
      <c r="A1533" s="5">
        <f t="shared" si="360"/>
        <v>15.249999999999719</v>
      </c>
      <c r="B1533" s="5">
        <f t="shared" si="355"/>
        <v>97.685849100819382</v>
      </c>
      <c r="C1533" s="6">
        <f t="shared" si="353"/>
        <v>3767.8827510316046</v>
      </c>
      <c r="D1533" s="6">
        <f t="shared" si="361"/>
        <v>14196940.425521493</v>
      </c>
      <c r="E1533" s="7">
        <f t="shared" si="362"/>
        <v>6248571.4285714282</v>
      </c>
      <c r="F1533" s="7">
        <f t="shared" si="363"/>
        <v>124.97142857142855</v>
      </c>
      <c r="G1533" s="7">
        <f t="shared" si="364"/>
        <v>7948368.9969500648</v>
      </c>
      <c r="H1533" s="6">
        <f t="shared" si="365"/>
        <v>2819.2851925532586</v>
      </c>
      <c r="I1533" s="7">
        <f t="shared" si="366"/>
        <v>-7.5905154427851196</v>
      </c>
      <c r="J1533" s="7">
        <f t="shared" si="367"/>
        <v>-52.70939140957254</v>
      </c>
      <c r="K1533" s="8">
        <f t="shared" si="356"/>
        <v>292.77702422171171</v>
      </c>
      <c r="L1533" s="8">
        <f t="shared" si="357"/>
        <v>-12.296635017311891</v>
      </c>
      <c r="M1533" s="8">
        <f t="shared" si="354"/>
        <v>85.389214083507497</v>
      </c>
      <c r="N1533" s="8">
        <f t="shared" si="358"/>
        <v>25</v>
      </c>
      <c r="O1533" s="8">
        <f t="shared" si="359"/>
        <v>28.600172208309072</v>
      </c>
    </row>
    <row r="1534" spans="1:15" x14ac:dyDescent="0.3">
      <c r="A1534" s="5">
        <f t="shared" si="360"/>
        <v>15.259999999999719</v>
      </c>
      <c r="B1534" s="5">
        <f t="shared" si="355"/>
        <v>97.609943946391525</v>
      </c>
      <c r="C1534" s="6">
        <f t="shared" si="353"/>
        <v>3764.9549807893873</v>
      </c>
      <c r="D1534" s="6">
        <f t="shared" si="361"/>
        <v>14174886.007370815</v>
      </c>
      <c r="E1534" s="7">
        <f t="shared" si="362"/>
        <v>6248571.4285714282</v>
      </c>
      <c r="F1534" s="7">
        <f t="shared" si="363"/>
        <v>124.97142857142855</v>
      </c>
      <c r="G1534" s="7">
        <f t="shared" si="364"/>
        <v>7926314.5787993865</v>
      </c>
      <c r="H1534" s="6">
        <f t="shared" si="365"/>
        <v>2815.3711262992283</v>
      </c>
      <c r="I1534" s="7">
        <f t="shared" si="366"/>
        <v>-7.5984076148046569</v>
      </c>
      <c r="J1534" s="7">
        <f t="shared" si="367"/>
        <v>-52.654644203955556</v>
      </c>
      <c r="K1534" s="8">
        <f t="shared" si="356"/>
        <v>293.08143657103676</v>
      </c>
      <c r="L1534" s="8">
        <f t="shared" si="357"/>
        <v>-12.309420335983543</v>
      </c>
      <c r="M1534" s="8">
        <f t="shared" si="354"/>
        <v>85.300523610407978</v>
      </c>
      <c r="N1534" s="8">
        <f t="shared" si="358"/>
        <v>25.000000000000011</v>
      </c>
      <c r="O1534" s="8">
        <f t="shared" si="359"/>
        <v>28.607662595426802</v>
      </c>
    </row>
    <row r="1535" spans="1:15" x14ac:dyDescent="0.3">
      <c r="A1535" s="5">
        <f t="shared" si="360"/>
        <v>15.269999999999719</v>
      </c>
      <c r="B1535" s="5">
        <f t="shared" si="355"/>
        <v>97.533959870243478</v>
      </c>
      <c r="C1535" s="6">
        <f t="shared" si="353"/>
        <v>3762.0241664236769</v>
      </c>
      <c r="D1535" s="6">
        <f t="shared" si="361"/>
        <v>14152825.828755761</v>
      </c>
      <c r="E1535" s="7">
        <f t="shared" si="362"/>
        <v>6248571.4285714282</v>
      </c>
      <c r="F1535" s="7">
        <f t="shared" si="363"/>
        <v>124.97142857142855</v>
      </c>
      <c r="G1535" s="7">
        <f t="shared" si="364"/>
        <v>7904254.4001843324</v>
      </c>
      <c r="H1535" s="6">
        <f t="shared" si="365"/>
        <v>2811.4505864738817</v>
      </c>
      <c r="I1535" s="7">
        <f t="shared" si="366"/>
        <v>-7.6063272286792039</v>
      </c>
      <c r="J1535" s="7">
        <f t="shared" si="367"/>
        <v>-52.599820839372335</v>
      </c>
      <c r="K1535" s="8">
        <f t="shared" si="356"/>
        <v>293.38690739191213</v>
      </c>
      <c r="L1535" s="8">
        <f t="shared" si="357"/>
        <v>-12.322250110460308</v>
      </c>
      <c r="M1535" s="8">
        <f t="shared" si="354"/>
        <v>85.211709759783176</v>
      </c>
      <c r="N1535" s="8">
        <f t="shared" si="358"/>
        <v>25</v>
      </c>
      <c r="O1535" s="8">
        <f t="shared" si="359"/>
        <v>28.615186852017601</v>
      </c>
    </row>
    <row r="1536" spans="1:15" x14ac:dyDescent="0.3">
      <c r="A1536" s="5">
        <f t="shared" si="360"/>
        <v>15.279999999999719</v>
      </c>
      <c r="B1536" s="5">
        <f t="shared" si="355"/>
        <v>97.45789659795669</v>
      </c>
      <c r="C1536" s="6">
        <f t="shared" si="353"/>
        <v>3759.0902973497577</v>
      </c>
      <c r="D1536" s="6">
        <f t="shared" si="361"/>
        <v>14130759.86362909</v>
      </c>
      <c r="E1536" s="7">
        <f t="shared" si="362"/>
        <v>6248571.4285714282</v>
      </c>
      <c r="F1536" s="7">
        <f t="shared" si="363"/>
        <v>124.97142857142855</v>
      </c>
      <c r="G1536" s="7">
        <f t="shared" si="364"/>
        <v>7882188.4350576615</v>
      </c>
      <c r="H1536" s="6">
        <f t="shared" si="365"/>
        <v>2807.523541318516</v>
      </c>
      <c r="I1536" s="7">
        <f t="shared" si="366"/>
        <v>-7.6142744538393847</v>
      </c>
      <c r="J1536" s="7">
        <f t="shared" si="367"/>
        <v>-52.544920976998092</v>
      </c>
      <c r="K1536" s="8">
        <f t="shared" si="356"/>
        <v>293.69344321951911</v>
      </c>
      <c r="L1536" s="8">
        <f t="shared" si="357"/>
        <v>-12.335124615219801</v>
      </c>
      <c r="M1536" s="8">
        <f t="shared" si="354"/>
        <v>85.122771982736893</v>
      </c>
      <c r="N1536" s="8">
        <f t="shared" si="358"/>
        <v>25.000000000000011</v>
      </c>
      <c r="O1536" s="8">
        <f t="shared" si="359"/>
        <v>28.622745220785756</v>
      </c>
    </row>
    <row r="1537" spans="1:15" x14ac:dyDescent="0.3">
      <c r="A1537" s="5">
        <f t="shared" si="360"/>
        <v>15.289999999999718</v>
      </c>
      <c r="B1537" s="5">
        <f t="shared" si="355"/>
        <v>97.381753853418303</v>
      </c>
      <c r="C1537" s="6">
        <f t="shared" si="353"/>
        <v>3756.1533629175628</v>
      </c>
      <c r="D1537" s="6">
        <f t="shared" si="361"/>
        <v>14108688.085756917</v>
      </c>
      <c r="E1537" s="7">
        <f t="shared" si="362"/>
        <v>6248571.4285714282</v>
      </c>
      <c r="F1537" s="7">
        <f t="shared" si="363"/>
        <v>124.97142857142855</v>
      </c>
      <c r="G1537" s="7">
        <f t="shared" si="364"/>
        <v>7860116.6571854884</v>
      </c>
      <c r="H1537" s="6">
        <f t="shared" si="365"/>
        <v>2803.5899588180664</v>
      </c>
      <c r="I1537" s="7">
        <f t="shared" si="366"/>
        <v>-7.6222494612442571</v>
      </c>
      <c r="J1537" s="7">
        <f t="shared" si="367"/>
        <v>-52.489944275433714</v>
      </c>
      <c r="K1537" s="8">
        <f t="shared" si="356"/>
        <v>294.00105064799277</v>
      </c>
      <c r="L1537" s="8">
        <f t="shared" si="357"/>
        <v>-12.348044127215696</v>
      </c>
      <c r="M1537" s="8">
        <f t="shared" si="354"/>
        <v>85.033709726202602</v>
      </c>
      <c r="N1537" s="8">
        <f t="shared" si="358"/>
        <v>25.000000000000007</v>
      </c>
      <c r="O1537" s="8">
        <f t="shared" si="359"/>
        <v>28.630337946849199</v>
      </c>
    </row>
    <row r="1538" spans="1:15" x14ac:dyDescent="0.3">
      <c r="A1538" s="5">
        <f t="shared" si="360"/>
        <v>15.299999999999718</v>
      </c>
      <c r="B1538" s="5">
        <f t="shared" si="355"/>
        <v>97.305531358805865</v>
      </c>
      <c r="C1538" s="6">
        <f t="shared" si="353"/>
        <v>3753.2133524110832</v>
      </c>
      <c r="D1538" s="6">
        <f t="shared" si="361"/>
        <v>14086610.468716841</v>
      </c>
      <c r="E1538" s="7">
        <f t="shared" si="362"/>
        <v>6248571.4285714282</v>
      </c>
      <c r="F1538" s="7">
        <f t="shared" si="363"/>
        <v>124.97142857142855</v>
      </c>
      <c r="G1538" s="7">
        <f t="shared" si="364"/>
        <v>7838039.040145413</v>
      </c>
      <c r="H1538" s="6">
        <f t="shared" si="365"/>
        <v>2799.6498066982258</v>
      </c>
      <c r="I1538" s="7">
        <f t="shared" si="366"/>
        <v>-7.6302524233996376</v>
      </c>
      <c r="J1538" s="7">
        <f t="shared" si="367"/>
        <v>-52.434890390678063</v>
      </c>
      <c r="K1538" s="8">
        <f t="shared" si="356"/>
        <v>294.30973633112887</v>
      </c>
      <c r="L1538" s="8">
        <f t="shared" si="357"/>
        <v>-12.361008925907411</v>
      </c>
      <c r="M1538" s="8">
        <f t="shared" si="354"/>
        <v>84.944522432898452</v>
      </c>
      <c r="N1538" s="8">
        <f t="shared" si="358"/>
        <v>25.000000000000004</v>
      </c>
      <c r="O1538" s="8">
        <f t="shared" si="359"/>
        <v>28.637965277770544</v>
      </c>
    </row>
    <row r="1539" spans="1:15" x14ac:dyDescent="0.3">
      <c r="A1539" s="5">
        <f t="shared" si="360"/>
        <v>15.309999999999718</v>
      </c>
      <c r="B1539" s="5">
        <f t="shared" si="355"/>
        <v>97.22922883457187</v>
      </c>
      <c r="C1539" s="6">
        <f t="shared" si="353"/>
        <v>3750.270255047772</v>
      </c>
      <c r="D1539" s="6">
        <f t="shared" si="361"/>
        <v>14064526.985896081</v>
      </c>
      <c r="E1539" s="7">
        <f t="shared" si="362"/>
        <v>6248571.4285714282</v>
      </c>
      <c r="F1539" s="7">
        <f t="shared" si="363"/>
        <v>124.97142857142855</v>
      </c>
      <c r="G1539" s="7">
        <f t="shared" si="364"/>
        <v>7815955.5573246526</v>
      </c>
      <c r="H1539" s="6">
        <f t="shared" si="365"/>
        <v>2795.7030524225302</v>
      </c>
      <c r="I1539" s="7">
        <f t="shared" si="366"/>
        <v>-7.638283514376651</v>
      </c>
      <c r="J1539" s="7">
        <f t="shared" si="367"/>
        <v>-52.379758976099815</v>
      </c>
      <c r="K1539" s="8">
        <f t="shared" si="356"/>
        <v>294.61950698309937</v>
      </c>
      <c r="L1539" s="8">
        <f t="shared" si="357"/>
        <v>-12.374019293290173</v>
      </c>
      <c r="M1539" s="8">
        <f t="shared" si="354"/>
        <v>84.855209541281695</v>
      </c>
      <c r="N1539" s="8">
        <f t="shared" si="358"/>
        <v>25.000000000000004</v>
      </c>
      <c r="O1539" s="8">
        <f t="shared" si="359"/>
        <v>28.645627463588514</v>
      </c>
    </row>
    <row r="1540" spans="1:15" x14ac:dyDescent="0.3">
      <c r="A1540" s="5">
        <f t="shared" si="360"/>
        <v>15.319999999999718</v>
      </c>
      <c r="B1540" s="5">
        <f t="shared" si="355"/>
        <v>97.152845999428109</v>
      </c>
      <c r="C1540" s="6">
        <f t="shared" si="353"/>
        <v>3747.324059977941</v>
      </c>
      <c r="D1540" s="6">
        <f t="shared" si="361"/>
        <v>14042437.61048956</v>
      </c>
      <c r="E1540" s="7">
        <f t="shared" si="362"/>
        <v>6248571.4285714282</v>
      </c>
      <c r="F1540" s="7">
        <f t="shared" si="363"/>
        <v>124.97142857142855</v>
      </c>
      <c r="G1540" s="7">
        <f t="shared" si="364"/>
        <v>7793866.1819181321</v>
      </c>
      <c r="H1540" s="6">
        <f t="shared" si="365"/>
        <v>2791.7496631894005</v>
      </c>
      <c r="I1540" s="7">
        <f t="shared" si="366"/>
        <v>-7.6463429098305724</v>
      </c>
      <c r="J1540" s="7">
        <f t="shared" si="367"/>
        <v>-52.324549682409007</v>
      </c>
      <c r="K1540" s="8">
        <f t="shared" si="356"/>
        <v>294.93036937917918</v>
      </c>
      <c r="L1540" s="8">
        <f t="shared" si="357"/>
        <v>-12.387075513925524</v>
      </c>
      <c r="M1540" s="8">
        <f t="shared" si="354"/>
        <v>84.765770485502586</v>
      </c>
      <c r="N1540" s="8">
        <f t="shared" si="358"/>
        <v>25.000000000000004</v>
      </c>
      <c r="O1540" s="8">
        <f t="shared" si="359"/>
        <v>28.653324756849845</v>
      </c>
    </row>
    <row r="1541" spans="1:15" x14ac:dyDescent="0.3">
      <c r="A1541" s="5">
        <f t="shared" si="360"/>
        <v>15.329999999999718</v>
      </c>
      <c r="B1541" s="5">
        <f t="shared" si="355"/>
        <v>97.076382570329798</v>
      </c>
      <c r="C1541" s="6">
        <f t="shared" si="353"/>
        <v>3744.374756284149</v>
      </c>
      <c r="D1541" s="6">
        <f t="shared" si="361"/>
        <v>14020342.315497981</v>
      </c>
      <c r="E1541" s="7">
        <f t="shared" si="362"/>
        <v>6248571.4285714282</v>
      </c>
      <c r="F1541" s="7">
        <f t="shared" si="363"/>
        <v>124.97142857142855</v>
      </c>
      <c r="G1541" s="7">
        <f t="shared" si="364"/>
        <v>7771770.8869265532</v>
      </c>
      <c r="H1541" s="6">
        <f t="shared" si="365"/>
        <v>2787.7896059291406</v>
      </c>
      <c r="I1541" s="7">
        <f t="shared" si="366"/>
        <v>-7.654430787019959</v>
      </c>
      <c r="J1541" s="7">
        <f t="shared" si="367"/>
        <v>-52.26926215762807</v>
      </c>
      <c r="K1541" s="8">
        <f t="shared" si="356"/>
        <v>295.2423303564841</v>
      </c>
      <c r="L1541" s="8">
        <f t="shared" si="357"/>
        <v>-12.40017787497233</v>
      </c>
      <c r="M1541" s="8">
        <f t="shared" si="354"/>
        <v>84.67620469535747</v>
      </c>
      <c r="N1541" s="8">
        <f t="shared" si="358"/>
        <v>25</v>
      </c>
      <c r="O1541" s="8">
        <f t="shared" si="359"/>
        <v>28.661057412641746</v>
      </c>
    </row>
    <row r="1542" spans="1:15" x14ac:dyDescent="0.3">
      <c r="A1542" s="5">
        <f t="shared" si="360"/>
        <v>15.339999999999717</v>
      </c>
      <c r="B1542" s="5">
        <f t="shared" si="355"/>
        <v>96.999838262459605</v>
      </c>
      <c r="C1542" s="6">
        <f t="shared" si="353"/>
        <v>3741.4223329805845</v>
      </c>
      <c r="D1542" s="6">
        <f t="shared" si="361"/>
        <v>13998241.073725879</v>
      </c>
      <c r="E1542" s="7">
        <f t="shared" si="362"/>
        <v>6248571.4285714282</v>
      </c>
      <c r="F1542" s="7">
        <f t="shared" si="363"/>
        <v>124.97142857142855</v>
      </c>
      <c r="G1542" s="7">
        <f t="shared" si="364"/>
        <v>7749669.645154451</v>
      </c>
      <c r="H1542" s="6">
        <f t="shared" si="365"/>
        <v>2783.822847300893</v>
      </c>
      <c r="I1542" s="7">
        <f t="shared" si="366"/>
        <v>-7.6625473248260656</v>
      </c>
      <c r="J1542" s="7">
        <f t="shared" si="367"/>
        <v>-52.21389604706259</v>
      </c>
      <c r="K1542" s="8">
        <f t="shared" si="356"/>
        <v>295.55539681471964</v>
      </c>
      <c r="L1542" s="8">
        <f t="shared" si="357"/>
        <v>-12.413326666218223</v>
      </c>
      <c r="M1542" s="8">
        <f t="shared" si="354"/>
        <v>84.58651159624138</v>
      </c>
      <c r="N1542" s="8">
        <f t="shared" si="358"/>
        <v>25.000000000000007</v>
      </c>
      <c r="O1542" s="8">
        <f t="shared" si="359"/>
        <v>28.668825688624874</v>
      </c>
    </row>
    <row r="1543" spans="1:15" x14ac:dyDescent="0.3">
      <c r="A1543" s="5">
        <f t="shared" si="360"/>
        <v>15.349999999999717</v>
      </c>
      <c r="B1543" s="5">
        <f t="shared" si="355"/>
        <v>96.923212789211348</v>
      </c>
      <c r="C1543" s="6">
        <f t="shared" si="353"/>
        <v>3738.4667790124377</v>
      </c>
      <c r="D1543" s="6">
        <f t="shared" si="361"/>
        <v>13976133.85777963</v>
      </c>
      <c r="E1543" s="7">
        <f t="shared" si="362"/>
        <v>6248571.4285714282</v>
      </c>
      <c r="F1543" s="7">
        <f t="shared" si="363"/>
        <v>124.97142857142855</v>
      </c>
      <c r="G1543" s="7">
        <f t="shared" si="364"/>
        <v>7727562.4292082014</v>
      </c>
      <c r="H1543" s="6">
        <f t="shared" si="365"/>
        <v>2779.8493536895485</v>
      </c>
      <c r="I1543" s="7">
        <f t="shared" si="366"/>
        <v>-7.6706927037725485</v>
      </c>
      <c r="J1543" s="7">
        <f t="shared" si="367"/>
        <v>-52.158450993271501</v>
      </c>
      <c r="K1543" s="8">
        <f t="shared" si="356"/>
        <v>295.86957571694114</v>
      </c>
      <c r="L1543" s="8">
        <f t="shared" si="357"/>
        <v>-12.426522180111526</v>
      </c>
      <c r="M1543" s="8">
        <f t="shared" si="354"/>
        <v>84.496690609099829</v>
      </c>
      <c r="N1543" s="8">
        <f t="shared" si="358"/>
        <v>25.000000000000011</v>
      </c>
      <c r="O1543" s="8">
        <f t="shared" si="359"/>
        <v>28.676629845066763</v>
      </c>
    </row>
    <row r="1544" spans="1:15" x14ac:dyDescent="0.3">
      <c r="A1544" s="5">
        <f t="shared" si="360"/>
        <v>15.359999999999717</v>
      </c>
      <c r="B1544" s="5">
        <f t="shared" si="355"/>
        <v>96.846505862173629</v>
      </c>
      <c r="C1544" s="6">
        <f t="shared" ref="C1544:C1607" si="368">$B$1*B1544</f>
        <v>3735.5080832552685</v>
      </c>
      <c r="D1544" s="6">
        <f t="shared" si="361"/>
        <v>13954020.64006545</v>
      </c>
      <c r="E1544" s="7">
        <f t="shared" si="362"/>
        <v>6248571.4285714282</v>
      </c>
      <c r="F1544" s="7">
        <f t="shared" si="363"/>
        <v>124.97142857142855</v>
      </c>
      <c r="G1544" s="7">
        <f t="shared" si="364"/>
        <v>7705449.211494022</v>
      </c>
      <c r="H1544" s="6">
        <f t="shared" si="365"/>
        <v>2775.8690912026132</v>
      </c>
      <c r="I1544" s="7">
        <f t="shared" si="366"/>
        <v>-7.6788671060454829</v>
      </c>
      <c r="J1544" s="7">
        <f t="shared" si="367"/>
        <v>-52.102926636037012</v>
      </c>
      <c r="K1544" s="8">
        <f t="shared" si="356"/>
        <v>296.18487409032576</v>
      </c>
      <c r="L1544" s="8">
        <f t="shared" si="357"/>
        <v>-12.43976471179368</v>
      </c>
      <c r="M1544" s="8">
        <f t="shared" ref="M1544:M1607" si="369">B1544+L1544</f>
        <v>84.406741150379943</v>
      </c>
      <c r="N1544" s="8">
        <f t="shared" si="358"/>
        <v>25.000000000000004</v>
      </c>
      <c r="O1544" s="8">
        <f t="shared" si="359"/>
        <v>28.684470144875892</v>
      </c>
    </row>
    <row r="1545" spans="1:15" x14ac:dyDescent="0.3">
      <c r="A1545" s="5">
        <f t="shared" si="360"/>
        <v>15.369999999999717</v>
      </c>
      <c r="B1545" s="5">
        <f t="shared" ref="B1545:B1608" si="370">I1544*$B$5+B1544</f>
        <v>96.769717191113173</v>
      </c>
      <c r="C1545" s="6">
        <f t="shared" si="368"/>
        <v>3732.5462345143651</v>
      </c>
      <c r="D1545" s="6">
        <f t="shared" si="361"/>
        <v>13931901.392787365</v>
      </c>
      <c r="E1545" s="7">
        <f t="shared" si="362"/>
        <v>6248571.4285714282</v>
      </c>
      <c r="F1545" s="7">
        <f t="shared" si="363"/>
        <v>124.97142857142855</v>
      </c>
      <c r="G1545" s="7">
        <f t="shared" si="364"/>
        <v>7683329.9642159371</v>
      </c>
      <c r="H1545" s="6">
        <f t="shared" si="365"/>
        <v>2771.8820256670265</v>
      </c>
      <c r="I1545" s="7">
        <f t="shared" si="366"/>
        <v>-7.687070715513685</v>
      </c>
      <c r="J1545" s="7">
        <f t="shared" si="367"/>
        <v>-52.047322612333964</v>
      </c>
      <c r="K1545" s="8">
        <f t="shared" ref="K1545:K1608" si="371">-$B$1*I1545</f>
        <v>296.50129902695642</v>
      </c>
      <c r="L1545" s="8">
        <f t="shared" ref="L1545:L1608" si="372">-$B$2*K1545</f>
        <v>-12.453054559132168</v>
      </c>
      <c r="M1545" s="8">
        <f t="shared" si="369"/>
        <v>84.316662631981004</v>
      </c>
      <c r="N1545" s="8">
        <f t="shared" ref="N1545:N1608" si="373">K1545*M1545/1000</f>
        <v>25</v>
      </c>
      <c r="O1545" s="8">
        <f t="shared" ref="O1545:O1608" si="374">B1545*K1545/1000</f>
        <v>28.692346853636252</v>
      </c>
    </row>
    <row r="1546" spans="1:15" x14ac:dyDescent="0.3">
      <c r="A1546" s="5">
        <f t="shared" si="360"/>
        <v>15.379999999999717</v>
      </c>
      <c r="B1546" s="5">
        <f t="shared" si="370"/>
        <v>96.692846483958036</v>
      </c>
      <c r="C1546" s="6">
        <f t="shared" si="368"/>
        <v>3729.5812215240953</v>
      </c>
      <c r="D1546" s="6">
        <f t="shared" si="361"/>
        <v>13909776.087945163</v>
      </c>
      <c r="E1546" s="7">
        <f t="shared" si="362"/>
        <v>6248571.4285714282</v>
      </c>
      <c r="F1546" s="7">
        <f t="shared" si="363"/>
        <v>124.97142857142855</v>
      </c>
      <c r="G1546" s="7">
        <f t="shared" si="364"/>
        <v>7661204.6593737351</v>
      </c>
      <c r="H1546" s="6">
        <f t="shared" si="365"/>
        <v>2767.8881226259373</v>
      </c>
      <c r="I1546" s="7">
        <f t="shared" si="366"/>
        <v>-7.6953037177493231</v>
      </c>
      <c r="J1546" s="7">
        <f t="shared" si="367"/>
        <v>-51.991638556298859</v>
      </c>
      <c r="K1546" s="8">
        <f t="shared" si="371"/>
        <v>296.81885768461672</v>
      </c>
      <c r="L1546" s="8">
        <f t="shared" si="372"/>
        <v>-12.466392022753901</v>
      </c>
      <c r="M1546" s="8">
        <f t="shared" si="369"/>
        <v>84.226454461204128</v>
      </c>
      <c r="N1546" s="8">
        <f t="shared" si="373"/>
        <v>25</v>
      </c>
      <c r="O1546" s="8">
        <f t="shared" si="374"/>
        <v>28.700260239642432</v>
      </c>
    </row>
    <row r="1547" spans="1:15" x14ac:dyDescent="0.3">
      <c r="A1547" s="5">
        <f t="shared" si="360"/>
        <v>15.389999999999716</v>
      </c>
      <c r="B1547" s="5">
        <f t="shared" si="370"/>
        <v>96.615893446780547</v>
      </c>
      <c r="C1547" s="6">
        <f t="shared" si="368"/>
        <v>3726.6130329472494</v>
      </c>
      <c r="D1547" s="6">
        <f t="shared" si="361"/>
        <v>13887644.697332297</v>
      </c>
      <c r="E1547" s="7">
        <f t="shared" si="362"/>
        <v>6248571.4285714282</v>
      </c>
      <c r="F1547" s="7">
        <f t="shared" si="363"/>
        <v>124.97142857142855</v>
      </c>
      <c r="G1547" s="7">
        <f t="shared" si="364"/>
        <v>7639073.2687608683</v>
      </c>
      <c r="H1547" s="6">
        <f t="shared" si="365"/>
        <v>2763.8873473354279</v>
      </c>
      <c r="I1547" s="7">
        <f t="shared" si="366"/>
        <v>-7.7035663000488706</v>
      </c>
      <c r="J1547" s="7">
        <f t="shared" si="367"/>
        <v>-51.935874099198394</v>
      </c>
      <c r="K1547" s="8">
        <f t="shared" si="371"/>
        <v>297.13755728759929</v>
      </c>
      <c r="L1547" s="8">
        <f t="shared" si="372"/>
        <v>-12.479777406079169</v>
      </c>
      <c r="M1547" s="8">
        <f t="shared" si="369"/>
        <v>84.136116040701381</v>
      </c>
      <c r="N1547" s="8">
        <f t="shared" si="373"/>
        <v>25.000000000000007</v>
      </c>
      <c r="O1547" s="8">
        <f t="shared" si="374"/>
        <v>28.708210573935343</v>
      </c>
    </row>
    <row r="1548" spans="1:15" x14ac:dyDescent="0.3">
      <c r="A1548" s="5">
        <f t="shared" si="360"/>
        <v>15.399999999999716</v>
      </c>
      <c r="B1548" s="5">
        <f t="shared" si="370"/>
        <v>96.53885778378006</v>
      </c>
      <c r="C1548" s="6">
        <f t="shared" si="368"/>
        <v>3723.6416573743736</v>
      </c>
      <c r="D1548" s="6">
        <f t="shared" si="361"/>
        <v>13865507.192533772</v>
      </c>
      <c r="E1548" s="7">
        <f t="shared" si="362"/>
        <v>6248571.4285714282</v>
      </c>
      <c r="F1548" s="7">
        <f t="shared" si="363"/>
        <v>124.97142857142855</v>
      </c>
      <c r="G1548" s="7">
        <f t="shared" si="364"/>
        <v>7616935.7639623443</v>
      </c>
      <c r="H1548" s="6">
        <f t="shared" si="365"/>
        <v>2759.8796647611912</v>
      </c>
      <c r="I1548" s="7">
        <f t="shared" si="366"/>
        <v>-7.7118586514543646</v>
      </c>
      <c r="J1548" s="7">
        <f t="shared" si="367"/>
        <v>-51.880028869397528</v>
      </c>
      <c r="K1548" s="8">
        <f t="shared" si="371"/>
        <v>297.45740512752548</v>
      </c>
      <c r="L1548" s="8">
        <f t="shared" si="372"/>
        <v>-12.493211015356069</v>
      </c>
      <c r="M1548" s="8">
        <f t="shared" si="369"/>
        <v>84.045646768423993</v>
      </c>
      <c r="N1548" s="8">
        <f t="shared" si="373"/>
        <v>24.999999999999996</v>
      </c>
      <c r="O1548" s="8">
        <f t="shared" si="374"/>
        <v>28.71619813033843</v>
      </c>
    </row>
    <row r="1549" spans="1:15" x14ac:dyDescent="0.3">
      <c r="A1549" s="5">
        <f t="shared" si="360"/>
        <v>15.409999999999716</v>
      </c>
      <c r="B1549" s="5">
        <f t="shared" si="370"/>
        <v>96.461739197265516</v>
      </c>
      <c r="C1549" s="6">
        <f t="shared" si="368"/>
        <v>3720.6670833230983</v>
      </c>
      <c r="D1549" s="6">
        <f t="shared" si="361"/>
        <v>13843363.544924011</v>
      </c>
      <c r="E1549" s="7">
        <f t="shared" si="362"/>
        <v>6248571.4285714282</v>
      </c>
      <c r="F1549" s="7">
        <f t="shared" si="363"/>
        <v>124.97142857142855</v>
      </c>
      <c r="G1549" s="7">
        <f t="shared" si="364"/>
        <v>7594792.1163525833</v>
      </c>
      <c r="H1549" s="6">
        <f t="shared" si="365"/>
        <v>2755.8650395751574</v>
      </c>
      <c r="I1549" s="7">
        <f t="shared" si="366"/>
        <v>-7.7201809627750198</v>
      </c>
      <c r="J1549" s="7">
        <f t="shared" si="367"/>
        <v>-51.824102492327157</v>
      </c>
      <c r="K1549" s="8">
        <f t="shared" si="371"/>
        <v>297.7784085641793</v>
      </c>
      <c r="L1549" s="8">
        <f t="shared" si="372"/>
        <v>-12.50669315969553</v>
      </c>
      <c r="M1549" s="8">
        <f t="shared" si="369"/>
        <v>83.955046037569986</v>
      </c>
      <c r="N1549" s="8">
        <f t="shared" si="373"/>
        <v>24.999999999999996</v>
      </c>
      <c r="O1549" s="8">
        <f t="shared" si="374"/>
        <v>28.72422318549464</v>
      </c>
    </row>
    <row r="1550" spans="1:15" x14ac:dyDescent="0.3">
      <c r="A1550" s="5">
        <f t="shared" si="360"/>
        <v>15.419999999999716</v>
      </c>
      <c r="B1550" s="5">
        <f t="shared" si="370"/>
        <v>96.384537387637764</v>
      </c>
      <c r="C1550" s="6">
        <f t="shared" si="368"/>
        <v>3717.6892992374565</v>
      </c>
      <c r="D1550" s="6">
        <f t="shared" si="361"/>
        <v>13821213.72566469</v>
      </c>
      <c r="E1550" s="7">
        <f t="shared" si="362"/>
        <v>6248571.4285714282</v>
      </c>
      <c r="F1550" s="7">
        <f t="shared" si="363"/>
        <v>124.97142857142855</v>
      </c>
      <c r="G1550" s="7">
        <f t="shared" si="364"/>
        <v>7572642.297093262</v>
      </c>
      <c r="H1550" s="6">
        <f t="shared" si="365"/>
        <v>2751.8434361520754</v>
      </c>
      <c r="I1550" s="7">
        <f t="shared" si="366"/>
        <v>-7.7285334266091326</v>
      </c>
      <c r="J1550" s="7">
        <f t="shared" si="367"/>
        <v>-51.768094590451227</v>
      </c>
      <c r="K1550" s="8">
        <f t="shared" si="371"/>
        <v>298.10057502635226</v>
      </c>
      <c r="L1550" s="8">
        <f t="shared" si="372"/>
        <v>-12.520224151106794</v>
      </c>
      <c r="M1550" s="8">
        <f t="shared" si="369"/>
        <v>83.864313236530975</v>
      </c>
      <c r="N1550" s="8">
        <f t="shared" si="373"/>
        <v>25.000000000000007</v>
      </c>
      <c r="O1550" s="8">
        <f t="shared" si="374"/>
        <v>28.732286018903768</v>
      </c>
    </row>
    <row r="1551" spans="1:15" x14ac:dyDescent="0.3">
      <c r="A1551" s="5">
        <f t="shared" si="360"/>
        <v>15.429999999999715</v>
      </c>
      <c r="B1551" s="5">
        <f t="shared" si="370"/>
        <v>96.30725205337167</v>
      </c>
      <c r="C1551" s="6">
        <f t="shared" si="368"/>
        <v>3714.7082934871928</v>
      </c>
      <c r="D1551" s="6">
        <f t="shared" si="361"/>
        <v>13799057.705702532</v>
      </c>
      <c r="E1551" s="7">
        <f t="shared" si="362"/>
        <v>6248571.4285714282</v>
      </c>
      <c r="F1551" s="7">
        <f t="shared" si="363"/>
        <v>124.97142857142855</v>
      </c>
      <c r="G1551" s="7">
        <f t="shared" si="364"/>
        <v>7550486.2771311039</v>
      </c>
      <c r="H1551" s="6">
        <f t="shared" si="365"/>
        <v>2747.814818566037</v>
      </c>
      <c r="I1551" s="7">
        <f t="shared" si="366"/>
        <v>-7.7369162373663602</v>
      </c>
      <c r="J1551" s="7">
        <f t="shared" si="367"/>
        <v>-51.712004783233446</v>
      </c>
      <c r="K1551" s="8">
        <f t="shared" si="371"/>
        <v>298.42391201270243</v>
      </c>
      <c r="L1551" s="8">
        <f t="shared" si="372"/>
        <v>-12.533804304533501</v>
      </c>
      <c r="M1551" s="8">
        <f t="shared" si="369"/>
        <v>83.773447748838166</v>
      </c>
      <c r="N1551" s="8">
        <f t="shared" si="373"/>
        <v>25.000000000000004</v>
      </c>
      <c r="O1551" s="8">
        <f t="shared" si="374"/>
        <v>28.740386912960542</v>
      </c>
    </row>
    <row r="1552" spans="1:15" x14ac:dyDescent="0.3">
      <c r="A1552" s="5">
        <f t="shared" si="360"/>
        <v>15.439999999999715</v>
      </c>
      <c r="B1552" s="5">
        <f t="shared" si="370"/>
        <v>96.229882890998013</v>
      </c>
      <c r="C1552" s="6">
        <f t="shared" si="368"/>
        <v>3711.7240543670659</v>
      </c>
      <c r="D1552" s="6">
        <f t="shared" si="361"/>
        <v>13776895.45576709</v>
      </c>
      <c r="E1552" s="7">
        <f t="shared" si="362"/>
        <v>6248571.4285714282</v>
      </c>
      <c r="F1552" s="7">
        <f t="shared" si="363"/>
        <v>124.97142857142855</v>
      </c>
      <c r="G1552" s="7">
        <f t="shared" si="364"/>
        <v>7528324.0271956613</v>
      </c>
      <c r="H1552" s="6">
        <f t="shared" si="365"/>
        <v>2743.7791505869532</v>
      </c>
      <c r="I1552" s="7">
        <f t="shared" si="366"/>
        <v>-7.7453295912903419</v>
      </c>
      <c r="J1552" s="7">
        <f t="shared" si="367"/>
        <v>-51.655832687103498</v>
      </c>
      <c r="K1552" s="8">
        <f t="shared" si="371"/>
        <v>298.74842709262748</v>
      </c>
      <c r="L1552" s="8">
        <f t="shared" si="372"/>
        <v>-12.547433937890354</v>
      </c>
      <c r="M1552" s="8">
        <f t="shared" si="369"/>
        <v>83.682448953107667</v>
      </c>
      <c r="N1552" s="8">
        <f t="shared" si="373"/>
        <v>25.000000000000007</v>
      </c>
      <c r="O1552" s="8">
        <f t="shared" si="374"/>
        <v>28.748526152993399</v>
      </c>
    </row>
    <row r="1553" spans="1:15" x14ac:dyDescent="0.3">
      <c r="A1553" s="5">
        <f t="shared" si="360"/>
        <v>15.449999999999715</v>
      </c>
      <c r="B1553" s="5">
        <f t="shared" si="370"/>
        <v>96.15242959508511</v>
      </c>
      <c r="C1553" s="6">
        <f t="shared" si="368"/>
        <v>3708.7365700961395</v>
      </c>
      <c r="D1553" s="6">
        <f t="shared" si="361"/>
        <v>13754726.946368476</v>
      </c>
      <c r="E1553" s="7">
        <f t="shared" si="362"/>
        <v>6248571.4285714282</v>
      </c>
      <c r="F1553" s="7">
        <f t="shared" si="363"/>
        <v>124.97142857142855</v>
      </c>
      <c r="G1553" s="7">
        <f t="shared" si="364"/>
        <v>7506155.5177970482</v>
      </c>
      <c r="H1553" s="6">
        <f t="shared" si="365"/>
        <v>2739.7363956769723</v>
      </c>
      <c r="I1553" s="7">
        <f t="shared" si="366"/>
        <v>-7.7537736864816784</v>
      </c>
      <c r="J1553" s="7">
        <f t="shared" si="367"/>
        <v>-51.599577915422714</v>
      </c>
      <c r="K1553" s="8">
        <f t="shared" si="371"/>
        <v>299.07412790715046</v>
      </c>
      <c r="L1553" s="8">
        <f t="shared" si="372"/>
        <v>-12.561113372100317</v>
      </c>
      <c r="M1553" s="8">
        <f t="shared" si="369"/>
        <v>83.591316222984787</v>
      </c>
      <c r="N1553" s="8">
        <f t="shared" si="373"/>
        <v>25.000000000000014</v>
      </c>
      <c r="O1553" s="8">
        <f t="shared" si="374"/>
        <v>28.756704027303762</v>
      </c>
    </row>
    <row r="1554" spans="1:15" x14ac:dyDescent="0.3">
      <c r="A1554" s="5">
        <f t="shared" si="360"/>
        <v>15.459999999999715</v>
      </c>
      <c r="B1554" s="5">
        <f t="shared" si="370"/>
        <v>96.074891858220298</v>
      </c>
      <c r="C1554" s="6">
        <f t="shared" si="368"/>
        <v>3705.7458288170683</v>
      </c>
      <c r="D1554" s="6">
        <f t="shared" si="361"/>
        <v>13732552.1477951</v>
      </c>
      <c r="E1554" s="7">
        <f t="shared" si="362"/>
        <v>6248571.4285714282</v>
      </c>
      <c r="F1554" s="7">
        <f t="shared" si="363"/>
        <v>124.97142857142855</v>
      </c>
      <c r="G1554" s="7">
        <f t="shared" si="364"/>
        <v>7483980.7192236716</v>
      </c>
      <c r="H1554" s="6">
        <f t="shared" si="365"/>
        <v>2735.6865169868552</v>
      </c>
      <c r="I1554" s="7">
        <f t="shared" si="366"/>
        <v>-7.7622487229212309</v>
      </c>
      <c r="J1554" s="7">
        <f t="shared" si="367"/>
        <v>-51.54324007844933</v>
      </c>
      <c r="K1554" s="8">
        <f t="shared" si="371"/>
        <v>299.40102216981887</v>
      </c>
      <c r="L1554" s="8">
        <f t="shared" si="372"/>
        <v>-12.574842931132391</v>
      </c>
      <c r="M1554" s="8">
        <f t="shared" si="369"/>
        <v>83.500048927087903</v>
      </c>
      <c r="N1554" s="8">
        <f t="shared" si="373"/>
        <v>25.000000000000007</v>
      </c>
      <c r="O1554" s="8">
        <f t="shared" si="374"/>
        <v>28.764920827205966</v>
      </c>
    </row>
    <row r="1555" spans="1:15" x14ac:dyDescent="0.3">
      <c r="A1555" s="5">
        <f t="shared" si="360"/>
        <v>15.469999999999715</v>
      </c>
      <c r="B1555" s="5">
        <f t="shared" si="370"/>
        <v>95.997269370991091</v>
      </c>
      <c r="C1555" s="6">
        <f t="shared" si="368"/>
        <v>3702.7518185953704</v>
      </c>
      <c r="D1555" s="6">
        <f t="shared" si="361"/>
        <v>13710371.030111322</v>
      </c>
      <c r="E1555" s="7">
        <f t="shared" si="362"/>
        <v>6248571.4285714282</v>
      </c>
      <c r="F1555" s="7">
        <f t="shared" si="363"/>
        <v>124.97142857142855</v>
      </c>
      <c r="G1555" s="7">
        <f t="shared" si="364"/>
        <v>7461799.601539894</v>
      </c>
      <c r="H1555" s="6">
        <f t="shared" si="365"/>
        <v>2731.6294773522804</v>
      </c>
      <c r="I1555" s="7">
        <f t="shared" si="366"/>
        <v>-7.7707549024938629</v>
      </c>
      <c r="J1555" s="7">
        <f t="shared" si="367"/>
        <v>-51.486818783303114</v>
      </c>
      <c r="K1555" s="8">
        <f t="shared" si="371"/>
        <v>299.72911766762041</v>
      </c>
      <c r="L1555" s="8">
        <f t="shared" si="372"/>
        <v>-12.588622942040056</v>
      </c>
      <c r="M1555" s="8">
        <f t="shared" si="369"/>
        <v>83.40864642895103</v>
      </c>
      <c r="N1555" s="8">
        <f t="shared" si="373"/>
        <v>25.000000000000011</v>
      </c>
      <c r="O1555" s="8">
        <f t="shared" si="374"/>
        <v>28.773176847068044</v>
      </c>
    </row>
    <row r="1556" spans="1:15" x14ac:dyDescent="0.3">
      <c r="A1556" s="5">
        <f t="shared" si="360"/>
        <v>15.479999999999714</v>
      </c>
      <c r="B1556" s="5">
        <f t="shared" si="370"/>
        <v>95.919561821966155</v>
      </c>
      <c r="C1556" s="6">
        <f t="shared" si="368"/>
        <v>3699.7545274186946</v>
      </c>
      <c r="D1556" s="6">
        <f t="shared" si="361"/>
        <v>13688183.563155128</v>
      </c>
      <c r="E1556" s="7">
        <f t="shared" si="362"/>
        <v>6248571.4285714282</v>
      </c>
      <c r="F1556" s="7">
        <f t="shared" si="363"/>
        <v>124.97142857142855</v>
      </c>
      <c r="G1556" s="7">
        <f t="shared" si="364"/>
        <v>7439612.1345836995</v>
      </c>
      <c r="H1556" s="6">
        <f t="shared" si="365"/>
        <v>2727.565239290107</v>
      </c>
      <c r="I1556" s="7">
        <f t="shared" si="366"/>
        <v>-7.7792924290124761</v>
      </c>
      <c r="J1556" s="7">
        <f t="shared" si="367"/>
        <v>-51.430313633929607</v>
      </c>
      <c r="K1556" s="8">
        <f t="shared" si="371"/>
        <v>300.05842226190975</v>
      </c>
      <c r="L1556" s="8">
        <f t="shared" si="372"/>
        <v>-12.602453735000209</v>
      </c>
      <c r="M1556" s="8">
        <f t="shared" si="369"/>
        <v>83.317108086965945</v>
      </c>
      <c r="N1556" s="8">
        <f t="shared" si="373"/>
        <v>25.000000000000004</v>
      </c>
      <c r="O1556" s="8">
        <f t="shared" si="374"/>
        <v>28.781472384352877</v>
      </c>
    </row>
    <row r="1557" spans="1:15" x14ac:dyDescent="0.3">
      <c r="A1557" s="5">
        <f t="shared" si="360"/>
        <v>15.489999999999714</v>
      </c>
      <c r="B1557" s="5">
        <f t="shared" si="370"/>
        <v>95.841768897676033</v>
      </c>
      <c r="C1557" s="6">
        <f t="shared" si="368"/>
        <v>3696.7539431960754</v>
      </c>
      <c r="D1557" s="6">
        <f t="shared" si="361"/>
        <v>13665989.716535732</v>
      </c>
      <c r="E1557" s="7">
        <f t="shared" si="362"/>
        <v>6248571.4285714282</v>
      </c>
      <c r="F1557" s="7">
        <f t="shared" si="363"/>
        <v>124.97142857142855</v>
      </c>
      <c r="G1557" s="7">
        <f t="shared" si="364"/>
        <v>7417418.287964304</v>
      </c>
      <c r="H1557" s="6">
        <f t="shared" si="365"/>
        <v>2723.4937649945709</v>
      </c>
      <c r="I1557" s="7">
        <f t="shared" si="366"/>
        <v>-7.7878615082424929</v>
      </c>
      <c r="J1557" s="7">
        <f t="shared" si="367"/>
        <v>-51.373724231063711</v>
      </c>
      <c r="K1557" s="8">
        <f t="shared" si="371"/>
        <v>300.3889438893533</v>
      </c>
      <c r="L1557" s="8">
        <f t="shared" si="372"/>
        <v>-12.616335643352837</v>
      </c>
      <c r="M1557" s="8">
        <f t="shared" si="369"/>
        <v>83.225433254323193</v>
      </c>
      <c r="N1557" s="8">
        <f t="shared" si="373"/>
        <v>25.000000000000007</v>
      </c>
      <c r="O1557" s="8">
        <f t="shared" si="374"/>
        <v>28.789807739660372</v>
      </c>
    </row>
    <row r="1558" spans="1:15" x14ac:dyDescent="0.3">
      <c r="A1558" s="5">
        <f t="shared" si="360"/>
        <v>15.499999999999714</v>
      </c>
      <c r="B1558" s="5">
        <f t="shared" si="370"/>
        <v>95.763890282593607</v>
      </c>
      <c r="C1558" s="6">
        <f t="shared" si="368"/>
        <v>3693.7500537571818</v>
      </c>
      <c r="D1558" s="6">
        <f t="shared" si="361"/>
        <v>13643789.459631184</v>
      </c>
      <c r="E1558" s="7">
        <f t="shared" si="362"/>
        <v>6248571.4285714282</v>
      </c>
      <c r="F1558" s="7">
        <f t="shared" si="363"/>
        <v>124.97142857142855</v>
      </c>
      <c r="G1558" s="7">
        <f t="shared" si="364"/>
        <v>7395218.0310597559</v>
      </c>
      <c r="H1558" s="6">
        <f t="shared" si="365"/>
        <v>2719.4150163334311</v>
      </c>
      <c r="I1558" s="7">
        <f t="shared" si="366"/>
        <v>-7.7964623479266759</v>
      </c>
      <c r="J1558" s="7">
        <f t="shared" si="367"/>
        <v>-51.317050172192843</v>
      </c>
      <c r="K1558" s="8">
        <f t="shared" si="371"/>
        <v>300.72069056288603</v>
      </c>
      <c r="L1558" s="8">
        <f t="shared" si="372"/>
        <v>-12.630269003641212</v>
      </c>
      <c r="M1558" s="8">
        <f t="shared" si="369"/>
        <v>83.13362127895239</v>
      </c>
      <c r="N1558" s="8">
        <f t="shared" si="373"/>
        <v>25</v>
      </c>
      <c r="O1558" s="8">
        <f t="shared" si="374"/>
        <v>28.798183216770003</v>
      </c>
    </row>
    <row r="1559" spans="1:15" x14ac:dyDescent="0.3">
      <c r="A1559" s="5">
        <f t="shared" si="360"/>
        <v>15.509999999999714</v>
      </c>
      <c r="B1559" s="5">
        <f t="shared" si="370"/>
        <v>95.685925659114346</v>
      </c>
      <c r="C1559" s="6">
        <f t="shared" si="368"/>
        <v>3690.7428468515532</v>
      </c>
      <c r="D1559" s="6">
        <f t="shared" si="361"/>
        <v>13621582.761585908</v>
      </c>
      <c r="E1559" s="7">
        <f t="shared" si="362"/>
        <v>6248571.4285714282</v>
      </c>
      <c r="F1559" s="7">
        <f t="shared" si="363"/>
        <v>124.97142857142855</v>
      </c>
      <c r="G1559" s="7">
        <f t="shared" si="364"/>
        <v>7373011.3330144798</v>
      </c>
      <c r="H1559" s="6">
        <f t="shared" si="365"/>
        <v>2715.3289548440498</v>
      </c>
      <c r="I1559" s="7">
        <f t="shared" si="366"/>
        <v>-7.8050951578103849</v>
      </c>
      <c r="J1559" s="7">
        <f t="shared" si="367"/>
        <v>-51.260291051519474</v>
      </c>
      <c r="K1559" s="8">
        <f t="shared" si="371"/>
        <v>301.05367037268627</v>
      </c>
      <c r="L1559" s="8">
        <f t="shared" si="372"/>
        <v>-12.644254155652822</v>
      </c>
      <c r="M1559" s="8">
        <f t="shared" si="369"/>
        <v>83.041671503461529</v>
      </c>
      <c r="N1559" s="8">
        <f t="shared" si="373"/>
        <v>25.000000000000004</v>
      </c>
      <c r="O1559" s="8">
        <f t="shared" si="374"/>
        <v>28.806599122684371</v>
      </c>
    </row>
    <row r="1560" spans="1:15" x14ac:dyDescent="0.3">
      <c r="A1560" s="5">
        <f t="shared" si="360"/>
        <v>15.519999999999714</v>
      </c>
      <c r="B1560" s="5">
        <f t="shared" si="370"/>
        <v>95.60787470753624</v>
      </c>
      <c r="C1560" s="6">
        <f t="shared" si="368"/>
        <v>3687.7323101478264</v>
      </c>
      <c r="D1560" s="6">
        <f t="shared" si="361"/>
        <v>13599369.591308225</v>
      </c>
      <c r="E1560" s="7">
        <f t="shared" si="362"/>
        <v>6248571.4285714282</v>
      </c>
      <c r="F1560" s="7">
        <f t="shared" si="363"/>
        <v>124.97142857142855</v>
      </c>
      <c r="G1560" s="7">
        <f t="shared" si="364"/>
        <v>7350798.1627367968</v>
      </c>
      <c r="H1560" s="6">
        <f t="shared" si="365"/>
        <v>2711.2355417294152</v>
      </c>
      <c r="I1560" s="7">
        <f t="shared" si="366"/>
        <v>-7.8137601496672149</v>
      </c>
      <c r="J1560" s="7">
        <f t="shared" si="367"/>
        <v>-51.203446459923072</v>
      </c>
      <c r="K1560" s="8">
        <f t="shared" si="371"/>
        <v>301.38789148716398</v>
      </c>
      <c r="L1560" s="8">
        <f t="shared" si="372"/>
        <v>-12.658291442460886</v>
      </c>
      <c r="M1560" s="8">
        <f t="shared" si="369"/>
        <v>82.949583265075347</v>
      </c>
      <c r="N1560" s="8">
        <f t="shared" si="373"/>
        <v>25.000000000000004</v>
      </c>
      <c r="O1560" s="8">
        <f t="shared" si="374"/>
        <v>28.8150557676733</v>
      </c>
    </row>
    <row r="1561" spans="1:15" x14ac:dyDescent="0.3">
      <c r="A1561" s="5">
        <f t="shared" si="360"/>
        <v>15.529999999999713</v>
      </c>
      <c r="B1561" s="5">
        <f t="shared" si="370"/>
        <v>95.529737106039562</v>
      </c>
      <c r="C1561" s="6">
        <f t="shared" si="368"/>
        <v>3684.7184312329541</v>
      </c>
      <c r="D1561" s="6">
        <f t="shared" si="361"/>
        <v>13577149.917467842</v>
      </c>
      <c r="E1561" s="7">
        <f t="shared" si="362"/>
        <v>6248571.4285714282</v>
      </c>
      <c r="F1561" s="7">
        <f t="shared" si="363"/>
        <v>124.97142857142855</v>
      </c>
      <c r="G1561" s="7">
        <f t="shared" si="364"/>
        <v>7328578.4888964137</v>
      </c>
      <c r="H1561" s="6">
        <f t="shared" si="365"/>
        <v>2707.134737854105</v>
      </c>
      <c r="I1561" s="7">
        <f t="shared" si="366"/>
        <v>-7.8224575373250405</v>
      </c>
      <c r="J1561" s="7">
        <f t="shared" si="367"/>
        <v>-51.146515984921606</v>
      </c>
      <c r="K1561" s="8">
        <f t="shared" si="371"/>
        <v>301.72336215396581</v>
      </c>
      <c r="L1561" s="8">
        <f t="shared" si="372"/>
        <v>-12.672381210466563</v>
      </c>
      <c r="M1561" s="8">
        <f t="shared" si="369"/>
        <v>82.857355895572994</v>
      </c>
      <c r="N1561" s="8">
        <f t="shared" si="373"/>
        <v>25.000000000000004</v>
      </c>
      <c r="O1561" s="8">
        <f t="shared" si="374"/>
        <v>28.823553465318721</v>
      </c>
    </row>
    <row r="1562" spans="1:15" x14ac:dyDescent="0.3">
      <c r="A1562" s="5">
        <f t="shared" si="360"/>
        <v>15.539999999999713</v>
      </c>
      <c r="B1562" s="5">
        <f t="shared" si="370"/>
        <v>95.451512530666307</v>
      </c>
      <c r="C1562" s="6">
        <f t="shared" si="368"/>
        <v>3681.7011976114145</v>
      </c>
      <c r="D1562" s="6">
        <f t="shared" si="361"/>
        <v>13554923.708493324</v>
      </c>
      <c r="E1562" s="7">
        <f t="shared" si="362"/>
        <v>6248571.4285714282</v>
      </c>
      <c r="F1562" s="7">
        <f t="shared" si="363"/>
        <v>124.97142857142855</v>
      </c>
      <c r="G1562" s="7">
        <f t="shared" si="364"/>
        <v>7306352.2799218958</v>
      </c>
      <c r="H1562" s="6">
        <f t="shared" si="365"/>
        <v>2703.0265037401864</v>
      </c>
      <c r="I1562" s="7">
        <f t="shared" si="366"/>
        <v>-7.8311875366924992</v>
      </c>
      <c r="J1562" s="7">
        <f t="shared" si="367"/>
        <v>-51.089499210632397</v>
      </c>
      <c r="K1562" s="8">
        <f t="shared" si="371"/>
        <v>302.0600907009964</v>
      </c>
      <c r="L1562" s="8">
        <f t="shared" si="372"/>
        <v>-12.686523809441848</v>
      </c>
      <c r="M1562" s="8">
        <f t="shared" si="369"/>
        <v>82.764988721224455</v>
      </c>
      <c r="N1562" s="8">
        <f t="shared" si="373"/>
        <v>25.000000000000004</v>
      </c>
      <c r="O1562" s="8">
        <f t="shared" si="374"/>
        <v>28.83209253256036</v>
      </c>
    </row>
    <row r="1563" spans="1:15" x14ac:dyDescent="0.3">
      <c r="A1563" s="5">
        <f t="shared" si="360"/>
        <v>15.549999999999713</v>
      </c>
      <c r="B1563" s="5">
        <f t="shared" si="370"/>
        <v>95.373200655299385</v>
      </c>
      <c r="C1563" s="6">
        <f t="shared" si="368"/>
        <v>3678.6805967044047</v>
      </c>
      <c r="D1563" s="6">
        <f t="shared" si="361"/>
        <v>13532690.932569476</v>
      </c>
      <c r="E1563" s="7">
        <f t="shared" si="362"/>
        <v>6248571.4285714282</v>
      </c>
      <c r="F1563" s="7">
        <f t="shared" si="363"/>
        <v>124.97142857142855</v>
      </c>
      <c r="G1563" s="7">
        <f t="shared" si="364"/>
        <v>7284119.5039980477</v>
      </c>
      <c r="H1563" s="6">
        <f t="shared" si="365"/>
        <v>2698.9107995630475</v>
      </c>
      <c r="I1563" s="7">
        <f t="shared" si="366"/>
        <v>-7.8399503657858958</v>
      </c>
      <c r="J1563" s="7">
        <f t="shared" si="367"/>
        <v>-51.03239571773225</v>
      </c>
      <c r="K1563" s="8">
        <f t="shared" si="371"/>
        <v>302.39808553745598</v>
      </c>
      <c r="L1563" s="8">
        <f t="shared" si="372"/>
        <v>-12.700719592573151</v>
      </c>
      <c r="M1563" s="8">
        <f t="shared" si="369"/>
        <v>82.672481062726234</v>
      </c>
      <c r="N1563" s="8">
        <f t="shared" si="373"/>
        <v>24.999999999999996</v>
      </c>
      <c r="O1563" s="8">
        <f t="shared" si="374"/>
        <v>28.840673289742174</v>
      </c>
    </row>
    <row r="1564" spans="1:15" x14ac:dyDescent="0.3">
      <c r="A1564" s="5">
        <f t="shared" si="360"/>
        <v>15.559999999999713</v>
      </c>
      <c r="B1564" s="5">
        <f t="shared" si="370"/>
        <v>95.294801151641522</v>
      </c>
      <c r="C1564" s="6">
        <f t="shared" si="368"/>
        <v>3675.65661584903</v>
      </c>
      <c r="D1564" s="6">
        <f t="shared" si="361"/>
        <v>13510451.557634743</v>
      </c>
      <c r="E1564" s="7">
        <f t="shared" si="362"/>
        <v>6248571.4285714282</v>
      </c>
      <c r="F1564" s="7">
        <f t="shared" si="363"/>
        <v>124.97142857142855</v>
      </c>
      <c r="G1564" s="7">
        <f t="shared" si="364"/>
        <v>7261880.1290633148</v>
      </c>
      <c r="H1564" s="6">
        <f t="shared" si="365"/>
        <v>2694.7875851471699</v>
      </c>
      <c r="I1564" s="7">
        <f t="shared" si="366"/>
        <v>-7.8487462447565406</v>
      </c>
      <c r="J1564" s="7">
        <f t="shared" si="367"/>
        <v>-50.975205083417251</v>
      </c>
      <c r="K1564" s="8">
        <f t="shared" si="371"/>
        <v>302.73735515489511</v>
      </c>
      <c r="L1564" s="8">
        <f t="shared" si="372"/>
        <v>-12.714968916505594</v>
      </c>
      <c r="M1564" s="8">
        <f t="shared" si="369"/>
        <v>82.579832235135925</v>
      </c>
      <c r="N1564" s="8">
        <f t="shared" si="373"/>
        <v>25</v>
      </c>
      <c r="O1564" s="8">
        <f t="shared" si="374"/>
        <v>28.849296060659608</v>
      </c>
    </row>
    <row r="1565" spans="1:15" x14ac:dyDescent="0.3">
      <c r="A1565" s="5">
        <f t="shared" si="360"/>
        <v>15.569999999999713</v>
      </c>
      <c r="B1565" s="5">
        <f t="shared" si="370"/>
        <v>95.216313689193953</v>
      </c>
      <c r="C1565" s="6">
        <f t="shared" si="368"/>
        <v>3672.6292422974807</v>
      </c>
      <c r="D1565" s="6">
        <f t="shared" si="361"/>
        <v>13488205.551378567</v>
      </c>
      <c r="E1565" s="7">
        <f t="shared" si="362"/>
        <v>6248571.4285714282</v>
      </c>
      <c r="F1565" s="7">
        <f t="shared" si="363"/>
        <v>124.97142857142855</v>
      </c>
      <c r="G1565" s="7">
        <f t="shared" si="364"/>
        <v>7239634.1228071386</v>
      </c>
      <c r="H1565" s="6">
        <f t="shared" si="365"/>
        <v>2690.6568199618359</v>
      </c>
      <c r="I1565" s="7">
        <f t="shared" si="366"/>
        <v>-7.857575395918512</v>
      </c>
      <c r="J1565" s="7">
        <f t="shared" si="367"/>
        <v>-50.917926881361709</v>
      </c>
      <c r="K1565" s="8">
        <f t="shared" si="371"/>
        <v>303.07790812828546</v>
      </c>
      <c r="L1565" s="8">
        <f t="shared" si="372"/>
        <v>-12.729272141387987</v>
      </c>
      <c r="M1565" s="8">
        <f t="shared" si="369"/>
        <v>82.487041547805973</v>
      </c>
      <c r="N1565" s="8">
        <f t="shared" si="373"/>
        <v>25.000000000000004</v>
      </c>
      <c r="O1565" s="8">
        <f t="shared" si="374"/>
        <v>28.857961172607535</v>
      </c>
    </row>
    <row r="1566" spans="1:15" x14ac:dyDescent="0.3">
      <c r="A1566" s="5">
        <f t="shared" si="360"/>
        <v>15.579999999999712</v>
      </c>
      <c r="B1566" s="5">
        <f t="shared" si="370"/>
        <v>95.137737935234767</v>
      </c>
      <c r="C1566" s="6">
        <f t="shared" si="368"/>
        <v>3669.5984632161981</v>
      </c>
      <c r="D1566" s="6">
        <f t="shared" si="361"/>
        <v>13465952.881238682</v>
      </c>
      <c r="E1566" s="7">
        <f t="shared" si="362"/>
        <v>6248571.4285714282</v>
      </c>
      <c r="F1566" s="7">
        <f t="shared" si="363"/>
        <v>124.97142857142855</v>
      </c>
      <c r="G1566" s="7">
        <f t="shared" si="364"/>
        <v>7217381.452667254</v>
      </c>
      <c r="H1566" s="6">
        <f t="shared" si="365"/>
        <v>2686.5184631167631</v>
      </c>
      <c r="I1566" s="7">
        <f t="shared" si="366"/>
        <v>-7.8664380437769159</v>
      </c>
      <c r="J1566" s="7">
        <f t="shared" si="367"/>
        <v>-50.860560681676652</v>
      </c>
      <c r="K1566" s="8">
        <f t="shared" si="371"/>
        <v>303.41975311710962</v>
      </c>
      <c r="L1566" s="8">
        <f t="shared" si="372"/>
        <v>-12.743629630918603</v>
      </c>
      <c r="M1566" s="8">
        <f t="shared" si="369"/>
        <v>82.394108304316163</v>
      </c>
      <c r="N1566" s="8">
        <f t="shared" si="373"/>
        <v>25</v>
      </c>
      <c r="O1566" s="8">
        <f t="shared" si="374"/>
        <v>28.866668956429205</v>
      </c>
    </row>
    <row r="1567" spans="1:15" x14ac:dyDescent="0.3">
      <c r="A1567" s="5">
        <f t="shared" si="360"/>
        <v>15.589999999999712</v>
      </c>
      <c r="B1567" s="5">
        <f t="shared" si="370"/>
        <v>95.059073554796996</v>
      </c>
      <c r="C1567" s="6">
        <f t="shared" si="368"/>
        <v>3666.5642656850268</v>
      </c>
      <c r="D1567" s="6">
        <f t="shared" si="361"/>
        <v>13443693.514398379</v>
      </c>
      <c r="E1567" s="7">
        <f t="shared" si="362"/>
        <v>6248571.4285714282</v>
      </c>
      <c r="F1567" s="7">
        <f t="shared" si="363"/>
        <v>124.97142857142855</v>
      </c>
      <c r="G1567" s="7">
        <f t="shared" si="364"/>
        <v>7195122.0858269511</v>
      </c>
      <c r="H1567" s="6">
        <f t="shared" si="365"/>
        <v>2682.3724733576714</v>
      </c>
      <c r="I1567" s="7">
        <f t="shared" si="366"/>
        <v>-7.8753344150565718</v>
      </c>
      <c r="J1567" s="7">
        <f t="shared" si="367"/>
        <v>-50.803106050867505</v>
      </c>
      <c r="K1567" s="8">
        <f t="shared" si="371"/>
        <v>303.76289886646776</v>
      </c>
      <c r="L1567" s="8">
        <f t="shared" si="372"/>
        <v>-12.758041752391645</v>
      </c>
      <c r="M1567" s="8">
        <f t="shared" si="369"/>
        <v>82.301031802405348</v>
      </c>
      <c r="N1567" s="8">
        <f t="shared" si="373"/>
        <v>25.000000000000004</v>
      </c>
      <c r="O1567" s="8">
        <f t="shared" si="374"/>
        <v>28.875419746565921</v>
      </c>
    </row>
    <row r="1568" spans="1:15" x14ac:dyDescent="0.3">
      <c r="A1568" s="5">
        <f t="shared" si="360"/>
        <v>15.599999999999712</v>
      </c>
      <c r="B1568" s="5">
        <f t="shared" si="370"/>
        <v>94.980320210646425</v>
      </c>
      <c r="C1568" s="6">
        <f t="shared" si="368"/>
        <v>3663.5266366963619</v>
      </c>
      <c r="D1568" s="6">
        <f t="shared" si="361"/>
        <v>13421427.417783758</v>
      </c>
      <c r="E1568" s="7">
        <f t="shared" si="362"/>
        <v>6248571.4285714282</v>
      </c>
      <c r="F1568" s="7">
        <f t="shared" si="363"/>
        <v>124.97142857142855</v>
      </c>
      <c r="G1568" s="7">
        <f t="shared" si="364"/>
        <v>7172855.9892123295</v>
      </c>
      <c r="H1568" s="6">
        <f t="shared" si="365"/>
        <v>2678.2188090617856</v>
      </c>
      <c r="I1568" s="7">
        <f t="shared" si="366"/>
        <v>-7.8842647387311793</v>
      </c>
      <c r="J1568" s="7">
        <f t="shared" si="367"/>
        <v>-50.745562551791316</v>
      </c>
      <c r="K1568" s="8">
        <f t="shared" si="371"/>
        <v>304.10735420820259</v>
      </c>
      <c r="L1568" s="8">
        <f t="shared" si="372"/>
        <v>-12.772508876744508</v>
      </c>
      <c r="M1568" s="8">
        <f t="shared" si="369"/>
        <v>82.207811333901915</v>
      </c>
      <c r="N1568" s="8">
        <f t="shared" si="373"/>
        <v>25</v>
      </c>
      <c r="O1568" s="8">
        <f t="shared" si="374"/>
        <v>28.884213881107556</v>
      </c>
    </row>
    <row r="1569" spans="1:15" x14ac:dyDescent="0.3">
      <c r="A1569" s="5">
        <f t="shared" si="360"/>
        <v>15.609999999999712</v>
      </c>
      <c r="B1569" s="5">
        <f t="shared" si="370"/>
        <v>94.901477563259107</v>
      </c>
      <c r="C1569" s="6">
        <f t="shared" si="368"/>
        <v>3660.4855631542796</v>
      </c>
      <c r="D1569" s="6">
        <f t="shared" si="361"/>
        <v>13399154.558060903</v>
      </c>
      <c r="E1569" s="7">
        <f t="shared" si="362"/>
        <v>6248571.4285714282</v>
      </c>
      <c r="F1569" s="7">
        <f t="shared" si="363"/>
        <v>124.97142857142855</v>
      </c>
      <c r="G1569" s="7">
        <f t="shared" si="364"/>
        <v>7150583.1294894749</v>
      </c>
      <c r="H1569" s="6">
        <f t="shared" si="365"/>
        <v>2674.0574282332595</v>
      </c>
      <c r="I1569" s="7">
        <f t="shared" si="366"/>
        <v>-7.8932292460529743</v>
      </c>
      <c r="J1569" s="7">
        <f t="shared" si="367"/>
        <v>-50.687929743613154</v>
      </c>
      <c r="K1569" s="8">
        <f t="shared" si="371"/>
        <v>304.45312806204328</v>
      </c>
      <c r="L1569" s="8">
        <f t="shared" si="372"/>
        <v>-12.787031378605816</v>
      </c>
      <c r="M1569" s="8">
        <f t="shared" si="369"/>
        <v>82.114446184653289</v>
      </c>
      <c r="N1569" s="8">
        <f t="shared" si="373"/>
        <v>25.000000000000007</v>
      </c>
      <c r="O1569" s="8">
        <f t="shared" si="374"/>
        <v>28.893051701844051</v>
      </c>
    </row>
    <row r="1570" spans="1:15" x14ac:dyDescent="0.3">
      <c r="A1570" s="5">
        <f t="shared" si="360"/>
        <v>15.619999999999711</v>
      </c>
      <c r="B1570" s="5">
        <f t="shared" si="370"/>
        <v>94.822545270798571</v>
      </c>
      <c r="C1570" s="6">
        <f t="shared" si="368"/>
        <v>3657.4410318736591</v>
      </c>
      <c r="D1570" s="6">
        <f t="shared" si="361"/>
        <v>13376874.901633056</v>
      </c>
      <c r="E1570" s="7">
        <f t="shared" si="362"/>
        <v>6248571.4285714282</v>
      </c>
      <c r="F1570" s="7">
        <f t="shared" si="363"/>
        <v>124.97142857142855</v>
      </c>
      <c r="G1570" s="7">
        <f t="shared" si="364"/>
        <v>7128303.4730616277</v>
      </c>
      <c r="H1570" s="6">
        <f t="shared" si="365"/>
        <v>2669.8882884985333</v>
      </c>
      <c r="I1570" s="7">
        <f t="shared" si="366"/>
        <v>-7.9022281705828554</v>
      </c>
      <c r="J1570" s="7">
        <f t="shared" si="367"/>
        <v>-50.630207181761953</v>
      </c>
      <c r="K1570" s="8">
        <f t="shared" si="371"/>
        <v>304.80022943676727</v>
      </c>
      <c r="L1570" s="8">
        <f t="shared" si="372"/>
        <v>-12.801609636344224</v>
      </c>
      <c r="M1570" s="8">
        <f t="shared" si="369"/>
        <v>82.020935634454347</v>
      </c>
      <c r="N1570" s="8">
        <f t="shared" si="373"/>
        <v>25.000000000000004</v>
      </c>
      <c r="O1570" s="8">
        <f t="shared" si="374"/>
        <v>28.901933554317658</v>
      </c>
    </row>
    <row r="1571" spans="1:15" x14ac:dyDescent="0.3">
      <c r="A1571" s="5">
        <f t="shared" si="360"/>
        <v>15.629999999999711</v>
      </c>
      <c r="B1571" s="5">
        <f t="shared" si="370"/>
        <v>94.743522989092739</v>
      </c>
      <c r="C1571" s="6">
        <f t="shared" si="368"/>
        <v>3654.3930295792911</v>
      </c>
      <c r="D1571" s="6">
        <f t="shared" si="361"/>
        <v>13354588.414637709</v>
      </c>
      <c r="E1571" s="7">
        <f t="shared" si="362"/>
        <v>6248571.4285714282</v>
      </c>
      <c r="F1571" s="7">
        <f t="shared" si="363"/>
        <v>124.97142857142855</v>
      </c>
      <c r="G1571" s="7">
        <f t="shared" si="364"/>
        <v>7106016.9860662809</v>
      </c>
      <c r="H1571" s="6">
        <f t="shared" si="365"/>
        <v>2665.71134710161</v>
      </c>
      <c r="I1571" s="7">
        <f t="shared" si="366"/>
        <v>-7.9112617482210439</v>
      </c>
      <c r="J1571" s="7">
        <f t="shared" si="367"/>
        <v>-50.572394417885597</v>
      </c>
      <c r="K1571" s="8">
        <f t="shared" si="371"/>
        <v>305.1486674313831</v>
      </c>
      <c r="L1571" s="8">
        <f t="shared" si="372"/>
        <v>-12.816244032118089</v>
      </c>
      <c r="M1571" s="8">
        <f t="shared" si="369"/>
        <v>81.927278956974646</v>
      </c>
      <c r="N1571" s="8">
        <f t="shared" si="373"/>
        <v>25.000000000000007</v>
      </c>
      <c r="O1571" s="8">
        <f t="shared" si="374"/>
        <v>28.910859787876259</v>
      </c>
    </row>
    <row r="1572" spans="1:15" x14ac:dyDescent="0.3">
      <c r="A1572" s="5">
        <f t="shared" si="360"/>
        <v>15.639999999999711</v>
      </c>
      <c r="B1572" s="5">
        <f t="shared" si="370"/>
        <v>94.664410371610529</v>
      </c>
      <c r="C1572" s="6">
        <f t="shared" si="368"/>
        <v>3651.3415429049774</v>
      </c>
      <c r="D1572" s="6">
        <f t="shared" si="361"/>
        <v>13332295.062943701</v>
      </c>
      <c r="E1572" s="7">
        <f t="shared" si="362"/>
        <v>6248571.4285714282</v>
      </c>
      <c r="F1572" s="7">
        <f t="shared" si="363"/>
        <v>124.97142857142855</v>
      </c>
      <c r="G1572" s="7">
        <f t="shared" si="364"/>
        <v>7083723.6343722725</v>
      </c>
      <c r="H1572" s="6">
        <f t="shared" si="365"/>
        <v>2661.5265608992659</v>
      </c>
      <c r="I1572" s="7">
        <f t="shared" si="366"/>
        <v>-7.9203302172382051</v>
      </c>
      <c r="J1572" s="7">
        <f t="shared" si="367"/>
        <v>-50.514490999805339</v>
      </c>
      <c r="K1572" s="8">
        <f t="shared" si="371"/>
        <v>305.49845123633077</v>
      </c>
      <c r="L1572" s="8">
        <f t="shared" si="372"/>
        <v>-12.83093495192589</v>
      </c>
      <c r="M1572" s="8">
        <f t="shared" si="369"/>
        <v>81.833475419684646</v>
      </c>
      <c r="N1572" s="8">
        <f t="shared" si="373"/>
        <v>25.000000000000004</v>
      </c>
      <c r="O1572" s="8">
        <f t="shared" si="374"/>
        <v>28.919830755727464</v>
      </c>
    </row>
    <row r="1573" spans="1:15" x14ac:dyDescent="0.3">
      <c r="A1573" s="5">
        <f t="shared" si="360"/>
        <v>15.649999999999711</v>
      </c>
      <c r="B1573" s="5">
        <f t="shared" si="370"/>
        <v>94.585207069438141</v>
      </c>
      <c r="C1573" s="6">
        <f t="shared" si="368"/>
        <v>3648.2865583926136</v>
      </c>
      <c r="D1573" s="6">
        <f t="shared" si="361"/>
        <v>13309994.812148221</v>
      </c>
      <c r="E1573" s="7">
        <f t="shared" si="362"/>
        <v>6248571.4285714282</v>
      </c>
      <c r="F1573" s="7">
        <f t="shared" si="363"/>
        <v>124.97142857142855</v>
      </c>
      <c r="G1573" s="7">
        <f t="shared" si="364"/>
        <v>7061423.3835767927</v>
      </c>
      <c r="H1573" s="6">
        <f t="shared" si="365"/>
        <v>2657.3338863561712</v>
      </c>
      <c r="I1573" s="7">
        <f t="shared" si="366"/>
        <v>-7.929433818307154</v>
      </c>
      <c r="J1573" s="7">
        <f t="shared" si="367"/>
        <v>-50.456496471469485</v>
      </c>
      <c r="K1573" s="8">
        <f t="shared" si="371"/>
        <v>305.8495901347045</v>
      </c>
      <c r="L1573" s="8">
        <f t="shared" si="372"/>
        <v>-12.845682785657587</v>
      </c>
      <c r="M1573" s="8">
        <f t="shared" si="369"/>
        <v>81.739524283780554</v>
      </c>
      <c r="N1573" s="8">
        <f t="shared" si="373"/>
        <v>25.000000000000007</v>
      </c>
      <c r="O1573" s="8">
        <f t="shared" si="374"/>
        <v>28.928846814993808</v>
      </c>
    </row>
    <row r="1574" spans="1:15" x14ac:dyDescent="0.3">
      <c r="A1574" s="5">
        <f t="shared" si="360"/>
        <v>15.659999999999711</v>
      </c>
      <c r="B1574" s="5">
        <f t="shared" si="370"/>
        <v>94.505912731255066</v>
      </c>
      <c r="C1574" s="6">
        <f t="shared" si="368"/>
        <v>3645.2280624912664</v>
      </c>
      <c r="D1574" s="6">
        <f t="shared" si="361"/>
        <v>13287687.627573833</v>
      </c>
      <c r="E1574" s="7">
        <f t="shared" si="362"/>
        <v>6248571.4285714282</v>
      </c>
      <c r="F1574" s="7">
        <f t="shared" si="363"/>
        <v>124.97142857142855</v>
      </c>
      <c r="G1574" s="7">
        <f t="shared" si="364"/>
        <v>7039116.1990024047</v>
      </c>
      <c r="H1574" s="6">
        <f t="shared" si="365"/>
        <v>2653.1332795399489</v>
      </c>
      <c r="I1574" s="7">
        <f t="shared" si="366"/>
        <v>-7.9385727945350064</v>
      </c>
      <c r="J1574" s="7">
        <f t="shared" si="367"/>
        <v>-50.398410372906397</v>
      </c>
      <c r="K1574" s="8">
        <f t="shared" si="371"/>
        <v>306.20209350349307</v>
      </c>
      <c r="L1574" s="8">
        <f t="shared" si="372"/>
        <v>-12.860487927146707</v>
      </c>
      <c r="M1574" s="8">
        <f t="shared" si="369"/>
        <v>81.645424804108359</v>
      </c>
      <c r="N1574" s="8">
        <f t="shared" si="373"/>
        <v>25</v>
      </c>
      <c r="O1574" s="8">
        <f t="shared" si="374"/>
        <v>28.937908326768721</v>
      </c>
    </row>
    <row r="1575" spans="1:15" x14ac:dyDescent="0.3">
      <c r="A1575" s="5">
        <f t="shared" si="360"/>
        <v>15.66999999999971</v>
      </c>
      <c r="B1575" s="5">
        <f t="shared" si="370"/>
        <v>94.426527003309715</v>
      </c>
      <c r="C1575" s="6">
        <f t="shared" si="368"/>
        <v>3642.1660415562319</v>
      </c>
      <c r="D1575" s="6">
        <f t="shared" si="361"/>
        <v>13265373.474265391</v>
      </c>
      <c r="E1575" s="7">
        <f t="shared" si="362"/>
        <v>6248571.4285714282</v>
      </c>
      <c r="F1575" s="7">
        <f t="shared" si="363"/>
        <v>124.97142857142855</v>
      </c>
      <c r="G1575" s="7">
        <f t="shared" si="364"/>
        <v>7016802.0456939628</v>
      </c>
      <c r="H1575" s="6">
        <f t="shared" si="365"/>
        <v>2648.9246961161357</v>
      </c>
      <c r="I1575" s="7">
        <f t="shared" si="366"/>
        <v>-7.9477473914959704</v>
      </c>
      <c r="J1575" s="7">
        <f t="shared" si="367"/>
        <v>-50.340232240176711</v>
      </c>
      <c r="K1575" s="8">
        <f t="shared" si="371"/>
        <v>306.55597081484456</v>
      </c>
      <c r="L1575" s="8">
        <f t="shared" si="372"/>
        <v>-12.87535077422347</v>
      </c>
      <c r="M1575" s="8">
        <f t="shared" si="369"/>
        <v>81.551176229086252</v>
      </c>
      <c r="N1575" s="8">
        <f t="shared" si="373"/>
        <v>25.000000000000011</v>
      </c>
      <c r="O1575" s="8">
        <f t="shared" si="374"/>
        <v>28.947015656173747</v>
      </c>
    </row>
    <row r="1576" spans="1:15" x14ac:dyDescent="0.3">
      <c r="A1576" s="5">
        <f t="shared" si="360"/>
        <v>15.67999999999971</v>
      </c>
      <c r="B1576" s="5">
        <f t="shared" si="370"/>
        <v>94.347049529394752</v>
      </c>
      <c r="C1576" s="6">
        <f t="shared" si="368"/>
        <v>3639.1004818480833</v>
      </c>
      <c r="D1576" s="6">
        <f t="shared" si="361"/>
        <v>13243052.316986952</v>
      </c>
      <c r="E1576" s="7">
        <f t="shared" si="362"/>
        <v>6248571.4285714282</v>
      </c>
      <c r="F1576" s="7">
        <f t="shared" si="363"/>
        <v>124.97142857142855</v>
      </c>
      <c r="G1576" s="7">
        <f t="shared" si="364"/>
        <v>6994480.8884155238</v>
      </c>
      <c r="H1576" s="6">
        <f t="shared" si="365"/>
        <v>2644.7080913430736</v>
      </c>
      <c r="I1576" s="7">
        <f t="shared" si="366"/>
        <v>-7.9569578572645963</v>
      </c>
      <c r="J1576" s="7">
        <f t="shared" si="367"/>
        <v>-50.281961605324767</v>
      </c>
      <c r="K1576" s="8">
        <f t="shared" si="371"/>
        <v>306.91123163734869</v>
      </c>
      <c r="L1576" s="8">
        <f t="shared" si="372"/>
        <v>-12.890271728768644</v>
      </c>
      <c r="M1576" s="8">
        <f t="shared" si="369"/>
        <v>81.456777800626114</v>
      </c>
      <c r="N1576" s="8">
        <f t="shared" si="373"/>
        <v>25.000000000000004</v>
      </c>
      <c r="O1576" s="8">
        <f t="shared" si="374"/>
        <v>28.95616917241648</v>
      </c>
    </row>
    <row r="1577" spans="1:15" x14ac:dyDescent="0.3">
      <c r="A1577" s="5">
        <f t="shared" si="360"/>
        <v>15.68999999999971</v>
      </c>
      <c r="B1577" s="5">
        <f t="shared" si="370"/>
        <v>94.267479950822107</v>
      </c>
      <c r="C1577" s="6">
        <f t="shared" si="368"/>
        <v>3636.0313695317095</v>
      </c>
      <c r="D1577" s="6">
        <f t="shared" si="361"/>
        <v>13220724.120218638</v>
      </c>
      <c r="E1577" s="7">
        <f t="shared" si="362"/>
        <v>6248571.4285714282</v>
      </c>
      <c r="F1577" s="7">
        <f t="shared" si="363"/>
        <v>124.97142857142855</v>
      </c>
      <c r="G1577" s="7">
        <f t="shared" si="364"/>
        <v>6972152.6916472102</v>
      </c>
      <c r="H1577" s="6">
        <f t="shared" si="365"/>
        <v>2640.4834200667137</v>
      </c>
      <c r="I1577" s="7">
        <f t="shared" si="366"/>
        <v>-7.966204442449671</v>
      </c>
      <c r="J1577" s="7">
        <f t="shared" si="367"/>
        <v>-50.22359799632941</v>
      </c>
      <c r="K1577" s="8">
        <f t="shared" si="371"/>
        <v>307.26788563734442</v>
      </c>
      <c r="L1577" s="8">
        <f t="shared" si="372"/>
        <v>-12.905251196768464</v>
      </c>
      <c r="M1577" s="8">
        <f t="shared" si="369"/>
        <v>81.362228754053646</v>
      </c>
      <c r="N1577" s="8">
        <f t="shared" si="373"/>
        <v>25.000000000000011</v>
      </c>
      <c r="O1577" s="8">
        <f t="shared" si="374"/>
        <v>28.965369248849864</v>
      </c>
    </row>
    <row r="1578" spans="1:15" x14ac:dyDescent="0.3">
      <c r="A1578" s="5">
        <f t="shared" si="360"/>
        <v>15.69999999999971</v>
      </c>
      <c r="B1578" s="5">
        <f t="shared" si="370"/>
        <v>94.187817906397612</v>
      </c>
      <c r="C1578" s="6">
        <f t="shared" si="368"/>
        <v>3632.9586906753361</v>
      </c>
      <c r="D1578" s="6">
        <f t="shared" si="361"/>
        <v>13198388.848153453</v>
      </c>
      <c r="E1578" s="7">
        <f t="shared" si="362"/>
        <v>6248571.4285714282</v>
      </c>
      <c r="F1578" s="7">
        <f t="shared" si="363"/>
        <v>124.97142857142855</v>
      </c>
      <c r="G1578" s="7">
        <f t="shared" si="364"/>
        <v>6949817.4195820251</v>
      </c>
      <c r="H1578" s="6">
        <f t="shared" si="365"/>
        <v>2636.2506367153378</v>
      </c>
      <c r="I1578" s="7">
        <f t="shared" si="366"/>
        <v>-7.9754874002286122</v>
      </c>
      <c r="J1578" s="7">
        <f t="shared" si="367"/>
        <v>-50.16514093705387</v>
      </c>
      <c r="K1578" s="8">
        <f t="shared" si="371"/>
        <v>307.62594258024643</v>
      </c>
      <c r="L1578" s="8">
        <f t="shared" si="372"/>
        <v>-12.920289588370348</v>
      </c>
      <c r="M1578" s="8">
        <f t="shared" si="369"/>
        <v>81.26752831802726</v>
      </c>
      <c r="N1578" s="8">
        <f t="shared" si="373"/>
        <v>25.000000000000004</v>
      </c>
      <c r="O1578" s="8">
        <f t="shared" si="374"/>
        <v>28.974616263032178</v>
      </c>
    </row>
    <row r="1579" spans="1:15" x14ac:dyDescent="0.3">
      <c r="A1579" s="5">
        <f t="shared" si="360"/>
        <v>15.70999999999971</v>
      </c>
      <c r="B1579" s="5">
        <f t="shared" si="370"/>
        <v>94.108063032395322</v>
      </c>
      <c r="C1579" s="6">
        <f t="shared" si="368"/>
        <v>3629.8824312495335</v>
      </c>
      <c r="D1579" s="6">
        <f t="shared" si="361"/>
        <v>13176046.464694025</v>
      </c>
      <c r="E1579" s="7">
        <f t="shared" si="362"/>
        <v>6248571.4285714282</v>
      </c>
      <c r="F1579" s="7">
        <f t="shared" si="363"/>
        <v>124.97142857142855</v>
      </c>
      <c r="G1579" s="7">
        <f t="shared" si="364"/>
        <v>6927475.0361225968</v>
      </c>
      <c r="H1579" s="6">
        <f t="shared" si="365"/>
        <v>2632.0096952941867</v>
      </c>
      <c r="I1579" s="7">
        <f t="shared" si="366"/>
        <v>-7.9848069863825204</v>
      </c>
      <c r="J1579" s="7">
        <f t="shared" si="367"/>
        <v>-50.106589947194848</v>
      </c>
      <c r="K1579" s="8">
        <f t="shared" si="371"/>
        <v>307.98541233189718</v>
      </c>
      <c r="L1579" s="8">
        <f t="shared" si="372"/>
        <v>-12.93538731793968</v>
      </c>
      <c r="M1579" s="8">
        <f t="shared" si="369"/>
        <v>81.172675714455636</v>
      </c>
      <c r="N1579" s="8">
        <f t="shared" si="373"/>
        <v>24.999999999999996</v>
      </c>
      <c r="O1579" s="8">
        <f t="shared" si="374"/>
        <v>28.983910596788441</v>
      </c>
    </row>
    <row r="1580" spans="1:15" x14ac:dyDescent="0.3">
      <c r="A1580" s="5">
        <f t="shared" si="360"/>
        <v>15.719999999999709</v>
      </c>
      <c r="B1580" s="5">
        <f t="shared" si="370"/>
        <v>94.028214962531493</v>
      </c>
      <c r="C1580" s="6">
        <f t="shared" si="368"/>
        <v>3626.8025771262146</v>
      </c>
      <c r="D1580" s="6">
        <f t="shared" si="361"/>
        <v>13153696.933449352</v>
      </c>
      <c r="E1580" s="7">
        <f t="shared" si="362"/>
        <v>6248571.4285714282</v>
      </c>
      <c r="F1580" s="7">
        <f t="shared" si="363"/>
        <v>124.97142857142855</v>
      </c>
      <c r="G1580" s="7">
        <f t="shared" si="364"/>
        <v>6905125.504877924</v>
      </c>
      <c r="H1580" s="6">
        <f t="shared" si="365"/>
        <v>2627.7605493800083</v>
      </c>
      <c r="I1580" s="7">
        <f t="shared" si="366"/>
        <v>-7.9941634593317845</v>
      </c>
      <c r="J1580" s="7">
        <f t="shared" si="367"/>
        <v>-50.047944542230873</v>
      </c>
      <c r="K1580" s="8">
        <f t="shared" si="371"/>
        <v>308.34630485994023</v>
      </c>
      <c r="L1580" s="8">
        <f t="shared" si="372"/>
        <v>-12.950544804117488</v>
      </c>
      <c r="M1580" s="8">
        <f t="shared" si="369"/>
        <v>81.077670158414008</v>
      </c>
      <c r="N1580" s="8">
        <f t="shared" si="373"/>
        <v>25.000000000000004</v>
      </c>
      <c r="O1580" s="8">
        <f t="shared" si="374"/>
        <v>28.993252636272729</v>
      </c>
    </row>
    <row r="1581" spans="1:15" x14ac:dyDescent="0.3">
      <c r="A1581" s="5">
        <f t="shared" si="360"/>
        <v>15.729999999999709</v>
      </c>
      <c r="B1581" s="5">
        <f t="shared" si="370"/>
        <v>93.948273327938182</v>
      </c>
      <c r="C1581" s="6">
        <f t="shared" si="368"/>
        <v>3623.7191140776154</v>
      </c>
      <c r="D1581" s="6">
        <f t="shared" si="361"/>
        <v>13131340.217731457</v>
      </c>
      <c r="E1581" s="7">
        <f t="shared" si="362"/>
        <v>6248571.4285714282</v>
      </c>
      <c r="F1581" s="7">
        <f t="shared" si="363"/>
        <v>124.97142857142855</v>
      </c>
      <c r="G1581" s="7">
        <f t="shared" si="364"/>
        <v>6882768.789160029</v>
      </c>
      <c r="H1581" s="6">
        <f t="shared" si="365"/>
        <v>2623.5031521155124</v>
      </c>
      <c r="I1581" s="7">
        <f t="shared" si="366"/>
        <v>-8.0035570801722926</v>
      </c>
      <c r="J1581" s="7">
        <f t="shared" si="367"/>
        <v>-49.989204233369804</v>
      </c>
      <c r="K1581" s="8">
        <f t="shared" si="371"/>
        <v>308.70863023521696</v>
      </c>
      <c r="L1581" s="8">
        <f t="shared" si="372"/>
        <v>-12.965762469879111</v>
      </c>
      <c r="M1581" s="8">
        <f t="shared" si="369"/>
        <v>80.982510858059072</v>
      </c>
      <c r="N1581" s="8">
        <f t="shared" si="373"/>
        <v>25</v>
      </c>
      <c r="O1581" s="8">
        <f t="shared" si="374"/>
        <v>29.002642772031564</v>
      </c>
    </row>
    <row r="1582" spans="1:15" x14ac:dyDescent="0.3">
      <c r="A1582" s="5">
        <f t="shared" si="360"/>
        <v>15.739999999999709</v>
      </c>
      <c r="B1582" s="5">
        <f t="shared" si="370"/>
        <v>93.868237757136455</v>
      </c>
      <c r="C1582" s="6">
        <f t="shared" si="368"/>
        <v>3620.6320277752629</v>
      </c>
      <c r="D1582" s="6">
        <f t="shared" si="361"/>
        <v>13108976.280552013</v>
      </c>
      <c r="E1582" s="7">
        <f t="shared" si="362"/>
        <v>6248571.4285714282</v>
      </c>
      <c r="F1582" s="7">
        <f t="shared" si="363"/>
        <v>124.97142857142855</v>
      </c>
      <c r="G1582" s="7">
        <f t="shared" si="364"/>
        <v>6860404.8519805847</v>
      </c>
      <c r="H1582" s="6">
        <f t="shared" si="365"/>
        <v>2619.2374562037298</v>
      </c>
      <c r="I1582" s="7">
        <f t="shared" si="366"/>
        <v>-8.0129881127123141</v>
      </c>
      <c r="J1582" s="7">
        <f t="shared" si="367"/>
        <v>-49.930368527495382</v>
      </c>
      <c r="K1582" s="8">
        <f t="shared" si="371"/>
        <v>309.07239863318927</v>
      </c>
      <c r="L1582" s="8">
        <f t="shared" si="372"/>
        <v>-12.981040742593947</v>
      </c>
      <c r="M1582" s="8">
        <f t="shared" si="369"/>
        <v>80.887197014542508</v>
      </c>
      <c r="N1582" s="8">
        <f t="shared" si="373"/>
        <v>25</v>
      </c>
      <c r="O1582" s="8">
        <f t="shared" si="374"/>
        <v>29.012081399068666</v>
      </c>
    </row>
    <row r="1583" spans="1:15" x14ac:dyDescent="0.3">
      <c r="A1583" s="5">
        <f t="shared" si="360"/>
        <v>15.749999999999709</v>
      </c>
      <c r="B1583" s="5">
        <f t="shared" si="370"/>
        <v>93.788107876009335</v>
      </c>
      <c r="C1583" s="6">
        <f t="shared" si="368"/>
        <v>3617.5413037889311</v>
      </c>
      <c r="D1583" s="6">
        <f t="shared" si="361"/>
        <v>13086605.08461892</v>
      </c>
      <c r="E1583" s="7">
        <f t="shared" si="362"/>
        <v>6248571.4285714282</v>
      </c>
      <c r="F1583" s="7">
        <f t="shared" si="363"/>
        <v>124.97142857142855</v>
      </c>
      <c r="G1583" s="7">
        <f t="shared" si="364"/>
        <v>6838033.6560474923</v>
      </c>
      <c r="H1583" s="6">
        <f t="shared" si="365"/>
        <v>2614.9634139022846</v>
      </c>
      <c r="I1583" s="7">
        <f t="shared" si="366"/>
        <v>-8.0224568235099767</v>
      </c>
      <c r="J1583" s="7">
        <f t="shared" si="367"/>
        <v>-49.871436927113074</v>
      </c>
      <c r="K1583" s="8">
        <f t="shared" si="371"/>
        <v>309.43762033538479</v>
      </c>
      <c r="L1583" s="8">
        <f t="shared" si="372"/>
        <v>-12.99638005408616</v>
      </c>
      <c r="M1583" s="8">
        <f t="shared" si="369"/>
        <v>80.791727821923175</v>
      </c>
      <c r="N1583" s="8">
        <f t="shared" si="373"/>
        <v>25.000000000000007</v>
      </c>
      <c r="O1583" s="8">
        <f t="shared" si="374"/>
        <v>29.021568916910688</v>
      </c>
    </row>
    <row r="1584" spans="1:15" x14ac:dyDescent="0.3">
      <c r="A1584" s="5">
        <f t="shared" si="360"/>
        <v>15.759999999999708</v>
      </c>
      <c r="B1584" s="5">
        <f t="shared" si="370"/>
        <v>93.707883307774239</v>
      </c>
      <c r="C1584" s="6">
        <f t="shared" si="368"/>
        <v>3614.4469275855777</v>
      </c>
      <c r="D1584" s="6">
        <f t="shared" si="361"/>
        <v>13064226.592332821</v>
      </c>
      <c r="E1584" s="7">
        <f t="shared" si="362"/>
        <v>6248571.4285714282</v>
      </c>
      <c r="F1584" s="7">
        <f t="shared" si="363"/>
        <v>124.97142857142855</v>
      </c>
      <c r="G1584" s="7">
        <f t="shared" si="364"/>
        <v>6815655.1637613932</v>
      </c>
      <c r="H1584" s="6">
        <f t="shared" si="365"/>
        <v>2610.680977017566</v>
      </c>
      <c r="I1584" s="7">
        <f t="shared" si="366"/>
        <v>-8.0319634819113901</v>
      </c>
      <c r="J1584" s="7">
        <f t="shared" si="367"/>
        <v>-49.812408930294936</v>
      </c>
      <c r="K1584" s="8">
        <f t="shared" si="371"/>
        <v>309.8043057308679</v>
      </c>
      <c r="L1584" s="8">
        <f t="shared" si="372"/>
        <v>-13.011780840696451</v>
      </c>
      <c r="M1584" s="8">
        <f t="shared" si="369"/>
        <v>80.696102467077793</v>
      </c>
      <c r="N1584" s="8">
        <f t="shared" si="373"/>
        <v>25.000000000000011</v>
      </c>
      <c r="O1584" s="8">
        <f t="shared" si="374"/>
        <v>29.031105729674181</v>
      </c>
    </row>
    <row r="1585" spans="1:15" x14ac:dyDescent="0.3">
      <c r="A1585" s="5">
        <f t="shared" si="360"/>
        <v>15.769999999999708</v>
      </c>
      <c r="B1585" s="5">
        <f t="shared" si="370"/>
        <v>93.62756367295512</v>
      </c>
      <c r="C1585" s="6">
        <f t="shared" si="368"/>
        <v>3611.3488845282686</v>
      </c>
      <c r="D1585" s="6">
        <f t="shared" si="361"/>
        <v>13041840.765783571</v>
      </c>
      <c r="E1585" s="7">
        <f t="shared" si="362"/>
        <v>6248571.4285714282</v>
      </c>
      <c r="F1585" s="7">
        <f t="shared" si="363"/>
        <v>124.97142857142855</v>
      </c>
      <c r="G1585" s="7">
        <f t="shared" si="364"/>
        <v>6793269.3372121425</v>
      </c>
      <c r="H1585" s="6">
        <f t="shared" si="365"/>
        <v>2606.3900968988014</v>
      </c>
      <c r="I1585" s="7">
        <f t="shared" si="366"/>
        <v>-8.041508360089475</v>
      </c>
      <c r="J1585" s="7">
        <f t="shared" si="367"/>
        <v>-49.753284030623568</v>
      </c>
      <c r="K1585" s="8">
        <f t="shared" si="371"/>
        <v>310.17246531773685</v>
      </c>
      <c r="L1585" s="8">
        <f t="shared" si="372"/>
        <v>-13.027243543344946</v>
      </c>
      <c r="M1585" s="8">
        <f t="shared" si="369"/>
        <v>80.600320129610168</v>
      </c>
      <c r="N1585" s="8">
        <f t="shared" si="373"/>
        <v>24.999999999999996</v>
      </c>
      <c r="O1585" s="8">
        <f t="shared" si="374"/>
        <v>29.040692246133869</v>
      </c>
    </row>
    <row r="1586" spans="1:15" x14ac:dyDescent="0.3">
      <c r="A1586" s="5">
        <f t="shared" si="360"/>
        <v>15.779999999999708</v>
      </c>
      <c r="B1586" s="5">
        <f t="shared" si="370"/>
        <v>93.547148589354222</v>
      </c>
      <c r="C1586" s="6">
        <f t="shared" si="368"/>
        <v>3608.2471598750913</v>
      </c>
      <c r="D1586" s="6">
        <f t="shared" si="361"/>
        <v>13019447.566746661</v>
      </c>
      <c r="E1586" s="7">
        <f t="shared" si="362"/>
        <v>6248571.4285714282</v>
      </c>
      <c r="F1586" s="7">
        <f t="shared" si="363"/>
        <v>124.97142857142855</v>
      </c>
      <c r="G1586" s="7">
        <f t="shared" si="364"/>
        <v>6770876.1381752333</v>
      </c>
      <c r="H1586" s="6">
        <f t="shared" si="365"/>
        <v>2602.0907244320351</v>
      </c>
      <c r="I1586" s="7">
        <f t="shared" si="366"/>
        <v>-8.0510917330834406</v>
      </c>
      <c r="J1586" s="7">
        <f t="shared" si="367"/>
        <v>-49.69406171713522</v>
      </c>
      <c r="K1586" s="8">
        <f t="shared" si="371"/>
        <v>310.54210970464698</v>
      </c>
      <c r="L1586" s="8">
        <f t="shared" si="372"/>
        <v>-13.042768607595171</v>
      </c>
      <c r="M1586" s="8">
        <f t="shared" si="369"/>
        <v>80.504379981759058</v>
      </c>
      <c r="N1586" s="8">
        <f t="shared" si="373"/>
        <v>25.000000000000007</v>
      </c>
      <c r="O1586" s="8">
        <f t="shared" si="374"/>
        <v>29.050328879792147</v>
      </c>
    </row>
    <row r="1587" spans="1:15" x14ac:dyDescent="0.3">
      <c r="A1587" s="5">
        <f t="shared" si="360"/>
        <v>15.789999999999708</v>
      </c>
      <c r="B1587" s="5">
        <f t="shared" si="370"/>
        <v>93.466637672023381</v>
      </c>
      <c r="C1587" s="6">
        <f t="shared" si="368"/>
        <v>3605.1417387780443</v>
      </c>
      <c r="D1587" s="6">
        <f t="shared" si="361"/>
        <v>12997046.956679581</v>
      </c>
      <c r="E1587" s="7">
        <f t="shared" si="362"/>
        <v>6248571.4285714282</v>
      </c>
      <c r="F1587" s="7">
        <f t="shared" si="363"/>
        <v>124.97142857142855</v>
      </c>
      <c r="G1587" s="7">
        <f t="shared" si="364"/>
        <v>6748475.5281081526</v>
      </c>
      <c r="H1587" s="6">
        <f t="shared" si="365"/>
        <v>2597.7828100340016</v>
      </c>
      <c r="I1587" s="7">
        <f t="shared" si="366"/>
        <v>-8.0607138788389356</v>
      </c>
      <c r="J1587" s="7">
        <f t="shared" si="367"/>
        <v>-49.634741474261922</v>
      </c>
      <c r="K1587" s="8">
        <f t="shared" si="371"/>
        <v>310.91324961235892</v>
      </c>
      <c r="L1587" s="8">
        <f t="shared" si="372"/>
        <v>-13.058356483719074</v>
      </c>
      <c r="M1587" s="8">
        <f t="shared" si="369"/>
        <v>80.408281188304301</v>
      </c>
      <c r="N1587" s="8">
        <f t="shared" si="373"/>
        <v>25</v>
      </c>
      <c r="O1587" s="8">
        <f t="shared" si="374"/>
        <v>29.060016048949713</v>
      </c>
    </row>
    <row r="1588" spans="1:15" x14ac:dyDescent="0.3">
      <c r="A1588" s="5">
        <f>A1587+$B$5</f>
        <v>15.799999999999708</v>
      </c>
      <c r="B1588" s="5">
        <f t="shared" si="370"/>
        <v>93.386030533234987</v>
      </c>
      <c r="C1588" s="6">
        <f t="shared" si="368"/>
        <v>3602.0326062819208</v>
      </c>
      <c r="D1588" s="6">
        <f>POWER(C1588,2)</f>
        <v>12974638.896718128</v>
      </c>
      <c r="E1588" s="7">
        <f>4*$B$2*$B$3*POWER($B$1,2)</f>
        <v>6248571.4285714282</v>
      </c>
      <c r="F1588" s="7">
        <f>POWER($B$1,2)*2*$B$2</f>
        <v>124.97142857142855</v>
      </c>
      <c r="G1588" s="7">
        <f>D1588-E1588</f>
        <v>6726067.4681466995</v>
      </c>
      <c r="H1588" s="6">
        <f>SQRT(G1588)</f>
        <v>2593.4663036458946</v>
      </c>
      <c r="I1588" s="7">
        <f>(-C1588+H1588)/F1588</f>
        <v>-8.0703750782489543</v>
      </c>
      <c r="J1588" s="7">
        <f>(-C1588-H1588)/F1588</f>
        <v>-49.575322781772655</v>
      </c>
      <c r="K1588" s="8">
        <f t="shared" si="371"/>
        <v>311.28589587531678</v>
      </c>
      <c r="L1588" s="8">
        <f t="shared" si="372"/>
        <v>-13.074007626763304</v>
      </c>
      <c r="M1588" s="8">
        <f t="shared" si="369"/>
        <v>80.312022906471682</v>
      </c>
      <c r="N1588" s="8">
        <f t="shared" si="373"/>
        <v>25</v>
      </c>
      <c r="O1588" s="8">
        <f t="shared" si="374"/>
        <v>29.069754176777739</v>
      </c>
    </row>
    <row r="1589" spans="1:15" x14ac:dyDescent="0.3">
      <c r="A1589" s="5">
        <f t="shared" ref="A1589:A1625" si="375">A1588+$B$5</f>
        <v>15.809999999999707</v>
      </c>
      <c r="B1589" s="5">
        <f t="shared" si="370"/>
        <v>93.305326782452497</v>
      </c>
      <c r="C1589" s="6">
        <f t="shared" si="368"/>
        <v>3598.9197473231675</v>
      </c>
      <c r="D1589" s="6">
        <f t="shared" ref="D1589:D1625" si="376">POWER(C1589,2)</f>
        <v>12952223.347672652</v>
      </c>
      <c r="E1589" s="7">
        <f t="shared" ref="E1589:E1625" si="377">4*$B$2*$B$3*POWER($B$1,2)</f>
        <v>6248571.4285714282</v>
      </c>
      <c r="F1589" s="7">
        <f t="shared" ref="F1589:F1625" si="378">POWER($B$1,2)*2*$B$2</f>
        <v>124.97142857142855</v>
      </c>
      <c r="G1589" s="7">
        <f t="shared" ref="G1589:G1625" si="379">D1589-E1589</f>
        <v>6703651.9191012243</v>
      </c>
      <c r="H1589" s="6">
        <f t="shared" ref="H1589:H1625" si="380">SQRT(G1589)</f>
        <v>2589.1411547270313</v>
      </c>
      <c r="I1589" s="7">
        <f t="shared" ref="I1589:I1625" si="381">(-C1589+H1589)/F1589</f>
        <v>-8.0800756151954207</v>
      </c>
      <c r="J1589" s="7">
        <f t="shared" ref="J1589:J1625" si="382">(-C1589-H1589)/F1589</f>
        <v>-49.515805114713537</v>
      </c>
      <c r="K1589" s="8">
        <f t="shared" si="371"/>
        <v>311.66005944325195</v>
      </c>
      <c r="L1589" s="8">
        <f t="shared" si="372"/>
        <v>-13.089722496616581</v>
      </c>
      <c r="M1589" s="8">
        <f t="shared" si="369"/>
        <v>80.215604285835923</v>
      </c>
      <c r="N1589" s="8">
        <f t="shared" si="373"/>
        <v>25</v>
      </c>
      <c r="O1589" s="8">
        <f t="shared" si="374"/>
        <v>29.079543691391194</v>
      </c>
    </row>
    <row r="1590" spans="1:15" x14ac:dyDescent="0.3">
      <c r="A1590" s="5">
        <f t="shared" si="375"/>
        <v>15.819999999999707</v>
      </c>
      <c r="B1590" s="5">
        <f t="shared" si="370"/>
        <v>93.224526026300538</v>
      </c>
      <c r="C1590" s="6">
        <f t="shared" si="368"/>
        <v>3595.8031467287346</v>
      </c>
      <c r="D1590" s="6">
        <f t="shared" si="376"/>
        <v>12929800.27002427</v>
      </c>
      <c r="E1590" s="7">
        <f t="shared" si="377"/>
        <v>6248571.4285714282</v>
      </c>
      <c r="F1590" s="7">
        <f t="shared" si="378"/>
        <v>124.97142857142855</v>
      </c>
      <c r="G1590" s="7">
        <f t="shared" si="379"/>
        <v>6681228.8414528416</v>
      </c>
      <c r="H1590" s="6">
        <f t="shared" si="380"/>
        <v>2584.8073122484084</v>
      </c>
      <c r="I1590" s="7">
        <f t="shared" si="381"/>
        <v>-8.0898157765915464</v>
      </c>
      <c r="J1590" s="7">
        <f t="shared" si="382"/>
        <v>-49.456187943347061</v>
      </c>
      <c r="K1590" s="8">
        <f t="shared" si="371"/>
        <v>312.03575138281678</v>
      </c>
      <c r="L1590" s="8">
        <f t="shared" si="372"/>
        <v>-13.105501558078304</v>
      </c>
      <c r="M1590" s="8">
        <f t="shared" si="369"/>
        <v>80.119024468222236</v>
      </c>
      <c r="N1590" s="8">
        <f t="shared" si="373"/>
        <v>25.000000000000007</v>
      </c>
      <c r="O1590" s="8">
        <f t="shared" si="374"/>
        <v>29.089385025923647</v>
      </c>
    </row>
    <row r="1591" spans="1:15" x14ac:dyDescent="0.3">
      <c r="A1591" s="5">
        <f t="shared" si="375"/>
        <v>15.829999999999707</v>
      </c>
      <c r="B1591" s="5">
        <f t="shared" si="370"/>
        <v>93.143627868534622</v>
      </c>
      <c r="C1591" s="6">
        <f t="shared" si="368"/>
        <v>3592.6827892149067</v>
      </c>
      <c r="D1591" s="6">
        <f t="shared" si="376"/>
        <v>12907369.623921001</v>
      </c>
      <c r="E1591" s="7">
        <f t="shared" si="377"/>
        <v>6248571.4285714282</v>
      </c>
      <c r="F1591" s="7">
        <f t="shared" si="378"/>
        <v>124.97142857142855</v>
      </c>
      <c r="G1591" s="7">
        <f t="shared" si="379"/>
        <v>6658798.1953495732</v>
      </c>
      <c r="H1591" s="6">
        <f t="shared" si="380"/>
        <v>2580.4647246861509</v>
      </c>
      <c r="I1591" s="7">
        <f t="shared" si="381"/>
        <v>-8.0995958524248888</v>
      </c>
      <c r="J1591" s="7">
        <f t="shared" si="382"/>
        <v>-49.396470733090325</v>
      </c>
      <c r="K1591" s="8">
        <f t="shared" si="371"/>
        <v>312.4129828792457</v>
      </c>
      <c r="L1591" s="8">
        <f t="shared" si="372"/>
        <v>-13.121345280928319</v>
      </c>
      <c r="M1591" s="8">
        <f t="shared" si="369"/>
        <v>80.022282587606298</v>
      </c>
      <c r="N1591" s="8">
        <f t="shared" si="373"/>
        <v>25.000000000000007</v>
      </c>
      <c r="O1591" s="8">
        <f t="shared" si="374"/>
        <v>29.099278618603339</v>
      </c>
    </row>
    <row r="1592" spans="1:15" x14ac:dyDescent="0.3">
      <c r="A1592" s="5">
        <f t="shared" si="375"/>
        <v>15.839999999999707</v>
      </c>
      <c r="B1592" s="5">
        <f t="shared" si="370"/>
        <v>93.062631910010367</v>
      </c>
      <c r="C1592" s="6">
        <f t="shared" si="368"/>
        <v>3589.558659386114</v>
      </c>
      <c r="D1592" s="6">
        <f t="shared" si="376"/>
        <v>12884931.369173836</v>
      </c>
      <c r="E1592" s="7">
        <f t="shared" si="377"/>
        <v>6248571.4285714282</v>
      </c>
      <c r="F1592" s="7">
        <f t="shared" si="378"/>
        <v>124.97142857142855</v>
      </c>
      <c r="G1592" s="7">
        <f t="shared" si="379"/>
        <v>6636359.9406024078</v>
      </c>
      <c r="H1592" s="6">
        <f t="shared" si="380"/>
        <v>2576.1133400148387</v>
      </c>
      <c r="I1592" s="7">
        <f t="shared" si="381"/>
        <v>-8.1094161358012435</v>
      </c>
      <c r="J1592" s="7">
        <f t="shared" si="382"/>
        <v>-49.336652944452076</v>
      </c>
      <c r="K1592" s="8">
        <f t="shared" si="371"/>
        <v>312.79176523804796</v>
      </c>
      <c r="L1592" s="8">
        <f t="shared" si="372"/>
        <v>-13.137254139998014</v>
      </c>
      <c r="M1592" s="8">
        <f t="shared" si="369"/>
        <v>79.925377770012346</v>
      </c>
      <c r="N1592" s="8">
        <f t="shared" si="373"/>
        <v>25</v>
      </c>
      <c r="O1592" s="8">
        <f t="shared" si="374"/>
        <v>29.109224912830832</v>
      </c>
    </row>
    <row r="1593" spans="1:15" x14ac:dyDescent="0.3">
      <c r="A1593" s="5">
        <f t="shared" si="375"/>
        <v>15.849999999999707</v>
      </c>
      <c r="B1593" s="5">
        <f t="shared" si="370"/>
        <v>92.981537748652357</v>
      </c>
      <c r="C1593" s="6">
        <f t="shared" si="368"/>
        <v>3586.4307417337336</v>
      </c>
      <c r="D1593" s="6">
        <f t="shared" si="376"/>
        <v>12862485.465252779</v>
      </c>
      <c r="E1593" s="7">
        <f t="shared" si="377"/>
        <v>6248571.4285714282</v>
      </c>
      <c r="F1593" s="7">
        <f t="shared" si="378"/>
        <v>124.97142857142855</v>
      </c>
      <c r="G1593" s="7">
        <f t="shared" si="379"/>
        <v>6613914.0366813513</v>
      </c>
      <c r="H1593" s="6">
        <f t="shared" si="380"/>
        <v>2571.7531057007304</v>
      </c>
      <c r="I1593" s="7">
        <f t="shared" si="381"/>
        <v>-8.1192769229892825</v>
      </c>
      <c r="J1593" s="7">
        <f t="shared" si="382"/>
        <v>-49.276734032968974</v>
      </c>
      <c r="K1593" s="8">
        <f t="shared" si="371"/>
        <v>313.17210988672946</v>
      </c>
      <c r="L1593" s="8">
        <f t="shared" si="372"/>
        <v>-13.153228615242636</v>
      </c>
      <c r="M1593" s="8">
        <f t="shared" si="369"/>
        <v>79.828309133409718</v>
      </c>
      <c r="N1593" s="8">
        <f t="shared" si="373"/>
        <v>24.999999999999996</v>
      </c>
      <c r="O1593" s="8">
        <f t="shared" si="374"/>
        <v>29.119224357258041</v>
      </c>
    </row>
    <row r="1594" spans="1:15" x14ac:dyDescent="0.3">
      <c r="A1594" s="5">
        <f t="shared" si="375"/>
        <v>15.859999999999706</v>
      </c>
      <c r="B1594" s="5">
        <f t="shared" si="370"/>
        <v>92.900344979422471</v>
      </c>
      <c r="C1594" s="6">
        <f t="shared" si="368"/>
        <v>3583.2990206348663</v>
      </c>
      <c r="D1594" s="6">
        <f t="shared" si="376"/>
        <v>12840031.871282792</v>
      </c>
      <c r="E1594" s="7">
        <f t="shared" si="377"/>
        <v>6248571.4285714282</v>
      </c>
      <c r="F1594" s="7">
        <f t="shared" si="378"/>
        <v>124.97142857142855</v>
      </c>
      <c r="G1594" s="7">
        <f t="shared" si="379"/>
        <v>6591460.4427113635</v>
      </c>
      <c r="H1594" s="6">
        <f t="shared" si="380"/>
        <v>2567.3839686948586</v>
      </c>
      <c r="I1594" s="7">
        <f t="shared" si="381"/>
        <v>-8.1291785134659982</v>
      </c>
      <c r="J1594" s="7">
        <f t="shared" si="382"/>
        <v>-49.216713449140471</v>
      </c>
      <c r="K1594" s="8">
        <f t="shared" si="371"/>
        <v>313.5540283765456</v>
      </c>
      <c r="L1594" s="8">
        <f t="shared" si="372"/>
        <v>-13.169269191814914</v>
      </c>
      <c r="M1594" s="8">
        <f t="shared" si="369"/>
        <v>79.731075787607551</v>
      </c>
      <c r="N1594" s="8">
        <f t="shared" si="373"/>
        <v>25.000000000000007</v>
      </c>
      <c r="O1594" s="8">
        <f t="shared" si="374"/>
        <v>29.129277405868709</v>
      </c>
    </row>
    <row r="1595" spans="1:15" x14ac:dyDescent="0.3">
      <c r="A1595" s="5">
        <f t="shared" si="375"/>
        <v>15.869999999999706</v>
      </c>
      <c r="B1595" s="5">
        <f t="shared" si="370"/>
        <v>92.819053194287804</v>
      </c>
      <c r="C1595" s="6">
        <f t="shared" si="368"/>
        <v>3580.163480351101</v>
      </c>
      <c r="D1595" s="6">
        <f t="shared" si="376"/>
        <v>12817570.546039708</v>
      </c>
      <c r="E1595" s="7">
        <f t="shared" si="377"/>
        <v>6248571.4285714282</v>
      </c>
      <c r="F1595" s="7">
        <f t="shared" si="378"/>
        <v>124.97142857142855</v>
      </c>
      <c r="G1595" s="7">
        <f t="shared" si="379"/>
        <v>6568999.1174682798</v>
      </c>
      <c r="H1595" s="6">
        <f t="shared" si="380"/>
        <v>2563.0058754260162</v>
      </c>
      <c r="I1595" s="7">
        <f t="shared" si="381"/>
        <v>-8.1391212099629566</v>
      </c>
      <c r="J1595" s="7">
        <f t="shared" si="382"/>
        <v>-49.156590638362864</v>
      </c>
      <c r="K1595" s="8">
        <f t="shared" si="371"/>
        <v>313.93753238428548</v>
      </c>
      <c r="L1595" s="8">
        <f t="shared" si="372"/>
        <v>-13.185376360139989</v>
      </c>
      <c r="M1595" s="8">
        <f t="shared" si="369"/>
        <v>79.633676834147821</v>
      </c>
      <c r="N1595" s="8">
        <f t="shared" si="373"/>
        <v>25.000000000000007</v>
      </c>
      <c r="O1595" s="8">
        <f t="shared" si="374"/>
        <v>29.139384518060442</v>
      </c>
    </row>
    <row r="1596" spans="1:15" x14ac:dyDescent="0.3">
      <c r="A1596" s="5">
        <f t="shared" si="375"/>
        <v>15.879999999999706</v>
      </c>
      <c r="B1596" s="5">
        <f t="shared" si="370"/>
        <v>92.737661982188172</v>
      </c>
      <c r="C1596" s="6">
        <f t="shared" si="368"/>
        <v>3577.024105027258</v>
      </c>
      <c r="D1596" s="6">
        <f t="shared" si="376"/>
        <v>12795101.447946057</v>
      </c>
      <c r="E1596" s="7">
        <f t="shared" si="377"/>
        <v>6248571.4285714282</v>
      </c>
      <c r="F1596" s="7">
        <f t="shared" si="378"/>
        <v>124.97142857142855</v>
      </c>
      <c r="G1596" s="7">
        <f t="shared" si="379"/>
        <v>6546530.0193746286</v>
      </c>
      <c r="H1596" s="6">
        <f t="shared" si="380"/>
        <v>2558.6187717936077</v>
      </c>
      <c r="I1596" s="7">
        <f t="shared" si="381"/>
        <v>-8.1491053185134348</v>
      </c>
      <c r="J1596" s="7">
        <f t="shared" si="382"/>
        <v>-49.09636504086199</v>
      </c>
      <c r="K1596" s="8">
        <f t="shared" si="371"/>
        <v>314.32263371408959</v>
      </c>
      <c r="L1596" s="8">
        <f t="shared" si="372"/>
        <v>-13.201550615991762</v>
      </c>
      <c r="M1596" s="8">
        <f t="shared" si="369"/>
        <v>79.536111366196408</v>
      </c>
      <c r="N1596" s="8">
        <f t="shared" si="373"/>
        <v>24.999999999999993</v>
      </c>
      <c r="O1596" s="8">
        <f t="shared" si="374"/>
        <v>29.149546158728384</v>
      </c>
    </row>
    <row r="1597" spans="1:15" x14ac:dyDescent="0.3">
      <c r="A1597" s="5">
        <f t="shared" si="375"/>
        <v>15.889999999999706</v>
      </c>
      <c r="B1597" s="5">
        <f t="shared" si="370"/>
        <v>92.656170929003039</v>
      </c>
      <c r="C1597" s="6">
        <f t="shared" si="368"/>
        <v>3573.8808786901172</v>
      </c>
      <c r="D1597" s="6">
        <f t="shared" si="376"/>
        <v>12772624.535066845</v>
      </c>
      <c r="E1597" s="7">
        <f t="shared" si="377"/>
        <v>6248571.4285714282</v>
      </c>
      <c r="F1597" s="7">
        <f t="shared" si="378"/>
        <v>124.97142857142855</v>
      </c>
      <c r="G1597" s="7">
        <f t="shared" si="379"/>
        <v>6524053.1064954167</v>
      </c>
      <c r="H1597" s="6">
        <f t="shared" si="380"/>
        <v>2554.2226031603855</v>
      </c>
      <c r="I1597" s="7">
        <f t="shared" si="381"/>
        <v>-8.1591311485003697</v>
      </c>
      <c r="J1597" s="7">
        <f t="shared" si="382"/>
        <v>-49.036036091624979</v>
      </c>
      <c r="K1597" s="8">
        <f t="shared" si="371"/>
        <v>314.70934429929997</v>
      </c>
      <c r="L1597" s="8">
        <f t="shared" si="372"/>
        <v>-13.217792460570598</v>
      </c>
      <c r="M1597" s="8">
        <f t="shared" si="369"/>
        <v>79.438378468432447</v>
      </c>
      <c r="N1597" s="8">
        <f t="shared" si="373"/>
        <v>25.000000000000004</v>
      </c>
      <c r="O1597" s="8">
        <f t="shared" si="374"/>
        <v>29.159762798350407</v>
      </c>
    </row>
    <row r="1598" spans="1:15" x14ac:dyDescent="0.3">
      <c r="A1598" s="5">
        <f t="shared" si="375"/>
        <v>15.899999999999705</v>
      </c>
      <c r="B1598" s="5">
        <f t="shared" si="370"/>
        <v>92.57457961751804</v>
      </c>
      <c r="C1598" s="6">
        <f t="shared" si="368"/>
        <v>3570.7337852471242</v>
      </c>
      <c r="D1598" s="6">
        <f t="shared" si="376"/>
        <v>12750139.765105255</v>
      </c>
      <c r="E1598" s="7">
        <f t="shared" si="377"/>
        <v>6248571.4285714282</v>
      </c>
      <c r="F1598" s="7">
        <f t="shared" si="378"/>
        <v>124.97142857142855</v>
      </c>
      <c r="G1598" s="7">
        <f t="shared" si="379"/>
        <v>6501568.3365338268</v>
      </c>
      <c r="H1598" s="6">
        <f t="shared" si="380"/>
        <v>2549.8173143450545</v>
      </c>
      <c r="I1598" s="7">
        <f t="shared" si="381"/>
        <v>-8.1691990127051781</v>
      </c>
      <c r="J1598" s="7">
        <f t="shared" si="382"/>
        <v>-48.975603220330655</v>
      </c>
      <c r="K1598" s="8">
        <f t="shared" si="371"/>
        <v>315.09767620434258</v>
      </c>
      <c r="L1598" s="8">
        <f t="shared" si="372"/>
        <v>-13.234102400582387</v>
      </c>
      <c r="M1598" s="8">
        <f t="shared" si="369"/>
        <v>79.340477216935653</v>
      </c>
      <c r="N1598" s="8">
        <f t="shared" si="373"/>
        <v>25.000000000000011</v>
      </c>
      <c r="O1598" s="8">
        <f t="shared" si="374"/>
        <v>29.170034913073831</v>
      </c>
    </row>
    <row r="1599" spans="1:15" x14ac:dyDescent="0.3">
      <c r="A1599" s="5">
        <f t="shared" si="375"/>
        <v>15.909999999999705</v>
      </c>
      <c r="B1599" s="5">
        <f t="shared" si="370"/>
        <v>92.492887627390985</v>
      </c>
      <c r="C1599" s="6">
        <f t="shared" si="368"/>
        <v>3567.5828084850805</v>
      </c>
      <c r="D1599" s="6">
        <f t="shared" si="376"/>
        <v>12727647.095398294</v>
      </c>
      <c r="E1599" s="7">
        <f t="shared" si="377"/>
        <v>6248571.4285714282</v>
      </c>
      <c r="F1599" s="7">
        <f t="shared" si="378"/>
        <v>124.97142857142855</v>
      </c>
      <c r="G1599" s="7">
        <f t="shared" si="379"/>
        <v>6479075.6668268656</v>
      </c>
      <c r="H1599" s="6">
        <f t="shared" si="380"/>
        <v>2545.4028496147453</v>
      </c>
      <c r="I1599" s="7">
        <f t="shared" si="381"/>
        <v>-8.1793092273575088</v>
      </c>
      <c r="J1599" s="7">
        <f t="shared" si="382"/>
        <v>-48.915065851278911</v>
      </c>
      <c r="K1599" s="8">
        <f t="shared" si="371"/>
        <v>315.48764162664673</v>
      </c>
      <c r="L1599" s="8">
        <f t="shared" si="372"/>
        <v>-13.250480948319161</v>
      </c>
      <c r="M1599" s="8">
        <f t="shared" si="369"/>
        <v>79.24240667907182</v>
      </c>
      <c r="N1599" s="8">
        <f t="shared" si="373"/>
        <v>25.000000000000007</v>
      </c>
      <c r="O1599" s="8">
        <f t="shared" si="374"/>
        <v>29.180362984804038</v>
      </c>
    </row>
    <row r="1600" spans="1:15" x14ac:dyDescent="0.3">
      <c r="A1600" s="5">
        <f t="shared" si="375"/>
        <v>15.919999999999705</v>
      </c>
      <c r="B1600" s="5">
        <f t="shared" si="370"/>
        <v>92.411094535117414</v>
      </c>
      <c r="C1600" s="6">
        <f t="shared" si="368"/>
        <v>3564.4279320688142</v>
      </c>
      <c r="D1600" s="6">
        <f t="shared" si="376"/>
        <v>12705146.482912363</v>
      </c>
      <c r="E1600" s="7">
        <f t="shared" si="377"/>
        <v>6248571.4285714282</v>
      </c>
      <c r="F1600" s="7">
        <f t="shared" si="378"/>
        <v>124.97142857142855</v>
      </c>
      <c r="G1600" s="7">
        <f t="shared" si="379"/>
        <v>6456575.0543409353</v>
      </c>
      <c r="H1600" s="6">
        <f t="shared" si="380"/>
        <v>2540.9791526773561</v>
      </c>
      <c r="I1600" s="7">
        <f t="shared" si="381"/>
        <v>-8.1894621121858808</v>
      </c>
      <c r="J1600" s="7">
        <f t="shared" si="382"/>
        <v>-48.854423403318698</v>
      </c>
      <c r="K1600" s="8">
        <f t="shared" si="371"/>
        <v>315.87925289859822</v>
      </c>
      <c r="L1600" s="8">
        <f t="shared" si="372"/>
        <v>-13.266928621741124</v>
      </c>
      <c r="M1600" s="8">
        <f t="shared" si="369"/>
        <v>79.144165913376284</v>
      </c>
      <c r="N1600" s="8">
        <f t="shared" si="373"/>
        <v>25.000000000000004</v>
      </c>
      <c r="O1600" s="8">
        <f t="shared" si="374"/>
        <v>29.190747501294624</v>
      </c>
    </row>
    <row r="1601" spans="1:15" x14ac:dyDescent="0.3">
      <c r="A1601" s="5">
        <f t="shared" si="375"/>
        <v>15.929999999999705</v>
      </c>
      <c r="B1601" s="5">
        <f t="shared" si="370"/>
        <v>92.329199913995552</v>
      </c>
      <c r="C1601" s="6">
        <f t="shared" si="368"/>
        <v>3561.2691395398283</v>
      </c>
      <c r="D1601" s="6">
        <f t="shared" si="376"/>
        <v>12682637.88423875</v>
      </c>
      <c r="E1601" s="7">
        <f t="shared" si="377"/>
        <v>6248571.4285714282</v>
      </c>
      <c r="F1601" s="7">
        <f t="shared" si="378"/>
        <v>124.97142857142855</v>
      </c>
      <c r="G1601" s="7">
        <f t="shared" si="379"/>
        <v>6434066.4556673216</v>
      </c>
      <c r="H1601" s="6">
        <f t="shared" si="380"/>
        <v>2536.5461666737551</v>
      </c>
      <c r="I1601" s="7">
        <f t="shared" si="381"/>
        <v>-8.1996579904692659</v>
      </c>
      <c r="J1601" s="7">
        <f t="shared" si="382"/>
        <v>-48.79367528977491</v>
      </c>
      <c r="K1601" s="8">
        <f t="shared" si="371"/>
        <v>316.2725224895288</v>
      </c>
      <c r="L1601" s="8">
        <f t="shared" si="372"/>
        <v>-13.283445944560208</v>
      </c>
      <c r="M1601" s="8">
        <f t="shared" si="369"/>
        <v>79.045753969435339</v>
      </c>
      <c r="N1601" s="8">
        <f t="shared" si="373"/>
        <v>25</v>
      </c>
      <c r="O1601" s="8">
        <f t="shared" si="374"/>
        <v>29.20118895623936</v>
      </c>
    </row>
    <row r="1602" spans="1:15" x14ac:dyDescent="0.3">
      <c r="A1602" s="5">
        <f t="shared" si="375"/>
        <v>15.939999999999705</v>
      </c>
      <c r="B1602" s="5">
        <f t="shared" si="370"/>
        <v>92.247203334090855</v>
      </c>
      <c r="C1602" s="6">
        <f t="shared" si="368"/>
        <v>3558.1064143149329</v>
      </c>
      <c r="D1602" s="6">
        <f t="shared" si="376"/>
        <v>12660121.255589068</v>
      </c>
      <c r="E1602" s="7">
        <f t="shared" si="377"/>
        <v>6248571.4285714282</v>
      </c>
      <c r="F1602" s="7">
        <f t="shared" si="378"/>
        <v>124.97142857142855</v>
      </c>
      <c r="G1602" s="7">
        <f t="shared" si="379"/>
        <v>6411549.8270176398</v>
      </c>
      <c r="H1602" s="6">
        <f t="shared" si="380"/>
        <v>2532.1038341698468</v>
      </c>
      <c r="I1602" s="7">
        <f t="shared" si="381"/>
        <v>-8.2098971890896255</v>
      </c>
      <c r="J1602" s="7">
        <f t="shared" si="382"/>
        <v>-48.732820918373882</v>
      </c>
      <c r="K1602" s="8">
        <f t="shared" si="371"/>
        <v>316.6674630077427</v>
      </c>
      <c r="L1602" s="8">
        <f t="shared" si="372"/>
        <v>-13.300033446325191</v>
      </c>
      <c r="M1602" s="8">
        <f t="shared" si="369"/>
        <v>78.947169887765668</v>
      </c>
      <c r="N1602" s="8">
        <f t="shared" si="373"/>
        <v>25.000000000000014</v>
      </c>
      <c r="O1602" s="8">
        <f t="shared" si="374"/>
        <v>29.211687849365934</v>
      </c>
    </row>
    <row r="1603" spans="1:15" x14ac:dyDescent="0.3">
      <c r="A1603" s="5">
        <f t="shared" si="375"/>
        <v>15.949999999999704</v>
      </c>
      <c r="B1603" s="5">
        <f t="shared" si="370"/>
        <v>92.165104362199955</v>
      </c>
      <c r="C1603" s="6">
        <f t="shared" si="368"/>
        <v>3554.9397396848553</v>
      </c>
      <c r="D1603" s="6">
        <f t="shared" si="376"/>
        <v>12637596.552790627</v>
      </c>
      <c r="E1603" s="7">
        <f t="shared" si="377"/>
        <v>6248571.4285714282</v>
      </c>
      <c r="F1603" s="7">
        <f t="shared" si="378"/>
        <v>124.97142857142855</v>
      </c>
      <c r="G1603" s="7">
        <f t="shared" si="379"/>
        <v>6389025.1242191987</v>
      </c>
      <c r="H1603" s="6">
        <f t="shared" si="380"/>
        <v>2527.6520971484979</v>
      </c>
      <c r="I1603" s="7">
        <f t="shared" si="381"/>
        <v>-8.2201800385853954</v>
      </c>
      <c r="J1603" s="7">
        <f t="shared" si="382"/>
        <v>-48.671859691167676</v>
      </c>
      <c r="K1603" s="8">
        <f t="shared" si="371"/>
        <v>317.06408720257951</v>
      </c>
      <c r="L1603" s="8">
        <f t="shared" si="372"/>
        <v>-13.316691662508338</v>
      </c>
      <c r="M1603" s="8">
        <f t="shared" si="369"/>
        <v>78.848412699691622</v>
      </c>
      <c r="N1603" s="8">
        <f t="shared" si="373"/>
        <v>25.000000000000004</v>
      </c>
      <c r="O1603" s="8">
        <f t="shared" si="374"/>
        <v>29.222244686531408</v>
      </c>
    </row>
    <row r="1604" spans="1:15" x14ac:dyDescent="0.3">
      <c r="A1604" s="5">
        <f t="shared" si="375"/>
        <v>15.959999999999704</v>
      </c>
      <c r="B1604" s="5">
        <f t="shared" si="370"/>
        <v>92.082902561814095</v>
      </c>
      <c r="C1604" s="6">
        <f t="shared" si="368"/>
        <v>3551.7690988128293</v>
      </c>
      <c r="D1604" s="6">
        <f t="shared" si="376"/>
        <v>12615063.731281698</v>
      </c>
      <c r="E1604" s="7">
        <f t="shared" si="377"/>
        <v>6248571.4285714282</v>
      </c>
      <c r="F1604" s="7">
        <f t="shared" si="378"/>
        <v>124.97142857142855</v>
      </c>
      <c r="G1604" s="7">
        <f t="shared" si="379"/>
        <v>6366492.3027102696</v>
      </c>
      <c r="H1604" s="6">
        <f t="shared" si="380"/>
        <v>2523.1908970013087</v>
      </c>
      <c r="I1604" s="7">
        <f t="shared" si="381"/>
        <v>-8.2305068732060409</v>
      </c>
      <c r="J1604" s="7">
        <f t="shared" si="382"/>
        <v>-48.610791004456992</v>
      </c>
      <c r="K1604" s="8">
        <f t="shared" si="371"/>
        <v>317.4624079665187</v>
      </c>
      <c r="L1604" s="8">
        <f t="shared" si="372"/>
        <v>-13.333421134593785</v>
      </c>
      <c r="M1604" s="8">
        <f t="shared" si="369"/>
        <v>78.749481427220303</v>
      </c>
      <c r="N1604" s="8">
        <f t="shared" si="373"/>
        <v>25</v>
      </c>
      <c r="O1604" s="8">
        <f t="shared" si="374"/>
        <v>29.232859979819814</v>
      </c>
    </row>
    <row r="1605" spans="1:15" x14ac:dyDescent="0.3">
      <c r="A1605" s="5">
        <f t="shared" si="375"/>
        <v>15.969999999999704</v>
      </c>
      <c r="B1605" s="5">
        <f t="shared" si="370"/>
        <v>92.00059749308204</v>
      </c>
      <c r="C1605" s="6">
        <f t="shared" si="368"/>
        <v>3548.5944747331641</v>
      </c>
      <c r="D1605" s="6">
        <f t="shared" si="376"/>
        <v>12592522.746106742</v>
      </c>
      <c r="E1605" s="7">
        <f t="shared" si="377"/>
        <v>6248571.4285714282</v>
      </c>
      <c r="F1605" s="7">
        <f t="shared" si="378"/>
        <v>124.97142857142855</v>
      </c>
      <c r="G1605" s="7">
        <f t="shared" si="379"/>
        <v>6343951.3175353138</v>
      </c>
      <c r="H1605" s="6">
        <f t="shared" si="380"/>
        <v>2518.7201745202492</v>
      </c>
      <c r="I1605" s="7">
        <f t="shared" si="381"/>
        <v>-8.2408780309675418</v>
      </c>
      <c r="J1605" s="7">
        <f t="shared" si="382"/>
        <v>-48.549614248712736</v>
      </c>
      <c r="K1605" s="8">
        <f t="shared" si="371"/>
        <v>317.86243833731947</v>
      </c>
      <c r="L1605" s="8">
        <f t="shared" si="372"/>
        <v>-13.350222410167417</v>
      </c>
      <c r="M1605" s="8">
        <f t="shared" si="369"/>
        <v>78.650375082914621</v>
      </c>
      <c r="N1605" s="8">
        <f t="shared" si="373"/>
        <v>24.999999999999996</v>
      </c>
      <c r="O1605" s="8">
        <f t="shared" si="374"/>
        <v>29.243534247641339</v>
      </c>
    </row>
    <row r="1606" spans="1:15" x14ac:dyDescent="0.3">
      <c r="A1606" s="5">
        <f t="shared" si="375"/>
        <v>15.979999999999704</v>
      </c>
      <c r="B1606" s="5">
        <f t="shared" si="370"/>
        <v>91.918188712772363</v>
      </c>
      <c r="C1606" s="6">
        <f t="shared" si="368"/>
        <v>3545.4158503497911</v>
      </c>
      <c r="D1606" s="6">
        <f t="shared" si="376"/>
        <v>12569973.551911533</v>
      </c>
      <c r="E1606" s="7">
        <f t="shared" si="377"/>
        <v>6248571.4285714282</v>
      </c>
      <c r="F1606" s="7">
        <f t="shared" si="378"/>
        <v>124.97142857142855</v>
      </c>
      <c r="G1606" s="7">
        <f t="shared" si="379"/>
        <v>6321402.1233401047</v>
      </c>
      <c r="H1606" s="6">
        <f t="shared" si="380"/>
        <v>2514.2398698891293</v>
      </c>
      <c r="I1606" s="7">
        <f t="shared" si="381"/>
        <v>-8.2512938537090008</v>
      </c>
      <c r="J1606" s="7">
        <f t="shared" si="382"/>
        <v>-48.488328808496171</v>
      </c>
      <c r="K1606" s="8">
        <f t="shared" si="371"/>
        <v>318.26419150020428</v>
      </c>
      <c r="L1606" s="8">
        <f t="shared" si="372"/>
        <v>-13.367096043008578</v>
      </c>
      <c r="M1606" s="8">
        <f t="shared" si="369"/>
        <v>78.55109266976379</v>
      </c>
      <c r="N1606" s="8">
        <f t="shared" si="373"/>
        <v>24.999999999999996</v>
      </c>
      <c r="O1606" s="8">
        <f t="shared" si="374"/>
        <v>29.254268014833698</v>
      </c>
    </row>
    <row r="1607" spans="1:15" x14ac:dyDescent="0.3">
      <c r="A1607" s="5">
        <f t="shared" si="375"/>
        <v>15.989999999999704</v>
      </c>
      <c r="B1607" s="5">
        <f t="shared" si="370"/>
        <v>91.83567577423527</v>
      </c>
      <c r="C1607" s="6">
        <f t="shared" si="368"/>
        <v>3542.2332084347886</v>
      </c>
      <c r="D1607" s="6">
        <f t="shared" si="376"/>
        <v>12547416.102938216</v>
      </c>
      <c r="E1607" s="7">
        <f t="shared" si="377"/>
        <v>6248571.4285714282</v>
      </c>
      <c r="F1607" s="7">
        <f t="shared" si="378"/>
        <v>124.97142857142855</v>
      </c>
      <c r="G1607" s="7">
        <f t="shared" si="379"/>
        <v>6298844.674366788</v>
      </c>
      <c r="H1607" s="6">
        <f t="shared" si="380"/>
        <v>2509.7499226749242</v>
      </c>
      <c r="I1607" s="7">
        <f t="shared" si="381"/>
        <v>-8.2617546871502654</v>
      </c>
      <c r="J1607" s="7">
        <f t="shared" si="382"/>
        <v>-48.42693406237769</v>
      </c>
      <c r="K1607" s="8">
        <f t="shared" si="371"/>
        <v>318.66768079008165</v>
      </c>
      <c r="L1607" s="8">
        <f t="shared" si="372"/>
        <v>-13.384042593183429</v>
      </c>
      <c r="M1607" s="8">
        <f t="shared" si="369"/>
        <v>78.451633181051847</v>
      </c>
      <c r="N1607" s="8">
        <f t="shared" si="373"/>
        <v>25.000000000000007</v>
      </c>
      <c r="O1607" s="8">
        <f t="shared" si="374"/>
        <v>29.265061812765438</v>
      </c>
    </row>
    <row r="1608" spans="1:15" x14ac:dyDescent="0.3">
      <c r="A1608" s="5">
        <f t="shared" si="375"/>
        <v>15.999999999999703</v>
      </c>
      <c r="B1608" s="5">
        <f t="shared" si="370"/>
        <v>91.753058227363766</v>
      </c>
      <c r="C1608" s="6">
        <f t="shared" ref="C1608:C1671" si="383">$B$1*B1608</f>
        <v>3539.0465316268878</v>
      </c>
      <c r="D1608" s="6">
        <f t="shared" si="376"/>
        <v>12524850.353020305</v>
      </c>
      <c r="E1608" s="7">
        <f t="shared" si="377"/>
        <v>6248571.4285714282</v>
      </c>
      <c r="F1608" s="7">
        <f t="shared" si="378"/>
        <v>124.97142857142855</v>
      </c>
      <c r="G1608" s="7">
        <f t="shared" si="379"/>
        <v>6276278.9244488766</v>
      </c>
      <c r="H1608" s="6">
        <f t="shared" si="380"/>
        <v>2505.2502718189407</v>
      </c>
      <c r="I1608" s="7">
        <f t="shared" si="381"/>
        <v>-8.2722608809506522</v>
      </c>
      <c r="J1608" s="7">
        <f t="shared" si="382"/>
        <v>-48.365429382854146</v>
      </c>
      <c r="K1608" s="8">
        <f t="shared" si="371"/>
        <v>319.07291969381083</v>
      </c>
      <c r="L1608" s="8">
        <f t="shared" si="372"/>
        <v>-13.401062627140053</v>
      </c>
      <c r="M1608" s="8">
        <f t="shared" ref="M1608:M1671" si="384">B1608+L1608</f>
        <v>78.351995600223717</v>
      </c>
      <c r="N1608" s="8">
        <f t="shared" si="373"/>
        <v>25</v>
      </c>
      <c r="O1608" s="8">
        <f t="shared" si="374"/>
        <v>29.27591617944119</v>
      </c>
    </row>
    <row r="1609" spans="1:15" x14ac:dyDescent="0.3">
      <c r="A1609" s="5">
        <f t="shared" si="375"/>
        <v>16.009999999999703</v>
      </c>
      <c r="B1609" s="5">
        <f t="shared" ref="B1609:B1672" si="385">I1608*$B$5+B1608</f>
        <v>91.670335618554262</v>
      </c>
      <c r="C1609" s="6">
        <f t="shared" si="383"/>
        <v>3535.85580242995</v>
      </c>
      <c r="D1609" s="6">
        <f t="shared" si="376"/>
        <v>12502276.255577546</v>
      </c>
      <c r="E1609" s="7">
        <f t="shared" si="377"/>
        <v>6248571.4285714282</v>
      </c>
      <c r="F1609" s="7">
        <f t="shared" si="378"/>
        <v>124.97142857142855</v>
      </c>
      <c r="G1609" s="7">
        <f t="shared" si="379"/>
        <v>6253704.8270061174</v>
      </c>
      <c r="H1609" s="6">
        <f t="shared" si="380"/>
        <v>2500.740855627811</v>
      </c>
      <c r="I1609" s="7">
        <f t="shared" si="381"/>
        <v>-8.2828127887688314</v>
      </c>
      <c r="J1609" s="7">
        <f t="shared" si="382"/>
        <v>-48.30381413626467</v>
      </c>
      <c r="K1609" s="8">
        <f t="shared" ref="K1609:K1672" si="386">-$B$1*I1609</f>
        <v>319.47992185251206</v>
      </c>
      <c r="L1609" s="8">
        <f t="shared" ref="L1609:L1672" si="387">-$B$2*K1609</f>
        <v>-13.418156717805505</v>
      </c>
      <c r="M1609" s="8">
        <f t="shared" si="384"/>
        <v>78.25217890074876</v>
      </c>
      <c r="N1609" s="8">
        <f t="shared" ref="N1609:N1672" si="388">K1609*M1609/1000</f>
        <v>25.000000000000007</v>
      </c>
      <c r="O1609" s="8">
        <f t="shared" ref="O1609:O1672" si="389">B1609*K1609/1000</f>
        <v>29.28683165960927</v>
      </c>
    </row>
    <row r="1610" spans="1:15" x14ac:dyDescent="0.3">
      <c r="A1610" s="5">
        <f t="shared" si="375"/>
        <v>16.019999999999705</v>
      </c>
      <c r="B1610" s="5">
        <f t="shared" si="385"/>
        <v>91.587507490666567</v>
      </c>
      <c r="C1610" s="6">
        <f t="shared" si="383"/>
        <v>3532.6610032114245</v>
      </c>
      <c r="D1610" s="6">
        <f t="shared" si="376"/>
        <v>12479693.763610749</v>
      </c>
      <c r="E1610" s="7">
        <f t="shared" si="377"/>
        <v>6248571.4285714282</v>
      </c>
      <c r="F1610" s="7">
        <f t="shared" si="378"/>
        <v>124.97142857142855</v>
      </c>
      <c r="G1610" s="7">
        <f t="shared" si="379"/>
        <v>6231122.3350393204</v>
      </c>
      <c r="H1610" s="6">
        <f t="shared" si="380"/>
        <v>2496.221611764332</v>
      </c>
      <c r="I1610" s="7">
        <f t="shared" si="381"/>
        <v>-8.2934107683237865</v>
      </c>
      <c r="J1610" s="7">
        <f t="shared" si="382"/>
        <v>-48.24208768270497</v>
      </c>
      <c r="K1610" s="8">
        <f t="shared" si="386"/>
        <v>319.88870106391744</v>
      </c>
      <c r="L1610" s="8">
        <f t="shared" si="387"/>
        <v>-13.435325444684532</v>
      </c>
      <c r="M1610" s="8">
        <f t="shared" si="384"/>
        <v>78.15218204598203</v>
      </c>
      <c r="N1610" s="8">
        <f t="shared" si="388"/>
        <v>25</v>
      </c>
      <c r="O1610" s="8">
        <f t="shared" si="389"/>
        <v>29.297808804871135</v>
      </c>
    </row>
    <row r="1611" spans="1:15" x14ac:dyDescent="0.3">
      <c r="A1611" s="5">
        <f t="shared" si="375"/>
        <v>16.029999999999706</v>
      </c>
      <c r="B1611" s="5">
        <f t="shared" si="385"/>
        <v>91.504573382983324</v>
      </c>
      <c r="C1611" s="6">
        <f t="shared" si="383"/>
        <v>3529.4621162007852</v>
      </c>
      <c r="D1611" s="6">
        <f t="shared" si="376"/>
        <v>12457102.829696525</v>
      </c>
      <c r="E1611" s="7">
        <f t="shared" si="377"/>
        <v>6248571.4285714282</v>
      </c>
      <c r="F1611" s="7">
        <f t="shared" si="378"/>
        <v>124.97142857142855</v>
      </c>
      <c r="G1611" s="7">
        <f t="shared" si="379"/>
        <v>6208531.4011250967</v>
      </c>
      <c r="H1611" s="6">
        <f t="shared" si="380"/>
        <v>2491.6924772381317</v>
      </c>
      <c r="I1611" s="7">
        <f t="shared" si="381"/>
        <v>-8.3040551814569916</v>
      </c>
      <c r="J1611" s="7">
        <f t="shared" si="382"/>
        <v>-48.180249375940129</v>
      </c>
      <c r="K1611" s="8">
        <f t="shared" si="386"/>
        <v>320.29927128476965</v>
      </c>
      <c r="L1611" s="8">
        <f t="shared" si="387"/>
        <v>-13.452569393960324</v>
      </c>
      <c r="M1611" s="8">
        <f t="shared" si="384"/>
        <v>78.052003989023007</v>
      </c>
      <c r="N1611" s="8">
        <f t="shared" si="388"/>
        <v>25.000000000000004</v>
      </c>
      <c r="O1611" s="8">
        <f t="shared" si="389"/>
        <v>29.30884817379329</v>
      </c>
    </row>
    <row r="1612" spans="1:15" x14ac:dyDescent="0.3">
      <c r="A1612" s="5">
        <f t="shared" si="375"/>
        <v>16.039999999999708</v>
      </c>
      <c r="B1612" s="5">
        <f t="shared" si="385"/>
        <v>91.421532831168747</v>
      </c>
      <c r="C1612" s="6">
        <f t="shared" si="383"/>
        <v>3526.2591234879374</v>
      </c>
      <c r="D1612" s="6">
        <f t="shared" si="376"/>
        <v>12434503.405981917</v>
      </c>
      <c r="E1612" s="7">
        <f t="shared" si="377"/>
        <v>6248571.4285714282</v>
      </c>
      <c r="F1612" s="7">
        <f t="shared" si="378"/>
        <v>124.97142857142855</v>
      </c>
      <c r="G1612" s="7">
        <f t="shared" si="379"/>
        <v>6185931.9774104888</v>
      </c>
      <c r="H1612" s="6">
        <f t="shared" si="380"/>
        <v>2487.1533883961579</v>
      </c>
      <c r="I1612" s="7">
        <f t="shared" si="381"/>
        <v>-8.3147463941957671</v>
      </c>
      <c r="J1612" s="7">
        <f t="shared" si="382"/>
        <v>-48.118298563315811</v>
      </c>
      <c r="K1612" s="8">
        <f t="shared" si="386"/>
        <v>320.71164663326527</v>
      </c>
      <c r="L1612" s="8">
        <f t="shared" si="387"/>
        <v>-13.469889158597141</v>
      </c>
      <c r="M1612" s="8">
        <f t="shared" si="384"/>
        <v>77.951643672571606</v>
      </c>
      <c r="N1612" s="8">
        <f t="shared" si="388"/>
        <v>24.999999999999993</v>
      </c>
      <c r="O1612" s="8">
        <f t="shared" si="389"/>
        <v>29.31995033202125</v>
      </c>
    </row>
    <row r="1613" spans="1:15" x14ac:dyDescent="0.3">
      <c r="A1613" s="5">
        <f t="shared" si="375"/>
        <v>16.049999999999709</v>
      </c>
      <c r="B1613" s="5">
        <f t="shared" si="385"/>
        <v>91.338385367226792</v>
      </c>
      <c r="C1613" s="6">
        <f t="shared" si="383"/>
        <v>3523.0520070216048</v>
      </c>
      <c r="D1613" s="6">
        <f t="shared" si="376"/>
        <v>12411895.444178957</v>
      </c>
      <c r="E1613" s="7">
        <f t="shared" si="377"/>
        <v>6248571.4285714282</v>
      </c>
      <c r="F1613" s="7">
        <f t="shared" si="378"/>
        <v>124.97142857142855</v>
      </c>
      <c r="G1613" s="7">
        <f t="shared" si="379"/>
        <v>6163324.0156075293</v>
      </c>
      <c r="H1613" s="6">
        <f t="shared" si="380"/>
        <v>2482.6042809129949</v>
      </c>
      <c r="I1613" s="7">
        <f t="shared" si="381"/>
        <v>-8.3254847768178681</v>
      </c>
      <c r="J1613" s="7">
        <f t="shared" si="382"/>
        <v>-48.056234585667823</v>
      </c>
      <c r="K1613" s="8">
        <f t="shared" si="386"/>
        <v>321.12584139154632</v>
      </c>
      <c r="L1613" s="8">
        <f t="shared" si="387"/>
        <v>-13.487285338444943</v>
      </c>
      <c r="M1613" s="8">
        <f t="shared" si="384"/>
        <v>77.851100028781843</v>
      </c>
      <c r="N1613" s="8">
        <f t="shared" si="388"/>
        <v>25.000000000000004</v>
      </c>
      <c r="O1613" s="8">
        <f t="shared" si="389"/>
        <v>29.331115852396003</v>
      </c>
    </row>
    <row r="1614" spans="1:15" x14ac:dyDescent="0.3">
      <c r="A1614" s="5">
        <f t="shared" si="375"/>
        <v>16.059999999999711</v>
      </c>
      <c r="B1614" s="5">
        <f t="shared" si="385"/>
        <v>91.255130519458618</v>
      </c>
      <c r="C1614" s="6">
        <f t="shared" si="383"/>
        <v>3519.8407486076894</v>
      </c>
      <c r="D1614" s="6">
        <f t="shared" si="376"/>
        <v>12389278.89555914</v>
      </c>
      <c r="E1614" s="7">
        <f t="shared" si="377"/>
        <v>6248571.4285714282</v>
      </c>
      <c r="F1614" s="7">
        <f t="shared" si="378"/>
        <v>124.97142857142855</v>
      </c>
      <c r="G1614" s="7">
        <f t="shared" si="379"/>
        <v>6140707.4669877114</v>
      </c>
      <c r="H1614" s="6">
        <f t="shared" si="380"/>
        <v>2478.0450897809974</v>
      </c>
      <c r="I1614" s="7">
        <f t="shared" si="381"/>
        <v>-8.3362707039172896</v>
      </c>
      <c r="J1614" s="7">
        <f t="shared" si="382"/>
        <v>-47.994056777230014</v>
      </c>
      <c r="K1614" s="8">
        <f t="shared" si="386"/>
        <v>321.54187000823828</v>
      </c>
      <c r="L1614" s="8">
        <f t="shared" si="387"/>
        <v>-13.504758540346007</v>
      </c>
      <c r="M1614" s="8">
        <f t="shared" si="384"/>
        <v>77.750371979112614</v>
      </c>
      <c r="N1614" s="8">
        <f t="shared" si="388"/>
        <v>25</v>
      </c>
      <c r="O1614" s="8">
        <f t="shared" si="389"/>
        <v>29.342345315072581</v>
      </c>
    </row>
    <row r="1615" spans="1:15" x14ac:dyDescent="0.3">
      <c r="A1615" s="5">
        <f t="shared" si="375"/>
        <v>16.069999999999713</v>
      </c>
      <c r="B1615" s="5">
        <f t="shared" si="385"/>
        <v>91.171767812419446</v>
      </c>
      <c r="C1615" s="6">
        <f t="shared" si="383"/>
        <v>3516.625329907607</v>
      </c>
      <c r="D1615" s="6">
        <f t="shared" si="376"/>
        <v>12366653.710947786</v>
      </c>
      <c r="E1615" s="7">
        <f t="shared" si="377"/>
        <v>6248571.4285714282</v>
      </c>
      <c r="F1615" s="7">
        <f t="shared" si="378"/>
        <v>124.97142857142855</v>
      </c>
      <c r="G1615" s="7">
        <f t="shared" si="379"/>
        <v>6118082.2823763574</v>
      </c>
      <c r="H1615" s="6">
        <f t="shared" si="380"/>
        <v>2473.4757493002348</v>
      </c>
      <c r="I1615" s="7">
        <f t="shared" si="381"/>
        <v>-8.3471045544714304</v>
      </c>
      <c r="J1615" s="7">
        <f t="shared" si="382"/>
        <v>-47.931764465540581</v>
      </c>
      <c r="K1615" s="8">
        <f t="shared" si="386"/>
        <v>321.95974710104088</v>
      </c>
      <c r="L1615" s="8">
        <f t="shared" si="387"/>
        <v>-13.522309378243715</v>
      </c>
      <c r="M1615" s="8">
        <f t="shared" si="384"/>
        <v>77.649458434175727</v>
      </c>
      <c r="N1615" s="8">
        <f t="shared" si="388"/>
        <v>25.000000000000004</v>
      </c>
      <c r="O1615" s="8">
        <f t="shared" si="389"/>
        <v>29.353639307641384</v>
      </c>
    </row>
    <row r="1616" spans="1:15" x14ac:dyDescent="0.3">
      <c r="A1616" s="5">
        <f t="shared" si="375"/>
        <v>16.079999999999714</v>
      </c>
      <c r="B1616" s="5">
        <f t="shared" si="385"/>
        <v>91.088296766874734</v>
      </c>
      <c r="C1616" s="6">
        <f t="shared" si="383"/>
        <v>3513.4057324365967</v>
      </c>
      <c r="D1616" s="6">
        <f t="shared" si="376"/>
        <v>12344019.840718338</v>
      </c>
      <c r="E1616" s="7">
        <f t="shared" si="377"/>
        <v>6248571.4285714282</v>
      </c>
      <c r="F1616" s="7">
        <f t="shared" si="378"/>
        <v>124.97142857142855</v>
      </c>
      <c r="G1616" s="7">
        <f t="shared" si="379"/>
        <v>6095448.4121469101</v>
      </c>
      <c r="H1616" s="6">
        <f t="shared" si="380"/>
        <v>2468.8961930682526</v>
      </c>
      <c r="I1616" s="7">
        <f t="shared" si="381"/>
        <v>-8.3579867119094775</v>
      </c>
      <c r="J1616" s="7">
        <f t="shared" si="382"/>
        <v>-47.869356971346541</v>
      </c>
      <c r="K1616" s="8">
        <f t="shared" si="386"/>
        <v>322.37948745936552</v>
      </c>
      <c r="L1616" s="8">
        <f t="shared" si="387"/>
        <v>-13.539938473293351</v>
      </c>
      <c r="M1616" s="8">
        <f t="shared" si="384"/>
        <v>77.548358293581387</v>
      </c>
      <c r="N1616" s="8">
        <f t="shared" si="388"/>
        <v>25.000000000000004</v>
      </c>
      <c r="O1616" s="8">
        <f t="shared" si="389"/>
        <v>29.36499842525166</v>
      </c>
    </row>
    <row r="1617" spans="1:15" x14ac:dyDescent="0.3">
      <c r="A1617" s="5">
        <f t="shared" si="375"/>
        <v>16.089999999999716</v>
      </c>
      <c r="B1617" s="5">
        <f t="shared" si="385"/>
        <v>91.004716899755635</v>
      </c>
      <c r="C1617" s="6">
        <f t="shared" si="383"/>
        <v>3510.181937562003</v>
      </c>
      <c r="D1617" s="6">
        <f t="shared" si="376"/>
        <v>12321377.234786537</v>
      </c>
      <c r="E1617" s="7">
        <f t="shared" si="377"/>
        <v>6248571.4285714282</v>
      </c>
      <c r="F1617" s="7">
        <f t="shared" si="378"/>
        <v>124.97142857142855</v>
      </c>
      <c r="G1617" s="7">
        <f t="shared" si="379"/>
        <v>6072805.8062151084</v>
      </c>
      <c r="H1617" s="6">
        <f t="shared" si="380"/>
        <v>2464.3063539696336</v>
      </c>
      <c r="I1617" s="7">
        <f t="shared" si="381"/>
        <v>-8.3689175641821976</v>
      </c>
      <c r="J1617" s="7">
        <f t="shared" si="382"/>
        <v>-47.806833608506473</v>
      </c>
      <c r="K1617" s="8">
        <f t="shared" si="386"/>
        <v>322.80110604702759</v>
      </c>
      <c r="L1617" s="8">
        <f t="shared" si="387"/>
        <v>-13.557646453975158</v>
      </c>
      <c r="M1617" s="8">
        <f t="shared" si="384"/>
        <v>77.447070445780483</v>
      </c>
      <c r="N1617" s="8">
        <f t="shared" si="388"/>
        <v>25</v>
      </c>
      <c r="O1617" s="8">
        <f t="shared" si="389"/>
        <v>29.376423270737742</v>
      </c>
    </row>
    <row r="1618" spans="1:15" x14ac:dyDescent="0.3">
      <c r="A1618" s="5">
        <f t="shared" si="375"/>
        <v>16.099999999999717</v>
      </c>
      <c r="B1618" s="5">
        <f t="shared" si="385"/>
        <v>90.921027724113813</v>
      </c>
      <c r="C1618" s="6">
        <f t="shared" si="383"/>
        <v>3506.9539265015328</v>
      </c>
      <c r="D1618" s="6">
        <f t="shared" si="376"/>
        <v>12298725.842604518</v>
      </c>
      <c r="E1618" s="7">
        <f t="shared" si="377"/>
        <v>6248571.4285714282</v>
      </c>
      <c r="F1618" s="7">
        <f t="shared" si="378"/>
        <v>124.97142857142855</v>
      </c>
      <c r="G1618" s="7">
        <f t="shared" si="379"/>
        <v>6050154.4140330898</v>
      </c>
      <c r="H1618" s="6">
        <f t="shared" si="380"/>
        <v>2459.706164165364</v>
      </c>
      <c r="I1618" s="7">
        <f t="shared" si="381"/>
        <v>-8.3798975038330852</v>
      </c>
      <c r="J1618" s="7">
        <f t="shared" si="382"/>
        <v>-47.744193683891503</v>
      </c>
      <c r="K1618" s="8">
        <f t="shared" si="386"/>
        <v>323.22461800499042</v>
      </c>
      <c r="L1618" s="8">
        <f t="shared" si="387"/>
        <v>-13.575433956209595</v>
      </c>
      <c r="M1618" s="8">
        <f t="shared" si="384"/>
        <v>77.345593767904219</v>
      </c>
      <c r="N1618" s="8">
        <f t="shared" si="388"/>
        <v>25.000000000000007</v>
      </c>
      <c r="O1618" s="8">
        <f t="shared" si="389"/>
        <v>29.387914454747833</v>
      </c>
    </row>
    <row r="1619" spans="1:15" x14ac:dyDescent="0.3">
      <c r="A1619" s="5">
        <f t="shared" si="375"/>
        <v>16.109999999999719</v>
      </c>
      <c r="B1619" s="5">
        <f t="shared" si="385"/>
        <v>90.837228749075479</v>
      </c>
      <c r="C1619" s="6">
        <f t="shared" si="383"/>
        <v>3503.7216803214824</v>
      </c>
      <c r="D1619" s="6">
        <f t="shared" si="376"/>
        <v>12276065.613154791</v>
      </c>
      <c r="E1619" s="7">
        <f t="shared" si="377"/>
        <v>6248571.4285714282</v>
      </c>
      <c r="F1619" s="7">
        <f t="shared" si="378"/>
        <v>124.97142857142855</v>
      </c>
      <c r="G1619" s="7">
        <f t="shared" si="379"/>
        <v>6027494.1845833631</v>
      </c>
      <c r="H1619" s="6">
        <f t="shared" si="380"/>
        <v>2455.0955550819936</v>
      </c>
      <c r="I1619" s="7">
        <f t="shared" si="381"/>
        <v>-8.3909269280709005</v>
      </c>
      <c r="J1619" s="7">
        <f t="shared" si="382"/>
        <v>-47.681436497284338</v>
      </c>
      <c r="K1619" s="8">
        <f t="shared" si="386"/>
        <v>323.65003865416327</v>
      </c>
      <c r="L1619" s="8">
        <f t="shared" si="387"/>
        <v>-13.593301623474856</v>
      </c>
      <c r="M1619" s="8">
        <f t="shared" si="384"/>
        <v>77.243927125600621</v>
      </c>
      <c r="N1619" s="8">
        <f t="shared" si="388"/>
        <v>25.000000000000011</v>
      </c>
      <c r="O1619" s="8">
        <f t="shared" si="389"/>
        <v>29.399472595875348</v>
      </c>
    </row>
    <row r="1620" spans="1:15" x14ac:dyDescent="0.3">
      <c r="A1620" s="5">
        <f t="shared" si="375"/>
        <v>16.11999999999972</v>
      </c>
      <c r="B1620" s="5">
        <f t="shared" si="385"/>
        <v>90.753319479794769</v>
      </c>
      <c r="C1620" s="6">
        <f t="shared" si="383"/>
        <v>3500.4851799349408</v>
      </c>
      <c r="D1620" s="6">
        <f t="shared" si="376"/>
        <v>12253396.494944155</v>
      </c>
      <c r="E1620" s="7">
        <f t="shared" si="377"/>
        <v>6248571.4285714282</v>
      </c>
      <c r="F1620" s="7">
        <f t="shared" si="378"/>
        <v>124.97142857142855</v>
      </c>
      <c r="G1620" s="7">
        <f t="shared" si="379"/>
        <v>6004825.066372727</v>
      </c>
      <c r="H1620" s="6">
        <f t="shared" si="380"/>
        <v>2450.4744574005922</v>
      </c>
      <c r="I1620" s="7">
        <f t="shared" si="381"/>
        <v>-8.4020062388436685</v>
      </c>
      <c r="J1620" s="7">
        <f t="shared" si="382"/>
        <v>-47.61856134127656</v>
      </c>
      <c r="K1620" s="8">
        <f t="shared" si="386"/>
        <v>324.07738349825576</v>
      </c>
      <c r="L1620" s="8">
        <f t="shared" si="387"/>
        <v>-13.61125010692674</v>
      </c>
      <c r="M1620" s="8">
        <f t="shared" si="384"/>
        <v>77.142069372868036</v>
      </c>
      <c r="N1620" s="8">
        <f t="shared" si="388"/>
        <v>25.000000000000004</v>
      </c>
      <c r="O1620" s="8">
        <f t="shared" si="389"/>
        <v>29.411098320793176</v>
      </c>
    </row>
    <row r="1621" spans="1:15" x14ac:dyDescent="0.3">
      <c r="A1621" s="5">
        <f t="shared" si="375"/>
        <v>16.129999999999722</v>
      </c>
      <c r="B1621" s="5">
        <f t="shared" si="385"/>
        <v>90.669299417406336</v>
      </c>
      <c r="C1621" s="6">
        <f t="shared" si="383"/>
        <v>3497.2444060999583</v>
      </c>
      <c r="D1621" s="6">
        <f t="shared" si="376"/>
        <v>12230718.435997451</v>
      </c>
      <c r="E1621" s="7">
        <f t="shared" si="377"/>
        <v>6248571.4285714282</v>
      </c>
      <c r="F1621" s="7">
        <f t="shared" si="378"/>
        <v>124.97142857142855</v>
      </c>
      <c r="G1621" s="7">
        <f t="shared" si="379"/>
        <v>5982147.0074260226</v>
      </c>
      <c r="H1621" s="6">
        <f t="shared" si="380"/>
        <v>2445.8428010454845</v>
      </c>
      <c r="I1621" s="7">
        <f t="shared" si="381"/>
        <v>-8.4131358429141727</v>
      </c>
      <c r="J1621" s="7">
        <f t="shared" si="382"/>
        <v>-47.555567501163821</v>
      </c>
      <c r="K1621" s="8">
        <f t="shared" si="386"/>
        <v>324.5066682266895</v>
      </c>
      <c r="L1621" s="8">
        <f t="shared" si="387"/>
        <v>-13.629280065520957</v>
      </c>
      <c r="M1621" s="8">
        <f t="shared" si="384"/>
        <v>77.040019351885377</v>
      </c>
      <c r="N1621" s="8">
        <f t="shared" si="388"/>
        <v>25.000000000000007</v>
      </c>
      <c r="O1621" s="8">
        <f t="shared" si="389"/>
        <v>29.422792264390651</v>
      </c>
    </row>
    <row r="1622" spans="1:15" x14ac:dyDescent="0.3">
      <c r="A1622" s="5">
        <f t="shared" si="375"/>
        <v>16.139999999999723</v>
      </c>
      <c r="B1622" s="5">
        <f t="shared" si="385"/>
        <v>90.585168058977189</v>
      </c>
      <c r="C1622" s="6">
        <f t="shared" si="383"/>
        <v>3493.9993394176913</v>
      </c>
      <c r="D1622" s="6">
        <f t="shared" si="376"/>
        <v>12208031.383851264</v>
      </c>
      <c r="E1622" s="7">
        <f t="shared" si="377"/>
        <v>6248571.4285714282</v>
      </c>
      <c r="F1622" s="7">
        <f t="shared" si="378"/>
        <v>124.97142857142855</v>
      </c>
      <c r="G1622" s="7">
        <f t="shared" si="379"/>
        <v>5959459.9552798355</v>
      </c>
      <c r="H1622" s="6">
        <f t="shared" si="380"/>
        <v>2441.2005151727776</v>
      </c>
      <c r="I1622" s="7">
        <f t="shared" si="381"/>
        <v>-8.4243161519368961</v>
      </c>
      <c r="J1622" s="7">
        <f t="shared" si="382"/>
        <v>-47.492454254839153</v>
      </c>
      <c r="K1622" s="8">
        <f t="shared" si="386"/>
        <v>324.93790871756596</v>
      </c>
      <c r="L1622" s="8">
        <f t="shared" si="387"/>
        <v>-13.647392166137768</v>
      </c>
      <c r="M1622" s="8">
        <f t="shared" si="384"/>
        <v>76.937775892839426</v>
      </c>
      <c r="N1622" s="8">
        <f t="shared" si="388"/>
        <v>25.000000000000004</v>
      </c>
      <c r="O1622" s="8">
        <f t="shared" si="389"/>
        <v>29.434555069913301</v>
      </c>
    </row>
    <row r="1623" spans="1:15" x14ac:dyDescent="0.3">
      <c r="A1623" s="5">
        <f t="shared" si="375"/>
        <v>16.149999999999725</v>
      </c>
      <c r="B1623" s="5">
        <f t="shared" si="385"/>
        <v>90.500924897457821</v>
      </c>
      <c r="C1623" s="6">
        <f t="shared" si="383"/>
        <v>3490.7499603305159</v>
      </c>
      <c r="D1623" s="6">
        <f t="shared" si="376"/>
        <v>12185335.285547499</v>
      </c>
      <c r="E1623" s="7">
        <f t="shared" si="377"/>
        <v>6248571.4285714282</v>
      </c>
      <c r="F1623" s="7">
        <f t="shared" si="378"/>
        <v>124.97142857142855</v>
      </c>
      <c r="G1623" s="7">
        <f t="shared" si="379"/>
        <v>5936763.8569760704</v>
      </c>
      <c r="H1623" s="6">
        <f t="shared" si="380"/>
        <v>2436.5475281586587</v>
      </c>
      <c r="I1623" s="7">
        <f t="shared" si="381"/>
        <v>-8.4355475825365822</v>
      </c>
      <c r="J1623" s="7">
        <f t="shared" si="382"/>
        <v>-47.429220872684304</v>
      </c>
      <c r="K1623" s="8">
        <f t="shared" si="386"/>
        <v>325.37112104069672</v>
      </c>
      <c r="L1623" s="8">
        <f t="shared" si="387"/>
        <v>-13.66558708370926</v>
      </c>
      <c r="M1623" s="8">
        <f t="shared" si="384"/>
        <v>76.835337813748566</v>
      </c>
      <c r="N1623" s="8">
        <f t="shared" si="388"/>
        <v>25.000000000000007</v>
      </c>
      <c r="O1623" s="8">
        <f t="shared" si="389"/>
        <v>29.446387389105752</v>
      </c>
    </row>
    <row r="1624" spans="1:15" x14ac:dyDescent="0.3">
      <c r="A1624" s="5">
        <f t="shared" si="375"/>
        <v>16.159999999999727</v>
      </c>
      <c r="B1624" s="5">
        <f t="shared" si="385"/>
        <v>90.41656942163246</v>
      </c>
      <c r="C1624" s="6">
        <f t="shared" si="383"/>
        <v>3487.496249120109</v>
      </c>
      <c r="D1624" s="6">
        <f t="shared" si="376"/>
        <v>12162630.08762683</v>
      </c>
      <c r="E1624" s="7">
        <f t="shared" si="377"/>
        <v>6248571.4285714282</v>
      </c>
      <c r="F1624" s="7">
        <f t="shared" si="378"/>
        <v>124.97142857142855</v>
      </c>
      <c r="G1624" s="7">
        <f t="shared" si="379"/>
        <v>5914058.6590554016</v>
      </c>
      <c r="H1624" s="6">
        <f t="shared" si="380"/>
        <v>2431.8837675874647</v>
      </c>
      <c r="I1624" s="7">
        <f t="shared" si="381"/>
        <v>-8.4468305563883312</v>
      </c>
      <c r="J1624" s="7">
        <f t="shared" si="382"/>
        <v>-47.36586661745887</v>
      </c>
      <c r="K1624" s="8">
        <f t="shared" si="386"/>
        <v>325.80632146069274</v>
      </c>
      <c r="L1624" s="8">
        <f t="shared" si="387"/>
        <v>-13.683865501349095</v>
      </c>
      <c r="M1624" s="8">
        <f t="shared" si="384"/>
        <v>76.73270392028337</v>
      </c>
      <c r="N1624" s="8">
        <f t="shared" si="388"/>
        <v>25.000000000000004</v>
      </c>
      <c r="O1624" s="8">
        <f t="shared" si="389"/>
        <v>29.458289882357427</v>
      </c>
    </row>
    <row r="1625" spans="1:15" x14ac:dyDescent="0.3">
      <c r="A1625" s="5">
        <f t="shared" si="375"/>
        <v>16.169999999999728</v>
      </c>
      <c r="B1625" s="5">
        <f t="shared" si="385"/>
        <v>90.332101116068571</v>
      </c>
      <c r="C1625" s="6">
        <f t="shared" si="383"/>
        <v>3484.2381859055017</v>
      </c>
      <c r="D1625" s="6">
        <f t="shared" si="376"/>
        <v>12139915.736122062</v>
      </c>
      <c r="E1625" s="7">
        <f t="shared" si="377"/>
        <v>6248571.4285714282</v>
      </c>
      <c r="F1625" s="7">
        <f t="shared" si="378"/>
        <v>124.97142857142855</v>
      </c>
      <c r="G1625" s="7">
        <f t="shared" si="379"/>
        <v>5891344.3075506343</v>
      </c>
      <c r="H1625" s="6">
        <f t="shared" si="380"/>
        <v>2427.2091602395199</v>
      </c>
      <c r="I1625" s="7">
        <f t="shared" si="381"/>
        <v>-8.4581655002993532</v>
      </c>
      <c r="J1625" s="7">
        <f t="shared" si="382"/>
        <v>-47.302390744187427</v>
      </c>
      <c r="K1625" s="8">
        <f t="shared" si="386"/>
        <v>326.24352644011788</v>
      </c>
      <c r="L1625" s="8">
        <f t="shared" si="387"/>
        <v>-13.702228110484949</v>
      </c>
      <c r="M1625" s="8">
        <f t="shared" si="384"/>
        <v>76.629873005583619</v>
      </c>
      <c r="N1625" s="8">
        <f t="shared" si="388"/>
        <v>24.999999999999993</v>
      </c>
      <c r="O1625" s="8">
        <f t="shared" si="389"/>
        <v>29.470263218851521</v>
      </c>
    </row>
    <row r="1626" spans="1:15" x14ac:dyDescent="0.3">
      <c r="A1626" s="5">
        <f>A1625+$B$5</f>
        <v>16.17999999999973</v>
      </c>
      <c r="B1626" s="5">
        <f t="shared" si="385"/>
        <v>90.247519461065579</v>
      </c>
      <c r="C1626" s="6">
        <f t="shared" si="383"/>
        <v>3480.9757506411006</v>
      </c>
      <c r="D1626" s="6">
        <f>POWER(C1626,2)</f>
        <v>12117192.176551374</v>
      </c>
      <c r="E1626" s="7">
        <f>4*$B$2*$B$3*POWER($B$1,2)</f>
        <v>6248571.4285714282</v>
      </c>
      <c r="F1626" s="7">
        <f>POWER($B$1,2)*2*$B$2</f>
        <v>124.97142857142855</v>
      </c>
      <c r="G1626" s="7">
        <f>D1626-E1626</f>
        <v>5868620.7479799455</v>
      </c>
      <c r="H1626" s="6">
        <f>SQRT(G1626)</f>
        <v>2422.5236320787349</v>
      </c>
      <c r="I1626" s="7">
        <f>(-C1626+H1626)/F1626</f>
        <v>-8.4695528462923662</v>
      </c>
      <c r="J1626" s="7">
        <f>(-C1626-H1626)/F1626</f>
        <v>-47.238792500044418</v>
      </c>
      <c r="K1626" s="8">
        <f t="shared" si="386"/>
        <v>326.68275264270551</v>
      </c>
      <c r="L1626" s="8">
        <f t="shared" si="387"/>
        <v>-13.720675610993631</v>
      </c>
      <c r="M1626" s="8">
        <f t="shared" si="384"/>
        <v>76.526843850071941</v>
      </c>
      <c r="N1626" s="8">
        <f t="shared" si="388"/>
        <v>25</v>
      </c>
      <c r="O1626" s="8">
        <f t="shared" si="389"/>
        <v>29.48230807671704</v>
      </c>
    </row>
    <row r="1627" spans="1:15" x14ac:dyDescent="0.3">
      <c r="A1627" s="5">
        <f t="shared" ref="A1627:A1661" si="390">A1626+$B$5</f>
        <v>16.189999999999731</v>
      </c>
      <c r="B1627" s="5">
        <f t="shared" si="385"/>
        <v>90.162823932602649</v>
      </c>
      <c r="C1627" s="6">
        <f t="shared" si="383"/>
        <v>3477.7089231146733</v>
      </c>
      <c r="D1627" s="6">
        <f t="shared" ref="D1627:D1661" si="391">POWER(C1627,2)</f>
        <v>12094459.35391142</v>
      </c>
      <c r="E1627" s="7">
        <f t="shared" ref="E1627:E1661" si="392">4*$B$2*$B$3*POWER($B$1,2)</f>
        <v>6248571.4285714282</v>
      </c>
      <c r="F1627" s="7">
        <f t="shared" ref="F1627:F1661" si="393">POWER($B$1,2)*2*$B$2</f>
        <v>124.97142857142855</v>
      </c>
      <c r="G1627" s="7">
        <f t="shared" ref="G1627:G1661" si="394">D1627-E1627</f>
        <v>5845887.9253399922</v>
      </c>
      <c r="H1627" s="6">
        <f t="shared" ref="H1627:H1661" si="395">SQRT(G1627)</f>
        <v>2417.8271082399569</v>
      </c>
      <c r="I1627" s="7">
        <f t="shared" ref="I1627:I1661" si="396">(-C1627+H1627)/F1627</f>
        <v>-8.4809930316906907</v>
      </c>
      <c r="J1627" s="7">
        <f t="shared" ref="J1627:J1661" si="397">(-C1627-H1627)/F1627</f>
        <v>-47.175071124236872</v>
      </c>
      <c r="K1627" s="8">
        <f t="shared" si="386"/>
        <v>327.12401693664088</v>
      </c>
      <c r="L1627" s="8">
        <f t="shared" si="387"/>
        <v>-13.739208711338916</v>
      </c>
      <c r="M1627" s="8">
        <f t="shared" si="384"/>
        <v>76.423615221263731</v>
      </c>
      <c r="N1627" s="8">
        <f t="shared" si="388"/>
        <v>25.000000000000004</v>
      </c>
      <c r="O1627" s="8">
        <f t="shared" si="389"/>
        <v>29.494425143184078</v>
      </c>
    </row>
    <row r="1628" spans="1:15" x14ac:dyDescent="0.3">
      <c r="A1628" s="5">
        <f t="shared" si="390"/>
        <v>16.199999999999733</v>
      </c>
      <c r="B1628" s="5">
        <f t="shared" si="385"/>
        <v>90.078014002285741</v>
      </c>
      <c r="C1628" s="6">
        <f t="shared" si="383"/>
        <v>3474.4376829453072</v>
      </c>
      <c r="D1628" s="6">
        <f t="shared" si="391"/>
        <v>12071717.212670354</v>
      </c>
      <c r="E1628" s="7">
        <f t="shared" si="392"/>
        <v>6248571.4285714282</v>
      </c>
      <c r="F1628" s="7">
        <f t="shared" si="393"/>
        <v>124.97142857142855</v>
      </c>
      <c r="G1628" s="7">
        <f t="shared" si="394"/>
        <v>5823145.784098926</v>
      </c>
      <c r="H1628" s="6">
        <f t="shared" si="395"/>
        <v>2413.1195130160722</v>
      </c>
      <c r="I1628" s="7">
        <f t="shared" si="396"/>
        <v>-8.4924864992051283</v>
      </c>
      <c r="J1628" s="7">
        <f t="shared" si="397"/>
        <v>-47.111225847884846</v>
      </c>
      <c r="K1628" s="8">
        <f t="shared" si="386"/>
        <v>327.56733639791207</v>
      </c>
      <c r="L1628" s="8">
        <f t="shared" si="387"/>
        <v>-13.757828128712305</v>
      </c>
      <c r="M1628" s="8">
        <f t="shared" si="384"/>
        <v>76.320185873573436</v>
      </c>
      <c r="N1628" s="8">
        <f t="shared" si="388"/>
        <v>25.000000000000007</v>
      </c>
      <c r="O1628" s="8">
        <f t="shared" si="389"/>
        <v>29.506615114742566</v>
      </c>
    </row>
    <row r="1629" spans="1:15" x14ac:dyDescent="0.3">
      <c r="A1629" s="5">
        <f t="shared" si="390"/>
        <v>16.209999999999734</v>
      </c>
      <c r="B1629" s="5">
        <f t="shared" si="385"/>
        <v>89.993089137293694</v>
      </c>
      <c r="C1629" s="6">
        <f t="shared" si="383"/>
        <v>3471.1620095813282</v>
      </c>
      <c r="D1629" s="6">
        <f t="shared" si="391"/>
        <v>12048965.696760684</v>
      </c>
      <c r="E1629" s="7">
        <f t="shared" si="392"/>
        <v>6248571.4285714282</v>
      </c>
      <c r="F1629" s="7">
        <f t="shared" si="393"/>
        <v>124.97142857142855</v>
      </c>
      <c r="G1629" s="7">
        <f t="shared" si="394"/>
        <v>5800394.2681892561</v>
      </c>
      <c r="H1629" s="6">
        <f t="shared" si="395"/>
        <v>2408.4007698448481</v>
      </c>
      <c r="I1629" s="7">
        <f t="shared" si="396"/>
        <v>-8.5040336970225905</v>
      </c>
      <c r="J1629" s="7">
        <f t="shared" si="397"/>
        <v>-47.047255893899454</v>
      </c>
      <c r="K1629" s="8">
        <f t="shared" si="386"/>
        <v>328.01272831372847</v>
      </c>
      <c r="L1629" s="8">
        <f t="shared" si="387"/>
        <v>-13.776534589176595</v>
      </c>
      <c r="M1629" s="8">
        <f t="shared" si="384"/>
        <v>76.216554548117102</v>
      </c>
      <c r="N1629" s="8">
        <f t="shared" si="388"/>
        <v>25</v>
      </c>
      <c r="O1629" s="8">
        <f t="shared" si="389"/>
        <v>29.518878697304267</v>
      </c>
    </row>
    <row r="1630" spans="1:15" x14ac:dyDescent="0.3">
      <c r="A1630" s="5">
        <f t="shared" si="390"/>
        <v>16.219999999999736</v>
      </c>
      <c r="B1630" s="5">
        <f t="shared" si="385"/>
        <v>89.908048800323471</v>
      </c>
      <c r="C1630" s="6">
        <f t="shared" si="383"/>
        <v>3467.8818822981907</v>
      </c>
      <c r="D1630" s="6">
        <f t="shared" si="391"/>
        <v>12026204.749572042</v>
      </c>
      <c r="E1630" s="7">
        <f t="shared" si="392"/>
        <v>6248571.4285714282</v>
      </c>
      <c r="F1630" s="7">
        <f t="shared" si="393"/>
        <v>124.97142857142855</v>
      </c>
      <c r="G1630" s="7">
        <f t="shared" si="394"/>
        <v>5777633.3210006142</v>
      </c>
      <c r="H1630" s="6">
        <f t="shared" si="395"/>
        <v>2403.6708012955132</v>
      </c>
      <c r="I1630" s="7">
        <f t="shared" si="396"/>
        <v>-8.5156350788965973</v>
      </c>
      <c r="J1630" s="7">
        <f t="shared" si="397"/>
        <v>-46.983160476858636</v>
      </c>
      <c r="K1630" s="8">
        <f t="shared" si="386"/>
        <v>328.46021018601158</v>
      </c>
      <c r="L1630" s="8">
        <f t="shared" si="387"/>
        <v>-13.795328827812485</v>
      </c>
      <c r="M1630" s="8">
        <f t="shared" si="384"/>
        <v>76.112719972510988</v>
      </c>
      <c r="N1630" s="8">
        <f t="shared" si="388"/>
        <v>25</v>
      </c>
      <c r="O1630" s="8">
        <f t="shared" si="389"/>
        <v>29.531216606368435</v>
      </c>
    </row>
    <row r="1631" spans="1:15" x14ac:dyDescent="0.3">
      <c r="A1631" s="5">
        <f t="shared" si="390"/>
        <v>16.229999999999738</v>
      </c>
      <c r="B1631" s="5">
        <f t="shared" si="385"/>
        <v>89.822892449534507</v>
      </c>
      <c r="C1631" s="6">
        <f t="shared" si="383"/>
        <v>3464.5972801963308</v>
      </c>
      <c r="D1631" s="6">
        <f t="shared" si="391"/>
        <v>12003434.313943813</v>
      </c>
      <c r="E1631" s="7">
        <f t="shared" si="392"/>
        <v>6248571.4285714282</v>
      </c>
      <c r="F1631" s="7">
        <f t="shared" si="393"/>
        <v>124.97142857142855</v>
      </c>
      <c r="G1631" s="7">
        <f t="shared" si="394"/>
        <v>5754862.8853723845</v>
      </c>
      <c r="H1631" s="6">
        <f t="shared" si="395"/>
        <v>2398.9295290550708</v>
      </c>
      <c r="I1631" s="7">
        <f t="shared" si="396"/>
        <v>-8.5272911042396213</v>
      </c>
      <c r="J1631" s="7">
        <f t="shared" si="397"/>
        <v>-46.918938802880454</v>
      </c>
      <c r="K1631" s="8">
        <f t="shared" si="386"/>
        <v>328.90979973495678</v>
      </c>
      <c r="L1631" s="8">
        <f t="shared" si="387"/>
        <v>-13.814211588868183</v>
      </c>
      <c r="M1631" s="8">
        <f t="shared" si="384"/>
        <v>76.008680860666317</v>
      </c>
      <c r="N1631" s="8">
        <f t="shared" si="388"/>
        <v>25</v>
      </c>
      <c r="O1631" s="8">
        <f t="shared" si="389"/>
        <v>29.543629567190958</v>
      </c>
    </row>
    <row r="1632" spans="1:15" x14ac:dyDescent="0.3">
      <c r="A1632" s="5">
        <f t="shared" si="390"/>
        <v>16.239999999999739</v>
      </c>
      <c r="B1632" s="5">
        <f t="shared" si="385"/>
        <v>89.737619538492112</v>
      </c>
      <c r="C1632" s="6">
        <f t="shared" si="383"/>
        <v>3461.3081821989813</v>
      </c>
      <c r="D1632" s="6">
        <f t="shared" si="391"/>
        <v>11980654.332157616</v>
      </c>
      <c r="E1632" s="7">
        <f t="shared" si="392"/>
        <v>6248571.4285714282</v>
      </c>
      <c r="F1632" s="7">
        <f t="shared" si="393"/>
        <v>124.97142857142855</v>
      </c>
      <c r="G1632" s="7">
        <f t="shared" si="394"/>
        <v>5732082.9035861874</v>
      </c>
      <c r="H1632" s="6">
        <f t="shared" si="395"/>
        <v>2394.1768739143286</v>
      </c>
      <c r="I1632" s="7">
        <f t="shared" si="396"/>
        <v>-8.5390022382173871</v>
      </c>
      <c r="J1632" s="7">
        <f t="shared" si="397"/>
        <v>-46.854590069493803</v>
      </c>
      <c r="K1632" s="8">
        <f t="shared" si="386"/>
        <v>329.36151490267065</v>
      </c>
      <c r="L1632" s="8">
        <f t="shared" si="387"/>
        <v>-13.833183625912167</v>
      </c>
      <c r="M1632" s="8">
        <f t="shared" si="384"/>
        <v>75.904435912579942</v>
      </c>
      <c r="N1632" s="8">
        <f t="shared" si="388"/>
        <v>25.000000000000007</v>
      </c>
      <c r="O1632" s="8">
        <f t="shared" si="389"/>
        <v>29.556118314957256</v>
      </c>
    </row>
    <row r="1633" spans="1:15" x14ac:dyDescent="0.3">
      <c r="A1633" s="5">
        <f t="shared" si="390"/>
        <v>16.249999999999741</v>
      </c>
      <c r="B1633" s="5">
        <f t="shared" si="385"/>
        <v>89.652229516109941</v>
      </c>
      <c r="C1633" s="6">
        <f t="shared" si="383"/>
        <v>3458.0145670499546</v>
      </c>
      <c r="D1633" s="6">
        <f t="shared" si="391"/>
        <v>11957864.745929684</v>
      </c>
      <c r="E1633" s="7">
        <f t="shared" si="392"/>
        <v>6248571.4285714282</v>
      </c>
      <c r="F1633" s="7">
        <f t="shared" si="393"/>
        <v>124.97142857142855</v>
      </c>
      <c r="G1633" s="7">
        <f t="shared" si="394"/>
        <v>5709293.3173582563</v>
      </c>
      <c r="H1633" s="6">
        <f t="shared" si="395"/>
        <v>2389.4127557536508</v>
      </c>
      <c r="I1633" s="7">
        <f t="shared" si="396"/>
        <v>-8.5507689518451393</v>
      </c>
      <c r="J1633" s="7">
        <f t="shared" si="397"/>
        <v>-46.790113465506685</v>
      </c>
      <c r="K1633" s="8">
        <f t="shared" si="386"/>
        <v>329.81537385688392</v>
      </c>
      <c r="L1633" s="8">
        <f t="shared" si="387"/>
        <v>-13.852245701989123</v>
      </c>
      <c r="M1633" s="8">
        <f t="shared" si="384"/>
        <v>75.799983814120822</v>
      </c>
      <c r="N1633" s="8">
        <f t="shared" si="388"/>
        <v>25.000000000000007</v>
      </c>
      <c r="O1633" s="8">
        <f t="shared" si="389"/>
        <v>29.568683594958962</v>
      </c>
    </row>
    <row r="1634" spans="1:15" x14ac:dyDescent="0.3">
      <c r="A1634" s="5">
        <f t="shared" si="390"/>
        <v>16.259999999999742</v>
      </c>
      <c r="B1634" s="5">
        <f t="shared" si="385"/>
        <v>89.56672182659149</v>
      </c>
      <c r="C1634" s="6">
        <f t="shared" si="383"/>
        <v>3454.7164133113861</v>
      </c>
      <c r="D1634" s="6">
        <f t="shared" si="391"/>
        <v>11935065.496403087</v>
      </c>
      <c r="E1634" s="7">
        <f t="shared" si="392"/>
        <v>6248571.4285714282</v>
      </c>
      <c r="F1634" s="7">
        <f t="shared" si="393"/>
        <v>124.97142857142855</v>
      </c>
      <c r="G1634" s="7">
        <f t="shared" si="394"/>
        <v>5686494.0678316588</v>
      </c>
      <c r="H1634" s="6">
        <f t="shared" si="395"/>
        <v>2384.6370935284176</v>
      </c>
      <c r="I1634" s="7">
        <f t="shared" si="396"/>
        <v>-8.5625917220859407</v>
      </c>
      <c r="J1634" s="7">
        <f t="shared" si="397"/>
        <v>-46.725508170871777</v>
      </c>
      <c r="K1634" s="8">
        <f t="shared" si="386"/>
        <v>330.27139499474339</v>
      </c>
      <c r="L1634" s="8">
        <f t="shared" si="387"/>
        <v>-13.87139858977922</v>
      </c>
      <c r="M1634" s="8">
        <f t="shared" si="384"/>
        <v>75.695323236812271</v>
      </c>
      <c r="N1634" s="8">
        <f t="shared" si="388"/>
        <v>25.000000000000004</v>
      </c>
      <c r="O1634" s="8">
        <f t="shared" si="389"/>
        <v>29.581326162774502</v>
      </c>
    </row>
    <row r="1635" spans="1:15" x14ac:dyDescent="0.3">
      <c r="A1635" s="5">
        <f t="shared" si="390"/>
        <v>16.269999999999744</v>
      </c>
      <c r="B1635" s="5">
        <f t="shared" si="385"/>
        <v>89.481095909370637</v>
      </c>
      <c r="C1635" s="6">
        <f t="shared" si="383"/>
        <v>3451.4136993614388</v>
      </c>
      <c r="D1635" s="6">
        <f t="shared" si="391"/>
        <v>11912256.524139812</v>
      </c>
      <c r="E1635" s="7">
        <f t="shared" si="392"/>
        <v>6248571.4285714282</v>
      </c>
      <c r="F1635" s="7">
        <f t="shared" si="393"/>
        <v>124.97142857142855</v>
      </c>
      <c r="G1635" s="7">
        <f t="shared" si="394"/>
        <v>5663685.095568384</v>
      </c>
      <c r="H1635" s="6">
        <f t="shared" si="395"/>
        <v>2379.8498052541854</v>
      </c>
      <c r="I1635" s="7">
        <f t="shared" si="396"/>
        <v>-8.5744710319510471</v>
      </c>
      <c r="J1635" s="7">
        <f t="shared" si="397"/>
        <v>-46.660773356549363</v>
      </c>
      <c r="K1635" s="8">
        <f t="shared" si="386"/>
        <v>330.72959694668322</v>
      </c>
      <c r="L1635" s="8">
        <f t="shared" si="387"/>
        <v>-13.890643071760694</v>
      </c>
      <c r="M1635" s="8">
        <f t="shared" si="384"/>
        <v>75.590452837609945</v>
      </c>
      <c r="N1635" s="8">
        <f t="shared" si="388"/>
        <v>25.000000000000004</v>
      </c>
      <c r="O1635" s="8">
        <f t="shared" si="389"/>
        <v>29.594046784453653</v>
      </c>
    </row>
    <row r="1636" spans="1:15" x14ac:dyDescent="0.3">
      <c r="A1636" s="5">
        <f t="shared" si="390"/>
        <v>16.279999999999745</v>
      </c>
      <c r="B1636" s="5">
        <f t="shared" si="385"/>
        <v>89.39535119905112</v>
      </c>
      <c r="C1636" s="6">
        <f t="shared" si="383"/>
        <v>3448.1064033919715</v>
      </c>
      <c r="D1636" s="6">
        <f t="shared" si="391"/>
        <v>11889437.769112717</v>
      </c>
      <c r="E1636" s="7">
        <f t="shared" si="392"/>
        <v>6248571.4285714282</v>
      </c>
      <c r="F1636" s="7">
        <f t="shared" si="393"/>
        <v>124.97142857142855</v>
      </c>
      <c r="G1636" s="7">
        <f t="shared" si="394"/>
        <v>5640866.3405412892</v>
      </c>
      <c r="H1636" s="6">
        <f t="shared" si="395"/>
        <v>2375.0508079915448</v>
      </c>
      <c r="I1636" s="7">
        <f t="shared" si="396"/>
        <v>-8.5864073706024104</v>
      </c>
      <c r="J1636" s="7">
        <f t="shared" si="397"/>
        <v>-46.595908184367424</v>
      </c>
      <c r="K1636" s="8">
        <f t="shared" si="386"/>
        <v>331.1899985803787</v>
      </c>
      <c r="L1636" s="8">
        <f t="shared" si="387"/>
        <v>-13.909979940375903</v>
      </c>
      <c r="M1636" s="8">
        <f t="shared" si="384"/>
        <v>75.485371258675215</v>
      </c>
      <c r="N1636" s="8">
        <f t="shared" si="388"/>
        <v>25.000000000000004</v>
      </c>
      <c r="O1636" s="8">
        <f t="shared" si="389"/>
        <v>29.606846236706193</v>
      </c>
    </row>
    <row r="1637" spans="1:15" x14ac:dyDescent="0.3">
      <c r="A1637" s="5">
        <f t="shared" si="390"/>
        <v>16.289999999999747</v>
      </c>
      <c r="B1637" s="5">
        <f t="shared" si="385"/>
        <v>89.3094871253451</v>
      </c>
      <c r="C1637" s="6">
        <f t="shared" si="383"/>
        <v>3444.7945034061681</v>
      </c>
      <c r="D1637" s="6">
        <f t="shared" si="391"/>
        <v>11866609.170697348</v>
      </c>
      <c r="E1637" s="7">
        <f t="shared" si="392"/>
        <v>6248571.4285714282</v>
      </c>
      <c r="F1637" s="7">
        <f t="shared" si="393"/>
        <v>124.97142857142855</v>
      </c>
      <c r="G1637" s="7">
        <f t="shared" si="394"/>
        <v>5618037.74212592</v>
      </c>
      <c r="H1637" s="6">
        <f t="shared" si="395"/>
        <v>2370.2400178306671</v>
      </c>
      <c r="I1637" s="7">
        <f t="shared" si="396"/>
        <v>-8.5984012334573716</v>
      </c>
      <c r="J1637" s="7">
        <f t="shared" si="397"/>
        <v>-46.530911806879125</v>
      </c>
      <c r="K1637" s="8">
        <f t="shared" si="386"/>
        <v>331.6526190047843</v>
      </c>
      <c r="L1637" s="8">
        <f t="shared" si="387"/>
        <v>-13.929409998200939</v>
      </c>
      <c r="M1637" s="8">
        <f t="shared" si="384"/>
        <v>75.380077127144162</v>
      </c>
      <c r="N1637" s="8">
        <f t="shared" si="388"/>
        <v>24.999999999999996</v>
      </c>
      <c r="O1637" s="8">
        <f t="shared" si="389"/>
        <v>29.619725307094765</v>
      </c>
    </row>
    <row r="1638" spans="1:15" x14ac:dyDescent="0.3">
      <c r="A1638" s="5">
        <f t="shared" si="390"/>
        <v>16.299999999999748</v>
      </c>
      <c r="B1638" s="5">
        <f t="shared" si="385"/>
        <v>89.223503113010523</v>
      </c>
      <c r="C1638" s="6">
        <f t="shared" si="383"/>
        <v>3441.4779772161201</v>
      </c>
      <c r="D1638" s="6">
        <f t="shared" si="391"/>
        <v>11843770.667663557</v>
      </c>
      <c r="E1638" s="7">
        <f t="shared" si="392"/>
        <v>6248571.4285714282</v>
      </c>
      <c r="F1638" s="7">
        <f t="shared" si="393"/>
        <v>124.97142857142855</v>
      </c>
      <c r="G1638" s="7">
        <f t="shared" si="394"/>
        <v>5595199.2390921293</v>
      </c>
      <c r="H1638" s="6">
        <f t="shared" si="395"/>
        <v>2365.4173498755204</v>
      </c>
      <c r="I1638" s="7">
        <f t="shared" si="396"/>
        <v>-8.6104531222956098</v>
      </c>
      <c r="J1638" s="7">
        <f t="shared" si="397"/>
        <v>-46.465783367217071</v>
      </c>
      <c r="K1638" s="8">
        <f t="shared" si="386"/>
        <v>332.11747757425923</v>
      </c>
      <c r="L1638" s="8">
        <f t="shared" si="387"/>
        <v>-13.948934058118885</v>
      </c>
      <c r="M1638" s="8">
        <f t="shared" si="384"/>
        <v>75.274569054891643</v>
      </c>
      <c r="N1638" s="8">
        <f t="shared" si="388"/>
        <v>25.000000000000004</v>
      </c>
      <c r="O1638" s="8">
        <f t="shared" si="389"/>
        <v>29.632684794232123</v>
      </c>
    </row>
    <row r="1639" spans="1:15" x14ac:dyDescent="0.3">
      <c r="A1639" s="5">
        <f t="shared" si="390"/>
        <v>16.30999999999975</v>
      </c>
      <c r="B1639" s="5">
        <f t="shared" si="385"/>
        <v>89.137398581787565</v>
      </c>
      <c r="C1639" s="6">
        <f t="shared" si="383"/>
        <v>3438.1568024403773</v>
      </c>
      <c r="D1639" s="6">
        <f t="shared" si="391"/>
        <v>11820922.198167039</v>
      </c>
      <c r="E1639" s="7">
        <f t="shared" si="392"/>
        <v>6248571.4285714282</v>
      </c>
      <c r="F1639" s="7">
        <f t="shared" si="393"/>
        <v>124.97142857142855</v>
      </c>
      <c r="G1639" s="7">
        <f t="shared" si="394"/>
        <v>5572350.7695956109</v>
      </c>
      <c r="H1639" s="6">
        <f t="shared" si="395"/>
        <v>2360.5827182277708</v>
      </c>
      <c r="I1639" s="7">
        <f t="shared" si="396"/>
        <v>-8.6225635453683669</v>
      </c>
      <c r="J1639" s="7">
        <f t="shared" si="397"/>
        <v>-46.400521998944953</v>
      </c>
      <c r="K1639" s="8">
        <f t="shared" si="386"/>
        <v>332.58459389277982</v>
      </c>
      <c r="L1639" s="8">
        <f t="shared" si="387"/>
        <v>-13.968552943496752</v>
      </c>
      <c r="M1639" s="8">
        <f t="shared" si="384"/>
        <v>75.168845638290819</v>
      </c>
      <c r="N1639" s="8">
        <f t="shared" si="388"/>
        <v>25.000000000000007</v>
      </c>
      <c r="O1639" s="8">
        <f t="shared" si="389"/>
        <v>29.645725507982664</v>
      </c>
    </row>
    <row r="1640" spans="1:15" x14ac:dyDescent="0.3">
      <c r="A1640" s="5">
        <f t="shared" si="390"/>
        <v>16.319999999999752</v>
      </c>
      <c r="B1640" s="5">
        <f t="shared" si="385"/>
        <v>89.051172946333878</v>
      </c>
      <c r="C1640" s="6">
        <f t="shared" si="383"/>
        <v>3434.8309565014492</v>
      </c>
      <c r="D1640" s="6">
        <f t="shared" si="391"/>
        <v>11798063.699740661</v>
      </c>
      <c r="E1640" s="7">
        <f t="shared" si="392"/>
        <v>6248571.4285714282</v>
      </c>
      <c r="F1640" s="7">
        <f t="shared" si="393"/>
        <v>124.97142857142855</v>
      </c>
      <c r="G1640" s="7">
        <f t="shared" si="394"/>
        <v>5549492.2711692331</v>
      </c>
      <c r="H1640" s="6">
        <f t="shared" si="395"/>
        <v>2355.7360359703362</v>
      </c>
      <c r="I1640" s="7">
        <f t="shared" si="396"/>
        <v>-8.634733017510051</v>
      </c>
      <c r="J1640" s="7">
        <f t="shared" si="397"/>
        <v>-46.335126825905931</v>
      </c>
      <c r="K1640" s="8">
        <f t="shared" si="386"/>
        <v>333.05398781824482</v>
      </c>
      <c r="L1640" s="8">
        <f t="shared" si="387"/>
        <v>-13.988267488366281</v>
      </c>
      <c r="M1640" s="8">
        <f t="shared" si="384"/>
        <v>75.062905457967602</v>
      </c>
      <c r="N1640" s="8">
        <f t="shared" si="388"/>
        <v>25.000000000000004</v>
      </c>
      <c r="O1640" s="8">
        <f t="shared" si="389"/>
        <v>29.658848269668695</v>
      </c>
    </row>
    <row r="1641" spans="1:15" x14ac:dyDescent="0.3">
      <c r="A1641" s="5">
        <f t="shared" si="390"/>
        <v>16.329999999999753</v>
      </c>
      <c r="B1641" s="5">
        <f t="shared" si="385"/>
        <v>88.964825616158777</v>
      </c>
      <c r="C1641" s="6">
        <f t="shared" si="383"/>
        <v>3431.500416623267</v>
      </c>
      <c r="D1641" s="6">
        <f t="shared" si="391"/>
        <v>11775195.109285655</v>
      </c>
      <c r="E1641" s="7">
        <f t="shared" si="392"/>
        <v>6248571.4285714282</v>
      </c>
      <c r="F1641" s="7">
        <f t="shared" si="393"/>
        <v>124.97142857142855</v>
      </c>
      <c r="G1641" s="7">
        <f t="shared" si="394"/>
        <v>5526623.6807142263</v>
      </c>
      <c r="H1641" s="6">
        <f t="shared" si="395"/>
        <v>2350.8772151505968</v>
      </c>
      <c r="I1641" s="7">
        <f t="shared" si="396"/>
        <v>-8.6469620602522781</v>
      </c>
      <c r="J1641" s="7">
        <f t="shared" si="397"/>
        <v>-46.269596962067965</v>
      </c>
      <c r="K1641" s="8">
        <f t="shared" si="386"/>
        <v>333.52567946687356</v>
      </c>
      <c r="L1641" s="8">
        <f t="shared" si="387"/>
        <v>-14.008078537608688</v>
      </c>
      <c r="M1641" s="8">
        <f t="shared" si="384"/>
        <v>74.956747078550094</v>
      </c>
      <c r="N1641" s="8">
        <f t="shared" si="388"/>
        <v>25.000000000000011</v>
      </c>
      <c r="O1641" s="8">
        <f t="shared" si="389"/>
        <v>29.672053912281275</v>
      </c>
    </row>
    <row r="1642" spans="1:15" x14ac:dyDescent="0.3">
      <c r="A1642" s="5">
        <f t="shared" si="390"/>
        <v>16.339999999999755</v>
      </c>
      <c r="B1642" s="5">
        <f t="shared" si="385"/>
        <v>88.878355995556248</v>
      </c>
      <c r="C1642" s="6">
        <f t="shared" si="383"/>
        <v>3428.165159828598</v>
      </c>
      <c r="D1642" s="6">
        <f t="shared" si="391"/>
        <v>11752316.363062637</v>
      </c>
      <c r="E1642" s="7">
        <f t="shared" si="392"/>
        <v>6248571.4285714282</v>
      </c>
      <c r="F1642" s="7">
        <f t="shared" si="393"/>
        <v>124.97142857142855</v>
      </c>
      <c r="G1642" s="7">
        <f t="shared" si="394"/>
        <v>5503744.9344912088</v>
      </c>
      <c r="H1642" s="6">
        <f t="shared" si="395"/>
        <v>2346.0061667632522</v>
      </c>
      <c r="I1642" s="7">
        <f t="shared" si="396"/>
        <v>-8.6592512019403554</v>
      </c>
      <c r="J1642" s="7">
        <f t="shared" si="397"/>
        <v>-46.20393151136598</v>
      </c>
      <c r="K1642" s="8">
        <f t="shared" si="386"/>
        <v>333.99968921769943</v>
      </c>
      <c r="L1642" s="8">
        <f t="shared" si="387"/>
        <v>-14.027986947143374</v>
      </c>
      <c r="M1642" s="8">
        <f t="shared" si="384"/>
        <v>74.850369048412873</v>
      </c>
      <c r="N1642" s="8">
        <f t="shared" si="388"/>
        <v>25.000000000000007</v>
      </c>
      <c r="O1642" s="8">
        <f t="shared" si="389"/>
        <v>29.685343280695839</v>
      </c>
    </row>
    <row r="1643" spans="1:15" x14ac:dyDescent="0.3">
      <c r="A1643" s="5">
        <f t="shared" si="390"/>
        <v>16.349999999999756</v>
      </c>
      <c r="B1643" s="5">
        <f t="shared" si="385"/>
        <v>88.79176348353684</v>
      </c>
      <c r="C1643" s="6">
        <f t="shared" si="383"/>
        <v>3424.8251629364208</v>
      </c>
      <c r="D1643" s="6">
        <f t="shared" si="391"/>
        <v>11729427.396682482</v>
      </c>
      <c r="E1643" s="7">
        <f t="shared" si="392"/>
        <v>6248571.4285714282</v>
      </c>
      <c r="F1643" s="7">
        <f t="shared" si="393"/>
        <v>124.97142857142855</v>
      </c>
      <c r="G1643" s="7">
        <f t="shared" si="394"/>
        <v>5480855.968111054</v>
      </c>
      <c r="H1643" s="6">
        <f t="shared" si="395"/>
        <v>2341.1228007328136</v>
      </c>
      <c r="I1643" s="7">
        <f t="shared" si="396"/>
        <v>-8.6716009778523677</v>
      </c>
      <c r="J1643" s="7">
        <f t="shared" si="397"/>
        <v>-46.138129567540744</v>
      </c>
      <c r="K1643" s="8">
        <f t="shared" si="386"/>
        <v>334.47603771716274</v>
      </c>
      <c r="L1643" s="8">
        <f t="shared" si="387"/>
        <v>-14.047993584120833</v>
      </c>
      <c r="M1643" s="8">
        <f t="shared" si="384"/>
        <v>74.743769899416009</v>
      </c>
      <c r="N1643" s="8">
        <f t="shared" si="388"/>
        <v>25.000000000000004</v>
      </c>
      <c r="O1643" s="8">
        <f t="shared" si="389"/>
        <v>29.698717231892861</v>
      </c>
    </row>
    <row r="1644" spans="1:15" x14ac:dyDescent="0.3">
      <c r="A1644" s="5">
        <f t="shared" si="390"/>
        <v>16.359999999999758</v>
      </c>
      <c r="B1644" s="5">
        <f t="shared" si="385"/>
        <v>88.705047473758313</v>
      </c>
      <c r="C1644" s="6">
        <f t="shared" si="383"/>
        <v>3421.4804025592489</v>
      </c>
      <c r="D1644" s="6">
        <f t="shared" si="391"/>
        <v>11706528.145097001</v>
      </c>
      <c r="E1644" s="7">
        <f t="shared" si="392"/>
        <v>6248571.4285714282</v>
      </c>
      <c r="F1644" s="7">
        <f t="shared" si="393"/>
        <v>124.97142857142855</v>
      </c>
      <c r="G1644" s="7">
        <f t="shared" si="394"/>
        <v>5457956.7165255724</v>
      </c>
      <c r="H1644" s="6">
        <f t="shared" si="395"/>
        <v>2336.2270258957224</v>
      </c>
      <c r="I1644" s="7">
        <f t="shared" si="396"/>
        <v>-8.6840119303208585</v>
      </c>
      <c r="J1644" s="7">
        <f t="shared" si="397"/>
        <v>-46.072190213974402</v>
      </c>
      <c r="K1644" s="8">
        <f t="shared" si="386"/>
        <v>334.95474588380455</v>
      </c>
      <c r="L1644" s="8">
        <f t="shared" si="387"/>
        <v>-14.068099327119789</v>
      </c>
      <c r="M1644" s="8">
        <f t="shared" si="384"/>
        <v>74.636948146638531</v>
      </c>
      <c r="N1644" s="8">
        <f t="shared" si="388"/>
        <v>25.000000000000007</v>
      </c>
      <c r="O1644" s="8">
        <f t="shared" si="389"/>
        <v>29.712176635183535</v>
      </c>
    </row>
    <row r="1645" spans="1:15" x14ac:dyDescent="0.3">
      <c r="A1645" s="5">
        <f t="shared" si="390"/>
        <v>16.369999999999759</v>
      </c>
      <c r="B1645" s="5">
        <f t="shared" si="385"/>
        <v>88.618207354455109</v>
      </c>
      <c r="C1645" s="6">
        <f t="shared" si="383"/>
        <v>3418.1308551004113</v>
      </c>
      <c r="D1645" s="6">
        <f t="shared" si="391"/>
        <v>11683618.542589469</v>
      </c>
      <c r="E1645" s="7">
        <f t="shared" si="392"/>
        <v>6248571.4285714282</v>
      </c>
      <c r="F1645" s="7">
        <f t="shared" si="393"/>
        <v>124.97142857142855</v>
      </c>
      <c r="G1645" s="7">
        <f t="shared" si="394"/>
        <v>5435047.1140180407</v>
      </c>
      <c r="H1645" s="6">
        <f t="shared" si="395"/>
        <v>2331.318749982087</v>
      </c>
      <c r="I1645" s="7">
        <f t="shared" si="396"/>
        <v>-8.6964846088571921</v>
      </c>
      <c r="J1645" s="7">
        <f t="shared" si="397"/>
        <v>-46.006112523522518</v>
      </c>
      <c r="K1645" s="8">
        <f t="shared" si="386"/>
        <v>335.4358349130631</v>
      </c>
      <c r="L1645" s="8">
        <f t="shared" si="387"/>
        <v>-14.088305066348649</v>
      </c>
      <c r="M1645" s="8">
        <f t="shared" si="384"/>
        <v>74.529902288106456</v>
      </c>
      <c r="N1645" s="8">
        <f t="shared" si="388"/>
        <v>25</v>
      </c>
      <c r="O1645" s="8">
        <f t="shared" si="389"/>
        <v>29.7257223724406</v>
      </c>
    </row>
    <row r="1646" spans="1:15" x14ac:dyDescent="0.3">
      <c r="A1646" s="5">
        <f t="shared" si="390"/>
        <v>16.379999999999761</v>
      </c>
      <c r="B1646" s="5">
        <f t="shared" si="385"/>
        <v>88.531242508366532</v>
      </c>
      <c r="C1646" s="6">
        <f t="shared" si="383"/>
        <v>3414.7764967512803</v>
      </c>
      <c r="D1646" s="6">
        <f t="shared" si="391"/>
        <v>11660698.522764947</v>
      </c>
      <c r="E1646" s="7">
        <f t="shared" si="392"/>
        <v>6248571.4285714282</v>
      </c>
      <c r="F1646" s="7">
        <f t="shared" si="393"/>
        <v>124.97142857142855</v>
      </c>
      <c r="G1646" s="7">
        <f t="shared" si="394"/>
        <v>5412127.0941935191</v>
      </c>
      <c r="H1646" s="6">
        <f t="shared" si="395"/>
        <v>2326.397879597022</v>
      </c>
      <c r="I1646" s="7">
        <f t="shared" si="396"/>
        <v>-8.7090195702787039</v>
      </c>
      <c r="J1646" s="7">
        <f t="shared" si="397"/>
        <v>-45.939895558342627</v>
      </c>
      <c r="K1646" s="8">
        <f t="shared" si="386"/>
        <v>335.91932628217859</v>
      </c>
      <c r="L1646" s="8">
        <f t="shared" si="387"/>
        <v>-14.1086117038515</v>
      </c>
      <c r="M1646" s="8">
        <f t="shared" si="384"/>
        <v>74.422630804515038</v>
      </c>
      <c r="N1646" s="8">
        <f t="shared" si="388"/>
        <v>25.000000000000004</v>
      </c>
      <c r="O1646" s="8">
        <f t="shared" si="389"/>
        <v>29.739355338334654</v>
      </c>
    </row>
    <row r="1647" spans="1:15" x14ac:dyDescent="0.3">
      <c r="A1647" s="5">
        <f t="shared" si="390"/>
        <v>16.389999999999763</v>
      </c>
      <c r="B1647" s="5">
        <f t="shared" si="385"/>
        <v>88.444152312663746</v>
      </c>
      <c r="C1647" s="6">
        <f t="shared" si="383"/>
        <v>3411.4173034884584</v>
      </c>
      <c r="D1647" s="6">
        <f t="shared" si="391"/>
        <v>11637768.018540464</v>
      </c>
      <c r="E1647" s="7">
        <f t="shared" si="392"/>
        <v>6248571.4285714282</v>
      </c>
      <c r="F1647" s="7">
        <f t="shared" si="393"/>
        <v>124.97142857142855</v>
      </c>
      <c r="G1647" s="7">
        <f t="shared" si="394"/>
        <v>5389196.5899690362</v>
      </c>
      <c r="H1647" s="6">
        <f t="shared" si="395"/>
        <v>2321.4643202015914</v>
      </c>
      <c r="I1647" s="7">
        <f t="shared" si="396"/>
        <v>-8.7216173788386726</v>
      </c>
      <c r="J1647" s="7">
        <f t="shared" si="397"/>
        <v>-45.873538369719199</v>
      </c>
      <c r="K1647" s="8">
        <f t="shared" si="386"/>
        <v>336.40524175520591</v>
      </c>
      <c r="L1647" s="8">
        <f t="shared" si="387"/>
        <v>-14.129020153718647</v>
      </c>
      <c r="M1647" s="8">
        <f t="shared" si="384"/>
        <v>74.315132158945104</v>
      </c>
      <c r="N1647" s="8">
        <f t="shared" si="388"/>
        <v>25.000000000000004</v>
      </c>
      <c r="O1647" s="8">
        <f t="shared" si="389"/>
        <v>29.753076440575899</v>
      </c>
    </row>
    <row r="1648" spans="1:15" x14ac:dyDescent="0.3">
      <c r="A1648" s="5">
        <f t="shared" si="390"/>
        <v>16.399999999999764</v>
      </c>
      <c r="B1648" s="5">
        <f t="shared" si="385"/>
        <v>88.356936138875355</v>
      </c>
      <c r="C1648" s="6">
        <f t="shared" si="383"/>
        <v>3408.0532510709063</v>
      </c>
      <c r="D1648" s="6">
        <f t="shared" si="391"/>
        <v>11614826.962134974</v>
      </c>
      <c r="E1648" s="7">
        <f t="shared" si="392"/>
        <v>6248571.4285714282</v>
      </c>
      <c r="F1648" s="7">
        <f t="shared" si="393"/>
        <v>124.97142857142855</v>
      </c>
      <c r="G1648" s="7">
        <f t="shared" si="394"/>
        <v>5366255.5335635459</v>
      </c>
      <c r="H1648" s="6">
        <f t="shared" si="395"/>
        <v>2316.5179760933315</v>
      </c>
      <c r="I1648" s="7">
        <f t="shared" si="396"/>
        <v>-8.7342786063591955</v>
      </c>
      <c r="J1648" s="7">
        <f t="shared" si="397"/>
        <v>-45.807039997884857</v>
      </c>
      <c r="K1648" s="8">
        <f t="shared" si="386"/>
        <v>336.89360338814038</v>
      </c>
      <c r="L1648" s="8">
        <f t="shared" si="387"/>
        <v>-14.149531342301895</v>
      </c>
      <c r="M1648" s="8">
        <f t="shared" si="384"/>
        <v>74.207404796573456</v>
      </c>
      <c r="N1648" s="8">
        <f t="shared" si="388"/>
        <v>25.000000000000004</v>
      </c>
      <c r="O1648" s="8">
        <f t="shared" si="389"/>
        <v>29.76688660016152</v>
      </c>
    </row>
    <row r="1649" spans="1:15" x14ac:dyDescent="0.3">
      <c r="A1649" s="5">
        <f t="shared" si="390"/>
        <v>16.409999999999766</v>
      </c>
      <c r="B1649" s="5">
        <f t="shared" si="385"/>
        <v>88.269593352811768</v>
      </c>
      <c r="C1649" s="6">
        <f t="shared" si="383"/>
        <v>3404.684315037025</v>
      </c>
      <c r="D1649" s="6">
        <f t="shared" si="391"/>
        <v>11591875.285059137</v>
      </c>
      <c r="E1649" s="7">
        <f t="shared" si="392"/>
        <v>6248571.4285714282</v>
      </c>
      <c r="F1649" s="7">
        <f t="shared" si="393"/>
        <v>124.97142857142855</v>
      </c>
      <c r="G1649" s="7">
        <f t="shared" si="394"/>
        <v>5343303.8564877091</v>
      </c>
      <c r="H1649" s="6">
        <f t="shared" si="395"/>
        <v>2311.5587503863512</v>
      </c>
      <c r="I1649" s="7">
        <f t="shared" si="396"/>
        <v>-8.747003832367076</v>
      </c>
      <c r="J1649" s="7">
        <f t="shared" si="397"/>
        <v>-45.740399471837719</v>
      </c>
      <c r="K1649" s="8">
        <f t="shared" si="386"/>
        <v>337.38443353415863</v>
      </c>
      <c r="L1649" s="8">
        <f t="shared" si="387"/>
        <v>-14.170146208434661</v>
      </c>
      <c r="M1649" s="8">
        <f t="shared" si="384"/>
        <v>74.099447144377109</v>
      </c>
      <c r="N1649" s="8">
        <f t="shared" si="388"/>
        <v>25</v>
      </c>
      <c r="O1649" s="8">
        <f t="shared" si="389"/>
        <v>29.780786751628934</v>
      </c>
    </row>
    <row r="1650" spans="1:15" x14ac:dyDescent="0.3">
      <c r="A1650" s="5">
        <f t="shared" si="390"/>
        <v>16.419999999999767</v>
      </c>
      <c r="B1650" s="5">
        <f t="shared" si="385"/>
        <v>88.182123314488095</v>
      </c>
      <c r="C1650" s="6">
        <f t="shared" si="383"/>
        <v>3401.3104707016837</v>
      </c>
      <c r="D1650" s="6">
        <f t="shared" si="391"/>
        <v>11568912.918104909</v>
      </c>
      <c r="E1650" s="7">
        <f t="shared" si="392"/>
        <v>6248571.4285714282</v>
      </c>
      <c r="F1650" s="7">
        <f t="shared" si="393"/>
        <v>124.97142857142855</v>
      </c>
      <c r="G1650" s="7">
        <f t="shared" si="394"/>
        <v>5320341.4895334812</v>
      </c>
      <c r="H1650" s="6">
        <f t="shared" si="395"/>
        <v>2306.586544990992</v>
      </c>
      <c r="I1650" s="7">
        <f t="shared" si="396"/>
        <v>-8.7597936442327882</v>
      </c>
      <c r="J1650" s="7">
        <f t="shared" si="397"/>
        <v>-45.673615809154931</v>
      </c>
      <c r="K1650" s="8">
        <f t="shared" si="386"/>
        <v>337.87775484897895</v>
      </c>
      <c r="L1650" s="8">
        <f t="shared" si="387"/>
        <v>-14.190865703657115</v>
      </c>
      <c r="M1650" s="8">
        <f t="shared" si="384"/>
        <v>73.991257610830985</v>
      </c>
      <c r="N1650" s="8">
        <f t="shared" si="388"/>
        <v>25</v>
      </c>
      <c r="O1650" s="8">
        <f t="shared" si="389"/>
        <v>29.794777843315043</v>
      </c>
    </row>
    <row r="1651" spans="1:15" x14ac:dyDescent="0.3">
      <c r="A1651" s="5">
        <f t="shared" si="390"/>
        <v>16.429999999999769</v>
      </c>
      <c r="B1651" s="5">
        <f t="shared" si="385"/>
        <v>88.094525378045773</v>
      </c>
      <c r="C1651" s="6">
        <f t="shared" si="383"/>
        <v>3397.9316931531939</v>
      </c>
      <c r="D1651" s="6">
        <f t="shared" si="391"/>
        <v>11545939.791334931</v>
      </c>
      <c r="E1651" s="7">
        <f t="shared" si="392"/>
        <v>6248571.4285714282</v>
      </c>
      <c r="F1651" s="7">
        <f t="shared" si="393"/>
        <v>124.97142857142855</v>
      </c>
      <c r="G1651" s="7">
        <f t="shared" si="394"/>
        <v>5297368.3627635026</v>
      </c>
      <c r="H1651" s="6">
        <f t="shared" si="395"/>
        <v>2301.6012605930468</v>
      </c>
      <c r="I1651" s="7">
        <f t="shared" si="396"/>
        <v>-8.7726486373125638</v>
      </c>
      <c r="J1651" s="7">
        <f t="shared" si="397"/>
        <v>-45.606688015802114</v>
      </c>
      <c r="K1651" s="8">
        <f t="shared" si="386"/>
        <v>338.37359029634172</v>
      </c>
      <c r="L1651" s="8">
        <f t="shared" si="387"/>
        <v>-14.211690792446351</v>
      </c>
      <c r="M1651" s="8">
        <f t="shared" si="384"/>
        <v>73.882834585599426</v>
      </c>
      <c r="N1651" s="8">
        <f t="shared" si="388"/>
        <v>25.000000000000007</v>
      </c>
      <c r="O1651" s="8">
        <f t="shared" si="389"/>
        <v>29.808860837621538</v>
      </c>
    </row>
    <row r="1652" spans="1:15" x14ac:dyDescent="0.3">
      <c r="A1652" s="5">
        <f t="shared" si="390"/>
        <v>16.43999999999977</v>
      </c>
      <c r="B1652" s="5">
        <f t="shared" si="385"/>
        <v>88.006798891672645</v>
      </c>
      <c r="C1652" s="6">
        <f t="shared" si="383"/>
        <v>3394.5479572502304</v>
      </c>
      <c r="D1652" s="6">
        <f t="shared" si="391"/>
        <v>11522955.834071713</v>
      </c>
      <c r="E1652" s="7">
        <f t="shared" si="392"/>
        <v>6248571.4285714282</v>
      </c>
      <c r="F1652" s="7">
        <f t="shared" si="393"/>
        <v>124.97142857142855</v>
      </c>
      <c r="G1652" s="7">
        <f t="shared" si="394"/>
        <v>5274384.4055002844</v>
      </c>
      <c r="H1652" s="6">
        <f t="shared" si="395"/>
        <v>2296.6027966325141</v>
      </c>
      <c r="I1652" s="7">
        <f t="shared" si="396"/>
        <v>-8.7855694150937538</v>
      </c>
      <c r="J1652" s="7">
        <f t="shared" si="397"/>
        <v>-45.539615085938749</v>
      </c>
      <c r="K1652" s="8">
        <f t="shared" si="386"/>
        <v>338.87196315361621</v>
      </c>
      <c r="L1652" s="8">
        <f t="shared" si="387"/>
        <v>-14.23262245245188</v>
      </c>
      <c r="M1652" s="8">
        <f t="shared" si="384"/>
        <v>73.774176439220767</v>
      </c>
      <c r="N1652" s="8">
        <f t="shared" si="388"/>
        <v>25</v>
      </c>
      <c r="O1652" s="8">
        <f t="shared" si="389"/>
        <v>29.823036711286605</v>
      </c>
    </row>
    <row r="1653" spans="1:15" x14ac:dyDescent="0.3">
      <c r="A1653" s="5">
        <f t="shared" si="390"/>
        <v>16.449999999999772</v>
      </c>
      <c r="B1653" s="5">
        <f t="shared" si="385"/>
        <v>87.918943197521713</v>
      </c>
      <c r="C1653" s="6">
        <f t="shared" si="383"/>
        <v>3391.1592376186945</v>
      </c>
      <c r="D1653" s="6">
        <f t="shared" si="391"/>
        <v>11499960.974886606</v>
      </c>
      <c r="E1653" s="7">
        <f t="shared" si="392"/>
        <v>6248571.4285714282</v>
      </c>
      <c r="F1653" s="7">
        <f t="shared" si="393"/>
        <v>124.97142857142855</v>
      </c>
      <c r="G1653" s="7">
        <f t="shared" si="394"/>
        <v>5251389.5463151773</v>
      </c>
      <c r="H1653" s="6">
        <f t="shared" si="395"/>
        <v>2291.5910512818768</v>
      </c>
      <c r="I1653" s="7">
        <f t="shared" si="396"/>
        <v>-8.7985565893435354</v>
      </c>
      <c r="J1653" s="7">
        <f t="shared" si="397"/>
        <v>-45.472396001719261</v>
      </c>
      <c r="K1653" s="8">
        <f t="shared" si="386"/>
        <v>339.37289701753633</v>
      </c>
      <c r="L1653" s="8">
        <f t="shared" si="387"/>
        <v>-14.253661674736524</v>
      </c>
      <c r="M1653" s="8">
        <f t="shared" si="384"/>
        <v>73.665281522785193</v>
      </c>
      <c r="N1653" s="8">
        <f t="shared" si="388"/>
        <v>25</v>
      </c>
      <c r="O1653" s="8">
        <f t="shared" si="389"/>
        <v>29.83730645566316</v>
      </c>
    </row>
    <row r="1654" spans="1:15" x14ac:dyDescent="0.3">
      <c r="A1654" s="5">
        <f t="shared" si="390"/>
        <v>16.459999999999773</v>
      </c>
      <c r="B1654" s="5">
        <f t="shared" si="385"/>
        <v>87.83095763162828</v>
      </c>
      <c r="C1654" s="6">
        <f t="shared" si="383"/>
        <v>3387.7655086485192</v>
      </c>
      <c r="D1654" s="6">
        <f t="shared" si="391"/>
        <v>11476955.141588561</v>
      </c>
      <c r="E1654" s="7">
        <f t="shared" si="392"/>
        <v>6248571.4285714282</v>
      </c>
      <c r="F1654" s="7">
        <f t="shared" si="393"/>
        <v>124.97142857142855</v>
      </c>
      <c r="G1654" s="7">
        <f t="shared" si="394"/>
        <v>5228383.7130171331</v>
      </c>
      <c r="H1654" s="6">
        <f t="shared" si="395"/>
        <v>2286.5659214239008</v>
      </c>
      <c r="I1654" s="7">
        <f t="shared" si="396"/>
        <v>-8.8116107802610095</v>
      </c>
      <c r="J1654" s="7">
        <f t="shared" si="397"/>
        <v>-45.405029733089783</v>
      </c>
      <c r="K1654" s="8">
        <f t="shared" si="386"/>
        <v>339.8764158100675</v>
      </c>
      <c r="L1654" s="8">
        <f t="shared" si="387"/>
        <v>-14.274809464022834</v>
      </c>
      <c r="M1654" s="8">
        <f t="shared" si="384"/>
        <v>73.556148167605443</v>
      </c>
      <c r="N1654" s="8">
        <f t="shared" si="388"/>
        <v>25.000000000000004</v>
      </c>
      <c r="O1654" s="8">
        <f t="shared" si="389"/>
        <v>29.851671077003715</v>
      </c>
    </row>
    <row r="1655" spans="1:15" x14ac:dyDescent="0.3">
      <c r="A1655" s="5">
        <f t="shared" si="390"/>
        <v>16.469999999999775</v>
      </c>
      <c r="B1655" s="5">
        <f t="shared" si="385"/>
        <v>87.742841523825675</v>
      </c>
      <c r="C1655" s="6">
        <f t="shared" si="383"/>
        <v>3384.3667444904186</v>
      </c>
      <c r="D1655" s="6">
        <f t="shared" si="391"/>
        <v>11453938.261212675</v>
      </c>
      <c r="E1655" s="7">
        <f t="shared" si="392"/>
        <v>6248571.4285714282</v>
      </c>
      <c r="F1655" s="7">
        <f t="shared" si="393"/>
        <v>124.97142857142855</v>
      </c>
      <c r="G1655" s="7">
        <f t="shared" si="394"/>
        <v>5205366.8326412467</v>
      </c>
      <c r="H1655" s="6">
        <f t="shared" si="395"/>
        <v>2281.527302628931</v>
      </c>
      <c r="I1655" s="7">
        <f t="shared" si="396"/>
        <v>-8.824732616632847</v>
      </c>
      <c r="J1655" s="7">
        <f t="shared" si="397"/>
        <v>-45.337515237580533</v>
      </c>
      <c r="K1655" s="8">
        <f t="shared" si="386"/>
        <v>340.38254378440979</v>
      </c>
      <c r="L1655" s="8">
        <f t="shared" si="387"/>
        <v>-14.29606683894521</v>
      </c>
      <c r="M1655" s="8">
        <f t="shared" si="384"/>
        <v>73.446774684880467</v>
      </c>
      <c r="N1655" s="8">
        <f t="shared" si="388"/>
        <v>25.000000000000007</v>
      </c>
      <c r="O1655" s="8">
        <f t="shared" si="389"/>
        <v>29.866131596752123</v>
      </c>
    </row>
    <row r="1656" spans="1:15" x14ac:dyDescent="0.3">
      <c r="A1656" s="5">
        <f t="shared" si="390"/>
        <v>16.479999999999777</v>
      </c>
      <c r="B1656" s="5">
        <f t="shared" si="385"/>
        <v>87.65459419765935</v>
      </c>
      <c r="C1656" s="6">
        <f t="shared" si="383"/>
        <v>3380.9629190525748</v>
      </c>
      <c r="D1656" s="6">
        <f t="shared" si="391"/>
        <v>11430910.260008506</v>
      </c>
      <c r="E1656" s="7">
        <f t="shared" si="392"/>
        <v>6248571.4285714282</v>
      </c>
      <c r="F1656" s="7">
        <f t="shared" si="393"/>
        <v>124.97142857142855</v>
      </c>
      <c r="G1656" s="7">
        <f t="shared" si="394"/>
        <v>5182338.8314370783</v>
      </c>
      <c r="H1656" s="6">
        <f t="shared" si="395"/>
        <v>2276.4750891316771</v>
      </c>
      <c r="I1656" s="7">
        <f t="shared" si="396"/>
        <v>-8.837922735992553</v>
      </c>
      <c r="J1656" s="7">
        <f t="shared" si="397"/>
        <v>-45.269851460093477</v>
      </c>
      <c r="K1656" s="8">
        <f t="shared" si="386"/>
        <v>340.89130553114131</v>
      </c>
      <c r="L1656" s="8">
        <f t="shared" si="387"/>
        <v>-14.317434832307933</v>
      </c>
      <c r="M1656" s="8">
        <f t="shared" si="384"/>
        <v>73.337159365351411</v>
      </c>
      <c r="N1656" s="8">
        <f t="shared" si="388"/>
        <v>25.000000000000011</v>
      </c>
      <c r="O1656" s="8">
        <f t="shared" si="389"/>
        <v>29.880689051842499</v>
      </c>
    </row>
    <row r="1657" spans="1:15" x14ac:dyDescent="0.3">
      <c r="A1657" s="5">
        <f t="shared" si="390"/>
        <v>16.489999999999778</v>
      </c>
      <c r="B1657" s="5">
        <f t="shared" si="385"/>
        <v>87.566214970299427</v>
      </c>
      <c r="C1657" s="6">
        <f t="shared" si="383"/>
        <v>3377.5540059972636</v>
      </c>
      <c r="D1657" s="6">
        <f t="shared" si="391"/>
        <v>11407871.063428164</v>
      </c>
      <c r="E1657" s="7">
        <f t="shared" si="392"/>
        <v>6248571.4285714282</v>
      </c>
      <c r="F1657" s="7">
        <f t="shared" si="393"/>
        <v>124.97142857142855</v>
      </c>
      <c r="G1657" s="7">
        <f t="shared" si="394"/>
        <v>5159299.6348567354</v>
      </c>
      <c r="H1657" s="6">
        <f t="shared" si="395"/>
        <v>2271.4091738074703</v>
      </c>
      <c r="I1657" s="7">
        <f t="shared" si="396"/>
        <v>-8.8511817847834422</v>
      </c>
      <c r="J1657" s="7">
        <f t="shared" si="397"/>
        <v>-45.20203733268535</v>
      </c>
      <c r="K1657" s="8">
        <f t="shared" si="386"/>
        <v>341.40272598450417</v>
      </c>
      <c r="L1657" s="8">
        <f t="shared" si="387"/>
        <v>-14.338914491349174</v>
      </c>
      <c r="M1657" s="8">
        <f t="shared" si="384"/>
        <v>73.227300478950255</v>
      </c>
      <c r="N1657" s="8">
        <f t="shared" si="388"/>
        <v>25.000000000000004</v>
      </c>
      <c r="O1657" s="8">
        <f t="shared" si="389"/>
        <v>29.895344495005325</v>
      </c>
    </row>
    <row r="1658" spans="1:15" x14ac:dyDescent="0.3">
      <c r="A1658" s="5">
        <f t="shared" si="390"/>
        <v>16.49999999999978</v>
      </c>
      <c r="B1658" s="5">
        <f t="shared" si="385"/>
        <v>87.477703152451596</v>
      </c>
      <c r="C1658" s="6">
        <f t="shared" si="383"/>
        <v>3374.1399787374185</v>
      </c>
      <c r="D1658" s="6">
        <f t="shared" si="391"/>
        <v>11384820.596114147</v>
      </c>
      <c r="E1658" s="7">
        <f t="shared" si="392"/>
        <v>6248571.4285714282</v>
      </c>
      <c r="F1658" s="7">
        <f t="shared" si="393"/>
        <v>124.97142857142855</v>
      </c>
      <c r="G1658" s="7">
        <f t="shared" si="394"/>
        <v>5136249.1675427193</v>
      </c>
      <c r="H1658" s="6">
        <f t="shared" si="395"/>
        <v>2266.3294481479784</v>
      </c>
      <c r="I1658" s="7">
        <f t="shared" si="396"/>
        <v>-8.8645104185254713</v>
      </c>
      <c r="J1658" s="7">
        <f t="shared" si="397"/>
        <v>-45.134071774345891</v>
      </c>
      <c r="K1658" s="8">
        <f t="shared" si="386"/>
        <v>341.9168304288396</v>
      </c>
      <c r="L1658" s="8">
        <f t="shared" si="387"/>
        <v>-14.360506878011261</v>
      </c>
      <c r="M1658" s="8">
        <f t="shared" si="384"/>
        <v>73.117196274440332</v>
      </c>
      <c r="N1658" s="8">
        <f t="shared" si="388"/>
        <v>24.999999999999996</v>
      </c>
      <c r="O1658" s="8">
        <f t="shared" si="389"/>
        <v>29.91009899508116</v>
      </c>
    </row>
    <row r="1659" spans="1:15" x14ac:dyDescent="0.3">
      <c r="A1659" s="5">
        <f t="shared" si="390"/>
        <v>16.509999999999781</v>
      </c>
      <c r="B1659" s="5">
        <f t="shared" si="385"/>
        <v>87.389058048266335</v>
      </c>
      <c r="C1659" s="6">
        <f t="shared" si="383"/>
        <v>3370.7208104331298</v>
      </c>
      <c r="D1659" s="6">
        <f t="shared" si="391"/>
        <v>11361758.781886976</v>
      </c>
      <c r="E1659" s="7">
        <f t="shared" si="392"/>
        <v>6248571.4285714282</v>
      </c>
      <c r="F1659" s="7">
        <f t="shared" si="393"/>
        <v>124.97142857142855</v>
      </c>
      <c r="G1659" s="7">
        <f t="shared" si="394"/>
        <v>5113187.353315548</v>
      </c>
      <c r="H1659" s="6">
        <f t="shared" si="395"/>
        <v>2261.2358022363674</v>
      </c>
      <c r="I1659" s="7">
        <f t="shared" si="396"/>
        <v>-8.8779093019859836</v>
      </c>
      <c r="J1659" s="7">
        <f t="shared" si="397"/>
        <v>-45.065953690771018</v>
      </c>
      <c r="K1659" s="8">
        <f t="shared" si="386"/>
        <v>342.43364450517362</v>
      </c>
      <c r="L1659" s="8">
        <f t="shared" si="387"/>
        <v>-14.38221306921729</v>
      </c>
      <c r="M1659" s="8">
        <f t="shared" si="384"/>
        <v>73.006844979049049</v>
      </c>
      <c r="N1659" s="8">
        <f t="shared" si="388"/>
        <v>25</v>
      </c>
      <c r="O1659" s="8">
        <f t="shared" si="389"/>
        <v>29.924953637342018</v>
      </c>
    </row>
    <row r="1660" spans="1:15" x14ac:dyDescent="0.3">
      <c r="A1660" s="5">
        <f t="shared" si="390"/>
        <v>16.519999999999783</v>
      </c>
      <c r="B1660" s="5">
        <f t="shared" si="385"/>
        <v>87.300278955246469</v>
      </c>
      <c r="C1660" s="6">
        <f t="shared" si="383"/>
        <v>3367.2964739880781</v>
      </c>
      <c r="D1660" s="6">
        <f t="shared" si="391"/>
        <v>11338685.543732544</v>
      </c>
      <c r="E1660" s="7">
        <f t="shared" si="392"/>
        <v>6248571.4285714282</v>
      </c>
      <c r="F1660" s="7">
        <f t="shared" si="393"/>
        <v>124.97142857142855</v>
      </c>
      <c r="G1660" s="7">
        <f t="shared" si="394"/>
        <v>5090114.1151611162</v>
      </c>
      <c r="H1660" s="6">
        <f t="shared" si="395"/>
        <v>2256.1281247218908</v>
      </c>
      <c r="I1660" s="7">
        <f t="shared" si="396"/>
        <v>-8.8913791093544958</v>
      </c>
      <c r="J1660" s="7">
        <f t="shared" si="397"/>
        <v>-44.997681974130991</v>
      </c>
      <c r="K1660" s="8">
        <f t="shared" si="386"/>
        <v>342.95319421795909</v>
      </c>
      <c r="L1660" s="8">
        <f t="shared" si="387"/>
        <v>-14.40403415715428</v>
      </c>
      <c r="M1660" s="8">
        <f t="shared" si="384"/>
        <v>72.896244798092184</v>
      </c>
      <c r="N1660" s="8">
        <f t="shared" si="388"/>
        <v>25</v>
      </c>
      <c r="O1660" s="8">
        <f t="shared" si="389"/>
        <v>29.939909523820649</v>
      </c>
    </row>
    <row r="1661" spans="1:15" x14ac:dyDescent="0.3">
      <c r="A1661" s="5">
        <f t="shared" si="390"/>
        <v>16.529999999999784</v>
      </c>
      <c r="B1661" s="5">
        <f t="shared" si="385"/>
        <v>87.211365164152923</v>
      </c>
      <c r="C1661" s="6">
        <f t="shared" si="383"/>
        <v>3363.8669420458982</v>
      </c>
      <c r="D1661" s="6">
        <f t="shared" si="391"/>
        <v>11315600.803789223</v>
      </c>
      <c r="E1661" s="7">
        <f t="shared" si="392"/>
        <v>6248571.4285714282</v>
      </c>
      <c r="F1661" s="7">
        <f t="shared" si="393"/>
        <v>124.97142857142855</v>
      </c>
      <c r="G1661" s="7">
        <f t="shared" si="394"/>
        <v>5067029.3752177944</v>
      </c>
      <c r="H1661" s="6">
        <f t="shared" si="395"/>
        <v>2251.006302793885</v>
      </c>
      <c r="I1661" s="7">
        <f t="shared" si="396"/>
        <v>-8.9049205244216907</v>
      </c>
      <c r="J1661" s="7">
        <f t="shared" si="397"/>
        <v>-44.929255502833207</v>
      </c>
      <c r="K1661" s="8">
        <f t="shared" si="386"/>
        <v>343.47550594197946</v>
      </c>
      <c r="L1661" s="8">
        <f t="shared" si="387"/>
        <v>-14.425971249563135</v>
      </c>
      <c r="M1661" s="8">
        <f t="shared" si="384"/>
        <v>72.78539391458979</v>
      </c>
      <c r="N1661" s="8">
        <f t="shared" si="388"/>
        <v>25</v>
      </c>
      <c r="O1661" s="8">
        <f t="shared" si="389"/>
        <v>29.95496777364815</v>
      </c>
    </row>
    <row r="1662" spans="1:15" x14ac:dyDescent="0.3">
      <c r="A1662" s="5">
        <f>A1661+$B$5</f>
        <v>16.539999999999786</v>
      </c>
      <c r="B1662" s="5">
        <f t="shared" si="385"/>
        <v>87.1223159589087</v>
      </c>
      <c r="C1662" s="6">
        <f t="shared" si="383"/>
        <v>3360.4321869864784</v>
      </c>
      <c r="D1662" s="6">
        <f>POWER(C1662,2)</f>
        <v>11292504.483334726</v>
      </c>
      <c r="E1662" s="7">
        <f>4*$B$2*$B$3*POWER($B$1,2)</f>
        <v>6248571.4285714282</v>
      </c>
      <c r="F1662" s="7">
        <f>POWER($B$1,2)*2*$B$2</f>
        <v>124.97142857142855</v>
      </c>
      <c r="G1662" s="7">
        <f>D1662-E1662</f>
        <v>5043933.0547632976</v>
      </c>
      <c r="H1662" s="6">
        <f>SQRT(G1662)</f>
        <v>2245.8702221551666</v>
      </c>
      <c r="I1662" s="7">
        <f>(-C1662+H1662)/F1662</f>
        <v>-8.9185342407626713</v>
      </c>
      <c r="J1662" s="7">
        <f>(-C1662-H1662)/F1662</f>
        <v>-44.860673141279747</v>
      </c>
      <c r="K1662" s="8">
        <f t="shared" si="386"/>
        <v>344.0006064294173</v>
      </c>
      <c r="L1662" s="8">
        <f t="shared" si="387"/>
        <v>-14.448025470035525</v>
      </c>
      <c r="M1662" s="8">
        <f t="shared" si="384"/>
        <v>72.674290488873169</v>
      </c>
      <c r="N1662" s="8">
        <f t="shared" si="388"/>
        <v>25.000000000000004</v>
      </c>
      <c r="O1662" s="8">
        <f t="shared" si="389"/>
        <v>29.970129523399894</v>
      </c>
    </row>
    <row r="1663" spans="1:15" x14ac:dyDescent="0.3">
      <c r="A1663" s="5">
        <f t="shared" ref="A1663:A1726" si="398">A1662+$B$5</f>
        <v>16.549999999999788</v>
      </c>
      <c r="B1663" s="5">
        <f t="shared" si="385"/>
        <v>87.033130616501069</v>
      </c>
      <c r="C1663" s="6">
        <f t="shared" si="383"/>
        <v>3356.9921809221837</v>
      </c>
      <c r="D1663" s="6">
        <f t="shared" ref="D1663:D1726" si="399">POWER(C1663,2)</f>
        <v>11269396.50277268</v>
      </c>
      <c r="E1663" s="7">
        <f t="shared" ref="E1663:E1726" si="400">4*$B$2*$B$3*POWER($B$1,2)</f>
        <v>6248571.4285714282</v>
      </c>
      <c r="F1663" s="7">
        <f t="shared" ref="F1663:F1726" si="401">POWER($B$1,2)*2*$B$2</f>
        <v>124.97142857142855</v>
      </c>
      <c r="G1663" s="7">
        <f t="shared" ref="G1663:G1726" si="402">D1663-E1663</f>
        <v>5020825.0742012514</v>
      </c>
      <c r="H1663" s="6">
        <f t="shared" ref="H1663:H1726" si="403">SQRT(G1663)</f>
        <v>2240.7197669948046</v>
      </c>
      <c r="I1663" s="7">
        <f t="shared" ref="I1663:I1726" si="404">(-C1663+H1663)/F1663</f>
        <v>-8.9322209619246173</v>
      </c>
      <c r="J1663" s="7">
        <f t="shared" ref="J1663:J1726" si="405">(-C1663-H1663)/F1663</f>
        <v>-44.79193373961926</v>
      </c>
      <c r="K1663" s="8">
        <f t="shared" si="386"/>
        <v>344.52852281709238</v>
      </c>
      <c r="L1663" s="8">
        <f t="shared" si="387"/>
        <v>-14.470197958317879</v>
      </c>
      <c r="M1663" s="8">
        <f t="shared" si="384"/>
        <v>72.562932658183186</v>
      </c>
      <c r="N1663" s="8">
        <f t="shared" si="388"/>
        <v>25.000000000000004</v>
      </c>
      <c r="O1663" s="8">
        <f t="shared" si="389"/>
        <v>29.985395927450167</v>
      </c>
    </row>
    <row r="1664" spans="1:15" x14ac:dyDescent="0.3">
      <c r="A1664" s="5">
        <f t="shared" si="398"/>
        <v>16.559999999999789</v>
      </c>
      <c r="B1664" s="5">
        <f t="shared" si="385"/>
        <v>86.943808406881828</v>
      </c>
      <c r="C1664" s="6">
        <f t="shared" si="383"/>
        <v>3353.5468956940131</v>
      </c>
      <c r="D1664" s="6">
        <f t="shared" si="399"/>
        <v>11246276.781618951</v>
      </c>
      <c r="E1664" s="7">
        <f t="shared" si="400"/>
        <v>6248571.4285714282</v>
      </c>
      <c r="F1664" s="7">
        <f t="shared" si="401"/>
        <v>124.97142857142855</v>
      </c>
      <c r="G1664" s="7">
        <f t="shared" si="402"/>
        <v>4997705.3530475227</v>
      </c>
      <c r="H1664" s="6">
        <f t="shared" si="403"/>
        <v>2235.554819960254</v>
      </c>
      <c r="I1664" s="7">
        <f t="shared" si="404"/>
        <v>-8.9459814016190151</v>
      </c>
      <c r="J1664" s="7">
        <f t="shared" si="405"/>
        <v>-44.723036133493231</v>
      </c>
      <c r="K1664" s="8">
        <f t="shared" si="386"/>
        <v>345.05928263387631</v>
      </c>
      <c r="L1664" s="8">
        <f t="shared" si="387"/>
        <v>-14.492489870622803</v>
      </c>
      <c r="M1664" s="8">
        <f t="shared" si="384"/>
        <v>72.451318536259024</v>
      </c>
      <c r="N1664" s="8">
        <f t="shared" si="388"/>
        <v>25.000000000000004</v>
      </c>
      <c r="O1664" s="8">
        <f t="shared" si="389"/>
        <v>30.000768158335827</v>
      </c>
    </row>
    <row r="1665" spans="1:15" x14ac:dyDescent="0.3">
      <c r="A1665" s="5">
        <f t="shared" si="398"/>
        <v>16.569999999999791</v>
      </c>
      <c r="B1665" s="5">
        <f t="shared" si="385"/>
        <v>86.854348592865634</v>
      </c>
      <c r="C1665" s="6">
        <f t="shared" si="383"/>
        <v>3350.0963028676742</v>
      </c>
      <c r="D1665" s="6">
        <f t="shared" si="399"/>
        <v>11223145.238487659</v>
      </c>
      <c r="E1665" s="7">
        <f t="shared" si="400"/>
        <v>6248571.4285714282</v>
      </c>
      <c r="F1665" s="7">
        <f t="shared" si="401"/>
        <v>124.97142857142855</v>
      </c>
      <c r="G1665" s="7">
        <f t="shared" si="402"/>
        <v>4974573.8099162308</v>
      </c>
      <c r="H1665" s="6">
        <f t="shared" si="403"/>
        <v>2230.3752621288263</v>
      </c>
      <c r="I1665" s="7">
        <f t="shared" si="404"/>
        <v>-8.9598162839185385</v>
      </c>
      <c r="J1665" s="7">
        <f t="shared" si="405"/>
        <v>-44.653979143776304</v>
      </c>
      <c r="K1665" s="8">
        <f t="shared" si="386"/>
        <v>345.59291380828648</v>
      </c>
      <c r="L1665" s="8">
        <f t="shared" si="387"/>
        <v>-14.514902379948031</v>
      </c>
      <c r="M1665" s="8">
        <f t="shared" si="384"/>
        <v>72.339446212917608</v>
      </c>
      <c r="N1665" s="8">
        <f t="shared" si="388"/>
        <v>25.000000000000011</v>
      </c>
      <c r="O1665" s="8">
        <f t="shared" si="389"/>
        <v>30.016247407129082</v>
      </c>
    </row>
    <row r="1666" spans="1:15" x14ac:dyDescent="0.3">
      <c r="A1666" s="5">
        <f t="shared" si="398"/>
        <v>16.579999999999792</v>
      </c>
      <c r="B1666" s="5">
        <f t="shared" si="385"/>
        <v>86.764750430026453</v>
      </c>
      <c r="C1666" s="6">
        <f t="shared" si="383"/>
        <v>3346.6403737295914</v>
      </c>
      <c r="D1666" s="6">
        <f t="shared" si="399"/>
        <v>11200001.79107694</v>
      </c>
      <c r="E1666" s="7">
        <f t="shared" si="400"/>
        <v>6248571.4285714282</v>
      </c>
      <c r="F1666" s="7">
        <f t="shared" si="401"/>
        <v>124.97142857142855</v>
      </c>
      <c r="G1666" s="7">
        <f t="shared" si="402"/>
        <v>4951430.3625055114</v>
      </c>
      <c r="H1666" s="6">
        <f t="shared" si="403"/>
        <v>2225.1809729784927</v>
      </c>
      <c r="I1666" s="7">
        <f t="shared" si="404"/>
        <v>-8.9737263434587238</v>
      </c>
      <c r="J1666" s="7">
        <f t="shared" si="405"/>
        <v>-44.584761576310697</v>
      </c>
      <c r="K1666" s="8">
        <f t="shared" si="386"/>
        <v>346.12944467626505</v>
      </c>
      <c r="L1666" s="8">
        <f t="shared" si="387"/>
        <v>-14.53743667640313</v>
      </c>
      <c r="M1666" s="8">
        <f t="shared" si="384"/>
        <v>72.227313753623321</v>
      </c>
      <c r="N1666" s="8">
        <f t="shared" si="388"/>
        <v>25</v>
      </c>
      <c r="O1666" s="8">
        <f t="shared" si="389"/>
        <v>30.031834883819787</v>
      </c>
    </row>
    <row r="1667" spans="1:15" x14ac:dyDescent="0.3">
      <c r="A1667" s="5">
        <f t="shared" si="398"/>
        <v>16.589999999999794</v>
      </c>
      <c r="B1667" s="5">
        <f t="shared" si="385"/>
        <v>86.675013166591867</v>
      </c>
      <c r="C1667" s="6">
        <f t="shared" si="383"/>
        <v>3343.1790792828292</v>
      </c>
      <c r="D1667" s="6">
        <f t="shared" si="399"/>
        <v>11176846.356154386</v>
      </c>
      <c r="E1667" s="7">
        <f t="shared" si="400"/>
        <v>6248571.4285714282</v>
      </c>
      <c r="F1667" s="7">
        <f t="shared" si="401"/>
        <v>124.97142857142855</v>
      </c>
      <c r="G1667" s="7">
        <f t="shared" si="402"/>
        <v>4928274.9275829578</v>
      </c>
      <c r="H1667" s="6">
        <f t="shared" si="403"/>
        <v>2219.9718303579793</v>
      </c>
      <c r="I1667" s="7">
        <f t="shared" si="404"/>
        <v>-8.9877123256446616</v>
      </c>
      <c r="J1667" s="7">
        <f t="shared" si="405"/>
        <v>-44.515382221634276</v>
      </c>
      <c r="K1667" s="8">
        <f t="shared" si="386"/>
        <v>346.6689039891512</v>
      </c>
      <c r="L1667" s="8">
        <f t="shared" si="387"/>
        <v>-14.560093967544349</v>
      </c>
      <c r="M1667" s="8">
        <f t="shared" si="384"/>
        <v>72.11491919904752</v>
      </c>
      <c r="N1667" s="8">
        <f t="shared" si="388"/>
        <v>25</v>
      </c>
      <c r="O1667" s="8">
        <f t="shared" si="389"/>
        <v>30.04753181770765</v>
      </c>
    </row>
    <row r="1668" spans="1:15" x14ac:dyDescent="0.3">
      <c r="A1668" s="5">
        <f t="shared" si="398"/>
        <v>16.599999999999795</v>
      </c>
      <c r="B1668" s="5">
        <f t="shared" si="385"/>
        <v>86.585136043335424</v>
      </c>
      <c r="C1668" s="6">
        <f t="shared" si="383"/>
        <v>3339.7123902429375</v>
      </c>
      <c r="D1668" s="6">
        <f t="shared" si="399"/>
        <v>11153678.849542195</v>
      </c>
      <c r="E1668" s="7">
        <f t="shared" si="400"/>
        <v>6248571.4285714282</v>
      </c>
      <c r="F1668" s="7">
        <f t="shared" si="401"/>
        <v>124.97142857142855</v>
      </c>
      <c r="G1668" s="7">
        <f t="shared" si="402"/>
        <v>4905107.4209707668</v>
      </c>
      <c r="H1668" s="6">
        <f t="shared" si="403"/>
        <v>2214.7477104561517</v>
      </c>
      <c r="I1668" s="7">
        <f t="shared" si="404"/>
        <v>-9.0017749868627135</v>
      </c>
      <c r="J1668" s="7">
        <f t="shared" si="405"/>
        <v>-44.445839854702363</v>
      </c>
      <c r="K1668" s="8">
        <f t="shared" si="386"/>
        <v>347.21132092184752</v>
      </c>
      <c r="L1668" s="8">
        <f t="shared" si="387"/>
        <v>-14.582875478717595</v>
      </c>
      <c r="M1668" s="8">
        <f t="shared" si="384"/>
        <v>72.002260564617828</v>
      </c>
      <c r="N1668" s="8">
        <f t="shared" si="388"/>
        <v>25.000000000000007</v>
      </c>
      <c r="O1668" s="8">
        <f t="shared" si="389"/>
        <v>30.063339457804364</v>
      </c>
    </row>
    <row r="1669" spans="1:15" x14ac:dyDescent="0.3">
      <c r="A1669" s="5">
        <f t="shared" si="398"/>
        <v>16.609999999999797</v>
      </c>
      <c r="B1669" s="5">
        <f t="shared" si="385"/>
        <v>86.495118293466803</v>
      </c>
      <c r="C1669" s="6">
        <f t="shared" si="383"/>
        <v>3336.2402770337194</v>
      </c>
      <c r="D1669" s="6">
        <f t="shared" si="399"/>
        <v>11130499.186102029</v>
      </c>
      <c r="E1669" s="7">
        <f t="shared" si="400"/>
        <v>6248571.4285714282</v>
      </c>
      <c r="F1669" s="7">
        <f t="shared" si="401"/>
        <v>124.97142857142855</v>
      </c>
      <c r="G1669" s="7">
        <f t="shared" si="402"/>
        <v>4881927.7575306008</v>
      </c>
      <c r="H1669" s="6">
        <f t="shared" si="403"/>
        <v>2209.5084877706627</v>
      </c>
      <c r="I1669" s="7">
        <f t="shared" si="404"/>
        <v>-9.0159150946975295</v>
      </c>
      <c r="J1669" s="7">
        <f t="shared" si="405"/>
        <v>-44.376133234602975</v>
      </c>
      <c r="K1669" s="8">
        <f t="shared" si="386"/>
        <v>347.75672508119038</v>
      </c>
      <c r="L1669" s="8">
        <f t="shared" si="387"/>
        <v>-14.605782453409995</v>
      </c>
      <c r="M1669" s="8">
        <f t="shared" si="384"/>
        <v>71.889335840056802</v>
      </c>
      <c r="N1669" s="8">
        <f t="shared" si="388"/>
        <v>25</v>
      </c>
      <c r="O1669" s="8">
        <f t="shared" si="389"/>
        <v>30.079259073246178</v>
      </c>
    </row>
    <row r="1670" spans="1:15" x14ac:dyDescent="0.3">
      <c r="A1670" s="5">
        <f t="shared" si="398"/>
        <v>16.619999999999798</v>
      </c>
      <c r="B1670" s="5">
        <f t="shared" si="385"/>
        <v>86.404959142519829</v>
      </c>
      <c r="C1670" s="6">
        <f t="shared" si="383"/>
        <v>3332.7627097829077</v>
      </c>
      <c r="D1670" s="6">
        <f t="shared" si="399"/>
        <v>11107307.279719509</v>
      </c>
      <c r="E1670" s="7">
        <f t="shared" si="400"/>
        <v>6248571.4285714282</v>
      </c>
      <c r="F1670" s="7">
        <f t="shared" si="401"/>
        <v>124.97142857142855</v>
      </c>
      <c r="G1670" s="7">
        <f t="shared" si="402"/>
        <v>4858735.851148081</v>
      </c>
      <c r="H1670" s="6">
        <f t="shared" si="403"/>
        <v>2204.2540350758304</v>
      </c>
      <c r="I1670" s="7">
        <f t="shared" si="404"/>
        <v>-9.0301334281544836</v>
      </c>
      <c r="J1670" s="7">
        <f t="shared" si="405"/>
        <v>-44.306261104265175</v>
      </c>
      <c r="K1670" s="8">
        <f t="shared" si="386"/>
        <v>348.30514651453007</v>
      </c>
      <c r="L1670" s="8">
        <f t="shared" si="387"/>
        <v>-14.628816153610261</v>
      </c>
      <c r="M1670" s="8">
        <f t="shared" si="384"/>
        <v>71.776142988909569</v>
      </c>
      <c r="N1670" s="8">
        <f t="shared" si="388"/>
        <v>25.000000000000007</v>
      </c>
      <c r="O1670" s="8">
        <f t="shared" si="389"/>
        <v>30.095291953717354</v>
      </c>
    </row>
    <row r="1671" spans="1:15" x14ac:dyDescent="0.3">
      <c r="A1671" s="5">
        <f t="shared" si="398"/>
        <v>16.6299999999998</v>
      </c>
      <c r="B1671" s="5">
        <f t="shared" si="385"/>
        <v>86.31465780823828</v>
      </c>
      <c r="C1671" s="6">
        <f t="shared" si="383"/>
        <v>3329.2796583177619</v>
      </c>
      <c r="D1671" s="6">
        <f t="shared" si="399"/>
        <v>11084103.043288434</v>
      </c>
      <c r="E1671" s="7">
        <f t="shared" si="400"/>
        <v>6248571.4285714282</v>
      </c>
      <c r="F1671" s="7">
        <f t="shared" si="401"/>
        <v>124.97142857142855</v>
      </c>
      <c r="G1671" s="7">
        <f t="shared" si="402"/>
        <v>4835531.6147170058</v>
      </c>
      <c r="H1671" s="6">
        <f t="shared" si="403"/>
        <v>2198.9842233897461</v>
      </c>
      <c r="I1671" s="7">
        <f t="shared" si="404"/>
        <v>-9.0444307778876443</v>
      </c>
      <c r="J1671" s="7">
        <f t="shared" si="405"/>
        <v>-44.236222190160674</v>
      </c>
      <c r="K1671" s="8">
        <f t="shared" si="386"/>
        <v>348.85661571852341</v>
      </c>
      <c r="L1671" s="8">
        <f t="shared" si="387"/>
        <v>-14.651977860177983</v>
      </c>
      <c r="M1671" s="8">
        <f t="shared" si="384"/>
        <v>71.662679948060301</v>
      </c>
      <c r="N1671" s="8">
        <f t="shared" si="388"/>
        <v>25.000000000000007</v>
      </c>
      <c r="O1671" s="8">
        <f t="shared" si="389"/>
        <v>30.111439409884429</v>
      </c>
    </row>
    <row r="1672" spans="1:15" x14ac:dyDescent="0.3">
      <c r="A1672" s="5">
        <f t="shared" si="398"/>
        <v>16.639999999999802</v>
      </c>
      <c r="B1672" s="5">
        <f t="shared" si="385"/>
        <v>86.224213500459399</v>
      </c>
      <c r="C1672" s="6">
        <f t="shared" ref="C1672:C1735" si="406">$B$1*B1672</f>
        <v>3325.7910921605767</v>
      </c>
      <c r="D1672" s="6">
        <f t="shared" si="399"/>
        <v>11060886.388694642</v>
      </c>
      <c r="E1672" s="7">
        <f t="shared" si="400"/>
        <v>6248571.4285714282</v>
      </c>
      <c r="F1672" s="7">
        <f t="shared" si="401"/>
        <v>124.97142857142855</v>
      </c>
      <c r="G1672" s="7">
        <f t="shared" si="402"/>
        <v>4812314.9601232139</v>
      </c>
      <c r="H1672" s="6">
        <f t="shared" si="403"/>
        <v>2193.6989219405687</v>
      </c>
      <c r="I1672" s="7">
        <f t="shared" si="404"/>
        <v>-9.0588079464335358</v>
      </c>
      <c r="J1672" s="7">
        <f t="shared" si="405"/>
        <v>-44.166015201998206</v>
      </c>
      <c r="K1672" s="8">
        <f t="shared" si="386"/>
        <v>349.41116364815065</v>
      </c>
      <c r="L1672" s="8">
        <f t="shared" si="387"/>
        <v>-14.675268873222326</v>
      </c>
      <c r="M1672" s="8">
        <f t="shared" ref="M1672:M1735" si="407">B1672+L1672</f>
        <v>71.548944627237077</v>
      </c>
      <c r="N1672" s="8">
        <f t="shared" si="388"/>
        <v>25.000000000000004</v>
      </c>
      <c r="O1672" s="8">
        <f t="shared" si="389"/>
        <v>30.127702773842099</v>
      </c>
    </row>
    <row r="1673" spans="1:15" x14ac:dyDescent="0.3">
      <c r="A1673" s="5">
        <f t="shared" si="398"/>
        <v>16.649999999999803</v>
      </c>
      <c r="B1673" s="5">
        <f t="shared" ref="B1673:B1736" si="408">I1672*$B$5+B1672</f>
        <v>86.13362542099506</v>
      </c>
      <c r="C1673" s="6">
        <f t="shared" si="406"/>
        <v>3322.296980524095</v>
      </c>
      <c r="D1673" s="6">
        <f t="shared" si="399"/>
        <v>11037657.22679952</v>
      </c>
      <c r="E1673" s="7">
        <f t="shared" si="400"/>
        <v>6248571.4285714282</v>
      </c>
      <c r="F1673" s="7">
        <f t="shared" si="401"/>
        <v>124.97142857142855</v>
      </c>
      <c r="G1673" s="7">
        <f t="shared" si="402"/>
        <v>4789085.7982280916</v>
      </c>
      <c r="H1673" s="6">
        <f t="shared" si="403"/>
        <v>2188.3979981319876</v>
      </c>
      <c r="I1673" s="7">
        <f t="shared" si="404"/>
        <v>-9.0732657484507921</v>
      </c>
      <c r="J1673" s="7">
        <f t="shared" si="405"/>
        <v>-44.095638832410366</v>
      </c>
      <c r="K1673" s="8">
        <f t="shared" ref="K1673:K1736" si="409">-$B$1*I1673</f>
        <v>349.96882172595912</v>
      </c>
      <c r="L1673" s="8">
        <f t="shared" ref="L1673:L1736" si="410">-$B$2*K1673</f>
        <v>-14.698690512490282</v>
      </c>
      <c r="M1673" s="8">
        <f t="shared" si="407"/>
        <v>71.434934908504772</v>
      </c>
      <c r="N1673" s="8">
        <f t="shared" ref="N1673:N1736" si="411">K1673*M1673/1000</f>
        <v>25</v>
      </c>
      <c r="O1673" s="8">
        <f t="shared" ref="O1673:O1736" si="412">B1673*K1673/1000</f>
        <v>30.144083399570761</v>
      </c>
    </row>
    <row r="1674" spans="1:15" x14ac:dyDescent="0.3">
      <c r="A1674" s="5">
        <f t="shared" si="398"/>
        <v>16.659999999999805</v>
      </c>
      <c r="B1674" s="5">
        <f t="shared" si="408"/>
        <v>86.042892763510551</v>
      </c>
      <c r="C1674" s="6">
        <f t="shared" si="406"/>
        <v>3318.7972923068355</v>
      </c>
      <c r="D1674" s="6">
        <f t="shared" si="399"/>
        <v>11014415.467423184</v>
      </c>
      <c r="E1674" s="7">
        <f t="shared" si="400"/>
        <v>6248571.4285714282</v>
      </c>
      <c r="F1674" s="7">
        <f t="shared" si="401"/>
        <v>124.97142857142855</v>
      </c>
      <c r="G1674" s="7">
        <f t="shared" si="402"/>
        <v>4765844.0388517557</v>
      </c>
      <c r="H1674" s="6">
        <f t="shared" si="403"/>
        <v>2183.0813175078374</v>
      </c>
      <c r="I1674" s="7">
        <f t="shared" si="404"/>
        <v>-9.087805010965921</v>
      </c>
      <c r="J1674" s="7">
        <f t="shared" si="405"/>
        <v>-44.025091756633195</v>
      </c>
      <c r="K1674" s="8">
        <f t="shared" si="409"/>
        <v>350.52962185154263</v>
      </c>
      <c r="L1674" s="8">
        <f t="shared" si="410"/>
        <v>-14.722244117764788</v>
      </c>
      <c r="M1674" s="8">
        <f t="shared" si="407"/>
        <v>71.320648645745763</v>
      </c>
      <c r="N1674" s="8">
        <f t="shared" si="411"/>
        <v>25</v>
      </c>
      <c r="O1674" s="8">
        <f t="shared" si="412"/>
        <v>30.160582663406188</v>
      </c>
    </row>
    <row r="1675" spans="1:15" x14ac:dyDescent="0.3">
      <c r="A1675" s="5">
        <f t="shared" si="398"/>
        <v>16.669999999999806</v>
      </c>
      <c r="B1675" s="5">
        <f t="shared" si="408"/>
        <v>85.952014713400885</v>
      </c>
      <c r="C1675" s="6">
        <f t="shared" si="406"/>
        <v>3315.2919960883196</v>
      </c>
      <c r="D1675" s="6">
        <f t="shared" si="399"/>
        <v>10991161.019327274</v>
      </c>
      <c r="E1675" s="7">
        <f t="shared" si="400"/>
        <v>6248571.4285714282</v>
      </c>
      <c r="F1675" s="7">
        <f t="shared" si="401"/>
        <v>124.97142857142855</v>
      </c>
      <c r="G1675" s="7">
        <f t="shared" si="402"/>
        <v>4742589.5907558454</v>
      </c>
      <c r="H1675" s="6">
        <f t="shared" si="403"/>
        <v>2177.7487437158229</v>
      </c>
      <c r="I1675" s="7">
        <f t="shared" si="404"/>
        <v>-9.102426573625376</v>
      </c>
      <c r="J1675" s="7">
        <f t="shared" si="405"/>
        <v>-43.954372632177645</v>
      </c>
      <c r="K1675" s="8">
        <f t="shared" si="409"/>
        <v>351.09359641126446</v>
      </c>
      <c r="L1675" s="8">
        <f t="shared" si="410"/>
        <v>-14.745931049273105</v>
      </c>
      <c r="M1675" s="8">
        <f t="shared" si="407"/>
        <v>71.206083664127775</v>
      </c>
      <c r="N1675" s="8">
        <f t="shared" si="411"/>
        <v>25.000000000000007</v>
      </c>
      <c r="O1675" s="8">
        <f t="shared" si="412"/>
        <v>30.177201964521835</v>
      </c>
    </row>
    <row r="1676" spans="1:15" x14ac:dyDescent="0.3">
      <c r="A1676" s="5">
        <f t="shared" si="398"/>
        <v>16.679999999999808</v>
      </c>
      <c r="B1676" s="5">
        <f t="shared" si="408"/>
        <v>85.860990447664634</v>
      </c>
      <c r="C1676" s="6">
        <f t="shared" si="406"/>
        <v>3311.7810601242072</v>
      </c>
      <c r="D1676" s="6">
        <f t="shared" si="399"/>
        <v>10967893.790197417</v>
      </c>
      <c r="E1676" s="7">
        <f t="shared" si="400"/>
        <v>6248571.4285714282</v>
      </c>
      <c r="F1676" s="7">
        <f t="shared" si="401"/>
        <v>124.97142857142855</v>
      </c>
      <c r="G1676" s="7">
        <f t="shared" si="402"/>
        <v>4719322.361625989</v>
      </c>
      <c r="H1676" s="6">
        <f t="shared" si="403"/>
        <v>2172.4001384703483</v>
      </c>
      <c r="I1676" s="7">
        <f t="shared" si="404"/>
        <v>-9.117131288954063</v>
      </c>
      <c r="J1676" s="7">
        <f t="shared" si="405"/>
        <v>-43.883480098493251</v>
      </c>
      <c r="K1676" s="8">
        <f t="shared" si="409"/>
        <v>351.66077828822813</v>
      </c>
      <c r="L1676" s="8">
        <f t="shared" si="410"/>
        <v>-14.76975268810558</v>
      </c>
      <c r="M1676" s="8">
        <f t="shared" si="407"/>
        <v>71.09123775955905</v>
      </c>
      <c r="N1676" s="8">
        <f t="shared" si="411"/>
        <v>25.000000000000007</v>
      </c>
      <c r="O1676" s="8">
        <f t="shared" si="412"/>
        <v>30.193942725423867</v>
      </c>
    </row>
    <row r="1677" spans="1:15" x14ac:dyDescent="0.3">
      <c r="A1677" s="5">
        <f t="shared" si="398"/>
        <v>16.689999999999809</v>
      </c>
      <c r="B1677" s="5">
        <f t="shared" si="408"/>
        <v>85.769819134775091</v>
      </c>
      <c r="C1677" s="6">
        <f t="shared" si="406"/>
        <v>3308.2644523413246</v>
      </c>
      <c r="D1677" s="6">
        <f t="shared" si="399"/>
        <v>10944613.686625244</v>
      </c>
      <c r="E1677" s="7">
        <f t="shared" si="400"/>
        <v>6248571.4285714282</v>
      </c>
      <c r="F1677" s="7">
        <f t="shared" si="401"/>
        <v>124.97142857142855</v>
      </c>
      <c r="G1677" s="7">
        <f t="shared" si="402"/>
        <v>4696042.2580538159</v>
      </c>
      <c r="H1677" s="6">
        <f t="shared" si="403"/>
        <v>2167.0353615143931</v>
      </c>
      <c r="I1677" s="7">
        <f t="shared" si="404"/>
        <v>-9.1319200226206245</v>
      </c>
      <c r="J1677" s="7">
        <f t="shared" si="405"/>
        <v>-43.812412776623262</v>
      </c>
      <c r="K1677" s="8">
        <f t="shared" si="409"/>
        <v>352.23120087250976</v>
      </c>
      <c r="L1677" s="8">
        <f t="shared" si="410"/>
        <v>-14.793710436645409</v>
      </c>
      <c r="M1677" s="8">
        <f t="shared" si="407"/>
        <v>70.976108698129678</v>
      </c>
      <c r="N1677" s="8">
        <f t="shared" si="411"/>
        <v>25.000000000000004</v>
      </c>
      <c r="O1677" s="8">
        <f t="shared" si="412"/>
        <v>30.210806392459794</v>
      </c>
    </row>
    <row r="1678" spans="1:15" x14ac:dyDescent="0.3">
      <c r="A1678" s="5">
        <f t="shared" si="398"/>
        <v>16.699999999999811</v>
      </c>
      <c r="B1678" s="5">
        <f t="shared" si="408"/>
        <v>85.678499934548881</v>
      </c>
      <c r="C1678" s="6">
        <f t="shared" si="406"/>
        <v>3304.7421403325993</v>
      </c>
      <c r="D1678" s="6">
        <f t="shared" si="399"/>
        <v>10921320.614090089</v>
      </c>
      <c r="E1678" s="7">
        <f t="shared" si="400"/>
        <v>6248571.4285714282</v>
      </c>
      <c r="F1678" s="7">
        <f t="shared" si="401"/>
        <v>124.97142857142855</v>
      </c>
      <c r="G1678" s="7">
        <f t="shared" si="402"/>
        <v>4672749.1855186606</v>
      </c>
      <c r="H1678" s="6">
        <f t="shared" si="403"/>
        <v>2161.6542705804413</v>
      </c>
      <c r="I1678" s="7">
        <f t="shared" si="404"/>
        <v>-9.1467936537095422</v>
      </c>
      <c r="J1678" s="7">
        <f t="shared" si="405"/>
        <v>-43.7411692688515</v>
      </c>
      <c r="K1678" s="8">
        <f t="shared" si="409"/>
        <v>352.80489807165378</v>
      </c>
      <c r="L1678" s="8">
        <f t="shared" si="410"/>
        <v>-14.817805719009458</v>
      </c>
      <c r="M1678" s="8">
        <f t="shared" si="407"/>
        <v>70.860694215539425</v>
      </c>
      <c r="N1678" s="8">
        <f t="shared" si="411"/>
        <v>25.000000000000014</v>
      </c>
      <c r="O1678" s="8">
        <f t="shared" si="412"/>
        <v>30.227794436340716</v>
      </c>
    </row>
    <row r="1679" spans="1:15" x14ac:dyDescent="0.3">
      <c r="A1679" s="5">
        <f t="shared" si="398"/>
        <v>16.709999999999813</v>
      </c>
      <c r="B1679" s="5">
        <f t="shared" si="408"/>
        <v>85.587031998011781</v>
      </c>
      <c r="C1679" s="6">
        <f t="shared" si="406"/>
        <v>3301.2140913518829</v>
      </c>
      <c r="D1679" s="6">
        <f t="shared" si="399"/>
        <v>10898014.476940237</v>
      </c>
      <c r="E1679" s="7">
        <f t="shared" si="400"/>
        <v>6248571.4285714282</v>
      </c>
      <c r="F1679" s="7">
        <f t="shared" si="401"/>
        <v>124.97142857142855</v>
      </c>
      <c r="G1679" s="7">
        <f t="shared" si="402"/>
        <v>4649443.0483688088</v>
      </c>
      <c r="H1679" s="6">
        <f t="shared" si="403"/>
        <v>2156.2567213504076</v>
      </c>
      <c r="I1679" s="7">
        <f t="shared" si="404"/>
        <v>-9.1617530750003748</v>
      </c>
      <c r="J1679" s="7">
        <f t="shared" si="405"/>
        <v>-43.669748158340241</v>
      </c>
      <c r="K1679" s="8">
        <f t="shared" si="409"/>
        <v>353.38190432144302</v>
      </c>
      <c r="L1679" s="8">
        <f t="shared" si="410"/>
        <v>-14.842039981500605</v>
      </c>
      <c r="M1679" s="8">
        <f t="shared" si="407"/>
        <v>70.744992016511176</v>
      </c>
      <c r="N1679" s="8">
        <f t="shared" si="411"/>
        <v>25.000000000000004</v>
      </c>
      <c r="O1679" s="8">
        <f t="shared" si="412"/>
        <v>30.24490835267768</v>
      </c>
    </row>
    <row r="1680" spans="1:15" x14ac:dyDescent="0.3">
      <c r="A1680" s="5">
        <f t="shared" si="398"/>
        <v>16.719999999999814</v>
      </c>
      <c r="B1680" s="5">
        <f t="shared" si="408"/>
        <v>85.495414467261782</v>
      </c>
      <c r="C1680" s="6">
        <f t="shared" si="406"/>
        <v>3297.6802723086685</v>
      </c>
      <c r="D1680" s="6">
        <f t="shared" si="399"/>
        <v>10874695.178373775</v>
      </c>
      <c r="E1680" s="7">
        <f t="shared" si="400"/>
        <v>6248571.4285714282</v>
      </c>
      <c r="F1680" s="7">
        <f t="shared" si="401"/>
        <v>124.97142857142855</v>
      </c>
      <c r="G1680" s="7">
        <f t="shared" si="402"/>
        <v>4626123.7498023463</v>
      </c>
      <c r="H1680" s="6">
        <f t="shared" si="403"/>
        <v>2150.8425674145346</v>
      </c>
      <c r="I1680" s="7">
        <f t="shared" si="404"/>
        <v>-9.1767991932543875</v>
      </c>
      <c r="J1680" s="7">
        <f t="shared" si="405"/>
        <v>-43.598148008759061</v>
      </c>
      <c r="K1680" s="8">
        <f t="shared" si="409"/>
        <v>353.96225459695495</v>
      </c>
      <c r="L1680" s="8">
        <f t="shared" si="410"/>
        <v>-14.866414693072107</v>
      </c>
      <c r="M1680" s="8">
        <f t="shared" si="407"/>
        <v>70.62899977418968</v>
      </c>
      <c r="N1680" s="8">
        <f t="shared" si="411"/>
        <v>25</v>
      </c>
      <c r="O1680" s="8">
        <f t="shared" si="412"/>
        <v>30.262149662533101</v>
      </c>
    </row>
    <row r="1681" spans="1:15" x14ac:dyDescent="0.3">
      <c r="A1681" s="5">
        <f t="shared" si="398"/>
        <v>16.729999999999816</v>
      </c>
      <c r="B1681" s="5">
        <f t="shared" si="408"/>
        <v>85.403646475329239</v>
      </c>
      <c r="C1681" s="6">
        <f t="shared" si="406"/>
        <v>3294.140649762699</v>
      </c>
      <c r="D1681" s="6">
        <f t="shared" si="399"/>
        <v>10851362.620419016</v>
      </c>
      <c r="E1681" s="7">
        <f t="shared" si="400"/>
        <v>6248571.4285714282</v>
      </c>
      <c r="F1681" s="7">
        <f t="shared" si="401"/>
        <v>124.97142857142855</v>
      </c>
      <c r="G1681" s="7">
        <f t="shared" si="402"/>
        <v>4602791.1918475879</v>
      </c>
      <c r="H1681" s="6">
        <f t="shared" si="403"/>
        <v>2145.4116602292411</v>
      </c>
      <c r="I1681" s="7">
        <f t="shared" si="404"/>
        <v>-9.1919329295086953</v>
      </c>
      <c r="J1681" s="7">
        <f t="shared" si="405"/>
        <v>-43.52636736390442</v>
      </c>
      <c r="K1681" s="8">
        <f t="shared" si="409"/>
        <v>354.54598442390682</v>
      </c>
      <c r="L1681" s="8">
        <f t="shared" si="410"/>
        <v>-14.890931345804084</v>
      </c>
      <c r="M1681" s="8">
        <f t="shared" si="407"/>
        <v>70.512715129525162</v>
      </c>
      <c r="N1681" s="8">
        <f t="shared" si="411"/>
        <v>25.000000000000007</v>
      </c>
      <c r="O1681" s="8">
        <f t="shared" si="412"/>
        <v>30.279519912986924</v>
      </c>
    </row>
    <row r="1682" spans="1:15" x14ac:dyDescent="0.3">
      <c r="A1682" s="5">
        <f t="shared" si="398"/>
        <v>16.739999999999817</v>
      </c>
      <c r="B1682" s="5">
        <f t="shared" si="408"/>
        <v>85.311727146034158</v>
      </c>
      <c r="C1682" s="6">
        <f t="shared" si="406"/>
        <v>3290.5951899184602</v>
      </c>
      <c r="D1682" s="6">
        <f t="shared" si="399"/>
        <v>10828016.703914506</v>
      </c>
      <c r="E1682" s="7">
        <f t="shared" si="400"/>
        <v>6248571.4285714282</v>
      </c>
      <c r="F1682" s="7">
        <f t="shared" si="401"/>
        <v>124.97142857142855</v>
      </c>
      <c r="G1682" s="7">
        <f t="shared" si="402"/>
        <v>4579445.2753430782</v>
      </c>
      <c r="H1682" s="6">
        <f t="shared" si="403"/>
        <v>2139.9638490738757</v>
      </c>
      <c r="I1682" s="7">
        <f t="shared" si="404"/>
        <v>-9.2071552193782491</v>
      </c>
      <c r="J1682" s="7">
        <f t="shared" si="405"/>
        <v>-43.454404747309511</v>
      </c>
      <c r="K1682" s="8">
        <f t="shared" si="409"/>
        <v>355.13312989030385</v>
      </c>
      <c r="L1682" s="8">
        <f t="shared" si="410"/>
        <v>-14.915591455392761</v>
      </c>
      <c r="M1682" s="8">
        <f t="shared" si="407"/>
        <v>70.396135690641401</v>
      </c>
      <c r="N1682" s="8">
        <f t="shared" si="411"/>
        <v>25.000000000000007</v>
      </c>
      <c r="O1682" s="8">
        <f t="shared" si="412"/>
        <v>30.297020677718709</v>
      </c>
    </row>
    <row r="1683" spans="1:15" x14ac:dyDescent="0.3">
      <c r="A1683" s="5">
        <f t="shared" si="398"/>
        <v>16.749999999999819</v>
      </c>
      <c r="B1683" s="5">
        <f t="shared" si="408"/>
        <v>85.219655593840372</v>
      </c>
      <c r="C1683" s="6">
        <f t="shared" si="406"/>
        <v>3287.0438586195569</v>
      </c>
      <c r="D1683" s="6">
        <f t="shared" si="399"/>
        <v>10804657.328488545</v>
      </c>
      <c r="E1683" s="7">
        <f t="shared" si="400"/>
        <v>6248571.4285714282</v>
      </c>
      <c r="F1683" s="7">
        <f t="shared" si="401"/>
        <v>124.97142857142855</v>
      </c>
      <c r="G1683" s="7">
        <f t="shared" si="402"/>
        <v>4556085.8999171173</v>
      </c>
      <c r="H1683" s="6">
        <f t="shared" si="403"/>
        <v>2134.498981006343</v>
      </c>
      <c r="I1683" s="7">
        <f t="shared" si="404"/>
        <v>-9.222467013365911</v>
      </c>
      <c r="J1683" s="7">
        <f t="shared" si="405"/>
        <v>-43.382258661844197</v>
      </c>
      <c r="K1683" s="8">
        <f t="shared" si="409"/>
        <v>355.72372765839941</v>
      </c>
      <c r="L1683" s="8">
        <f t="shared" si="410"/>
        <v>-14.940396561652774</v>
      </c>
      <c r="M1683" s="8">
        <f t="shared" si="407"/>
        <v>70.279259032187596</v>
      </c>
      <c r="N1683" s="8">
        <f t="shared" si="411"/>
        <v>25.000000000000007</v>
      </c>
      <c r="O1683" s="8">
        <f t="shared" si="412"/>
        <v>30.314653557605865</v>
      </c>
    </row>
    <row r="1684" spans="1:15" x14ac:dyDescent="0.3">
      <c r="A1684" s="5">
        <f t="shared" si="398"/>
        <v>16.75999999999982</v>
      </c>
      <c r="B1684" s="5">
        <f t="shared" si="408"/>
        <v>85.127430923706711</v>
      </c>
      <c r="C1684" s="6">
        <f t="shared" si="406"/>
        <v>3283.4866213429732</v>
      </c>
      <c r="D1684" s="6">
        <f t="shared" si="399"/>
        <v>10781284.392538294</v>
      </c>
      <c r="E1684" s="7">
        <f t="shared" si="400"/>
        <v>6248571.4285714282</v>
      </c>
      <c r="F1684" s="7">
        <f t="shared" si="401"/>
        <v>124.97142857142855</v>
      </c>
      <c r="G1684" s="7">
        <f t="shared" si="402"/>
        <v>4532712.963966866</v>
      </c>
      <c r="H1684" s="6">
        <f t="shared" si="403"/>
        <v>2129.0169008175735</v>
      </c>
      <c r="I1684" s="7">
        <f t="shared" si="404"/>
        <v>-9.2378692771808399</v>
      </c>
      <c r="J1684" s="7">
        <f t="shared" si="405"/>
        <v>-43.309927589304792</v>
      </c>
      <c r="K1684" s="8">
        <f t="shared" si="409"/>
        <v>356.31781497697523</v>
      </c>
      <c r="L1684" s="8">
        <f t="shared" si="410"/>
        <v>-14.965348229032958</v>
      </c>
      <c r="M1684" s="8">
        <f t="shared" si="407"/>
        <v>70.162082694673757</v>
      </c>
      <c r="N1684" s="8">
        <f t="shared" si="411"/>
        <v>25</v>
      </c>
      <c r="O1684" s="8">
        <f t="shared" si="412"/>
        <v>30.332420181338566</v>
      </c>
    </row>
    <row r="1685" spans="1:15" x14ac:dyDescent="0.3">
      <c r="A1685" s="5">
        <f t="shared" si="398"/>
        <v>16.769999999999822</v>
      </c>
      <c r="B1685" s="5">
        <f t="shared" si="408"/>
        <v>85.035052230934909</v>
      </c>
      <c r="C1685" s="6">
        <f t="shared" si="406"/>
        <v>3279.9234431932036</v>
      </c>
      <c r="D1685" s="6">
        <f t="shared" si="399"/>
        <v>10757897.793208361</v>
      </c>
      <c r="E1685" s="7">
        <f t="shared" si="400"/>
        <v>6248571.4285714282</v>
      </c>
      <c r="F1685" s="7">
        <f t="shared" si="401"/>
        <v>124.97142857142855</v>
      </c>
      <c r="G1685" s="7">
        <f t="shared" si="402"/>
        <v>4509326.3646369325</v>
      </c>
      <c r="H1685" s="6">
        <f t="shared" si="403"/>
        <v>2123.5174509847884</v>
      </c>
      <c r="I1685" s="7">
        <f t="shared" si="404"/>
        <v>-9.2533629920655098</v>
      </c>
      <c r="J1685" s="7">
        <f t="shared" si="405"/>
        <v>-43.23740998999309</v>
      </c>
      <c r="K1685" s="8">
        <f t="shared" si="409"/>
        <v>356.91542969395539</v>
      </c>
      <c r="L1685" s="8">
        <f t="shared" si="410"/>
        <v>-14.990448047146124</v>
      </c>
      <c r="M1685" s="8">
        <f t="shared" si="407"/>
        <v>70.044604183788778</v>
      </c>
      <c r="N1685" s="8">
        <f t="shared" si="411"/>
        <v>24.999999999999996</v>
      </c>
      <c r="O1685" s="8">
        <f t="shared" si="412"/>
        <v>30.35032220605207</v>
      </c>
    </row>
    <row r="1686" spans="1:15" x14ac:dyDescent="0.3">
      <c r="A1686" s="5">
        <f t="shared" si="398"/>
        <v>16.779999999999824</v>
      </c>
      <c r="B1686" s="5">
        <f t="shared" si="408"/>
        <v>84.942518601014257</v>
      </c>
      <c r="C1686" s="6">
        <f t="shared" si="406"/>
        <v>3276.3542888962638</v>
      </c>
      <c r="D1686" s="6">
        <f t="shared" si="399"/>
        <v>10734497.426368942</v>
      </c>
      <c r="E1686" s="7">
        <f t="shared" si="400"/>
        <v>6248571.4285714282</v>
      </c>
      <c r="F1686" s="7">
        <f t="shared" si="401"/>
        <v>124.97142857142855</v>
      </c>
      <c r="G1686" s="7">
        <f t="shared" si="402"/>
        <v>4485925.9977975143</v>
      </c>
      <c r="H1686" s="6">
        <f t="shared" si="403"/>
        <v>2118.0004716235344</v>
      </c>
      <c r="I1686" s="7">
        <f t="shared" si="404"/>
        <v>-9.2689491551315815</v>
      </c>
      <c r="J1686" s="7">
        <f t="shared" si="405"/>
        <v>-43.164704302284633</v>
      </c>
      <c r="K1686" s="8">
        <f t="shared" si="409"/>
        <v>357.51661026936097</v>
      </c>
      <c r="L1686" s="8">
        <f t="shared" si="410"/>
        <v>-15.015697631313159</v>
      </c>
      <c r="M1686" s="8">
        <f t="shared" si="407"/>
        <v>69.926820969701097</v>
      </c>
      <c r="N1686" s="8">
        <f t="shared" si="411"/>
        <v>25.000000000000004</v>
      </c>
      <c r="O1686" s="8">
        <f t="shared" si="412"/>
        <v>30.36836131797676</v>
      </c>
    </row>
    <row r="1687" spans="1:15" x14ac:dyDescent="0.3">
      <c r="A1687" s="5">
        <f t="shared" si="398"/>
        <v>16.789999999999825</v>
      </c>
      <c r="B1687" s="5">
        <f t="shared" si="408"/>
        <v>84.849829109462945</v>
      </c>
      <c r="C1687" s="6">
        <f t="shared" si="406"/>
        <v>3272.7791227935704</v>
      </c>
      <c r="D1687" s="6">
        <f t="shared" si="399"/>
        <v>10711083.186593452</v>
      </c>
      <c r="E1687" s="7">
        <f t="shared" si="400"/>
        <v>6248571.4285714282</v>
      </c>
      <c r="F1687" s="7">
        <f t="shared" si="401"/>
        <v>124.97142857142855</v>
      </c>
      <c r="G1687" s="7">
        <f t="shared" si="402"/>
        <v>4462511.7580220243</v>
      </c>
      <c r="H1687" s="6">
        <f t="shared" si="403"/>
        <v>2112.4658004384414</v>
      </c>
      <c r="I1687" s="7">
        <f t="shared" si="404"/>
        <v>-9.2846287797049669</v>
      </c>
      <c r="J1687" s="7">
        <f t="shared" si="405"/>
        <v>-43.09180894218575</v>
      </c>
      <c r="K1687" s="8">
        <f t="shared" si="409"/>
        <v>358.12139578862013</v>
      </c>
      <c r="L1687" s="8">
        <f t="shared" si="410"/>
        <v>-15.041098623122044</v>
      </c>
      <c r="M1687" s="8">
        <f t="shared" si="407"/>
        <v>69.808730486340906</v>
      </c>
      <c r="N1687" s="8">
        <f t="shared" si="411"/>
        <v>25.000000000000004</v>
      </c>
      <c r="O1687" s="8">
        <f t="shared" si="412"/>
        <v>30.38653923310676</v>
      </c>
    </row>
    <row r="1688" spans="1:15" x14ac:dyDescent="0.3">
      <c r="A1688" s="5">
        <f t="shared" si="398"/>
        <v>16.799999999999827</v>
      </c>
      <c r="B1688" s="5">
        <f t="shared" si="408"/>
        <v>84.7569828216659</v>
      </c>
      <c r="C1688" s="6">
        <f t="shared" si="406"/>
        <v>3269.1979088356848</v>
      </c>
      <c r="D1688" s="6">
        <f t="shared" si="399"/>
        <v>10687654.967135614</v>
      </c>
      <c r="E1688" s="7">
        <f t="shared" si="400"/>
        <v>6248571.4285714282</v>
      </c>
      <c r="F1688" s="7">
        <f t="shared" si="401"/>
        <v>124.97142857142855</v>
      </c>
      <c r="G1688" s="7">
        <f t="shared" si="402"/>
        <v>4439083.5385641856</v>
      </c>
      <c r="H1688" s="6">
        <f t="shared" si="403"/>
        <v>2106.9132726726521</v>
      </c>
      <c r="I1688" s="7">
        <f t="shared" si="404"/>
        <v>-9.3004028956804188</v>
      </c>
      <c r="J1688" s="7">
        <f t="shared" si="405"/>
        <v>-43.018722302878793</v>
      </c>
      <c r="K1688" s="8">
        <f t="shared" si="409"/>
        <v>358.72982597624468</v>
      </c>
      <c r="L1688" s="8">
        <f t="shared" si="410"/>
        <v>-15.066652691002275</v>
      </c>
      <c r="M1688" s="8">
        <f t="shared" si="407"/>
        <v>69.690330130663625</v>
      </c>
      <c r="N1688" s="8">
        <f t="shared" si="411"/>
        <v>25.000000000000004</v>
      </c>
      <c r="O1688" s="8">
        <f t="shared" si="412"/>
        <v>30.404857697887767</v>
      </c>
    </row>
    <row r="1689" spans="1:15" x14ac:dyDescent="0.3">
      <c r="A1689" s="5">
        <f t="shared" si="398"/>
        <v>16.809999999999828</v>
      </c>
      <c r="B1689" s="5">
        <f t="shared" si="408"/>
        <v>84.663978792709102</v>
      </c>
      <c r="C1689" s="6">
        <f t="shared" si="406"/>
        <v>3265.6106105759222</v>
      </c>
      <c r="D1689" s="6">
        <f t="shared" si="399"/>
        <v>10664212.659906048</v>
      </c>
      <c r="E1689" s="7">
        <f t="shared" si="400"/>
        <v>6248571.4285714282</v>
      </c>
      <c r="F1689" s="7">
        <f t="shared" si="401"/>
        <v>124.97142857142855</v>
      </c>
      <c r="G1689" s="7">
        <f t="shared" si="402"/>
        <v>4415641.2313346202</v>
      </c>
      <c r="H1689" s="6">
        <f t="shared" si="403"/>
        <v>2101.3427210559016</v>
      </c>
      <c r="I1689" s="7">
        <f t="shared" si="404"/>
        <v>-9.3162725498858556</v>
      </c>
      <c r="J1689" s="7">
        <f t="shared" si="405"/>
        <v>-42.945442754255573</v>
      </c>
      <c r="K1689" s="8">
        <f t="shared" si="409"/>
        <v>359.34194120988298</v>
      </c>
      <c r="L1689" s="8">
        <f t="shared" si="410"/>
        <v>-15.092361530815083</v>
      </c>
      <c r="M1689" s="8">
        <f t="shared" si="407"/>
        <v>69.571617261894019</v>
      </c>
      <c r="N1689" s="8">
        <f t="shared" si="411"/>
        <v>25</v>
      </c>
      <c r="O1689" s="8">
        <f t="shared" si="412"/>
        <v>30.423318489924451</v>
      </c>
    </row>
    <row r="1690" spans="1:15" x14ac:dyDescent="0.3">
      <c r="A1690" s="5">
        <f t="shared" si="398"/>
        <v>16.81999999999983</v>
      </c>
      <c r="B1690" s="5">
        <f t="shared" si="408"/>
        <v>84.570816067210245</v>
      </c>
      <c r="C1690" s="6">
        <f t="shared" si="406"/>
        <v>3262.0171911638236</v>
      </c>
      <c r="D1690" s="6">
        <f t="shared" si="399"/>
        <v>10640756.155448321</v>
      </c>
      <c r="E1690" s="7">
        <f t="shared" si="400"/>
        <v>6248571.4285714282</v>
      </c>
      <c r="F1690" s="7">
        <f t="shared" si="401"/>
        <v>124.97142857142855</v>
      </c>
      <c r="G1690" s="7">
        <f t="shared" si="402"/>
        <v>4392184.7268768931</v>
      </c>
      <c r="H1690" s="6">
        <f t="shared" si="403"/>
        <v>2095.7539757511836</v>
      </c>
      <c r="I1690" s="7">
        <f t="shared" si="404"/>
        <v>-9.3322388064568838</v>
      </c>
      <c r="J1690" s="7">
        <f t="shared" si="405"/>
        <v>-42.871968642438333</v>
      </c>
      <c r="K1690" s="8">
        <f t="shared" si="409"/>
        <v>359.9577825347655</v>
      </c>
      <c r="L1690" s="8">
        <f t="shared" si="410"/>
        <v>-15.11822686646015</v>
      </c>
      <c r="M1690" s="8">
        <f t="shared" si="407"/>
        <v>69.452589200750097</v>
      </c>
      <c r="N1690" s="8">
        <f t="shared" si="411"/>
        <v>25.000000000000007</v>
      </c>
      <c r="O1690" s="8">
        <f t="shared" si="412"/>
        <v>30.441923418708516</v>
      </c>
    </row>
    <row r="1691" spans="1:15" x14ac:dyDescent="0.3">
      <c r="A1691" s="5">
        <f t="shared" si="398"/>
        <v>16.829999999999831</v>
      </c>
      <c r="B1691" s="5">
        <f t="shared" si="408"/>
        <v>84.477493679145681</v>
      </c>
      <c r="C1691" s="6">
        <f t="shared" si="406"/>
        <v>3258.4176133384763</v>
      </c>
      <c r="D1691" s="6">
        <f t="shared" si="399"/>
        <v>10617285.342914412</v>
      </c>
      <c r="E1691" s="7">
        <f t="shared" si="400"/>
        <v>6248571.4285714282</v>
      </c>
      <c r="F1691" s="7">
        <f t="shared" si="401"/>
        <v>124.97142857142855</v>
      </c>
      <c r="G1691" s="7">
        <f t="shared" si="402"/>
        <v>4368713.9143429836</v>
      </c>
      <c r="H1691" s="6">
        <f t="shared" si="403"/>
        <v>2090.1468642999666</v>
      </c>
      <c r="I1691" s="7">
        <f t="shared" si="404"/>
        <v>-9.3483027472217302</v>
      </c>
      <c r="J1691" s="7">
        <f t="shared" si="405"/>
        <v>-42.798298289287963</v>
      </c>
      <c r="K1691" s="8">
        <f t="shared" si="409"/>
        <v>360.57739167855243</v>
      </c>
      <c r="L1691" s="8">
        <f t="shared" si="410"/>
        <v>-15.1442504504992</v>
      </c>
      <c r="M1691" s="8">
        <f t="shared" si="407"/>
        <v>69.333243228646481</v>
      </c>
      <c r="N1691" s="8">
        <f t="shared" si="411"/>
        <v>25.000000000000004</v>
      </c>
      <c r="O1691" s="8">
        <f t="shared" si="412"/>
        <v>30.460674326367748</v>
      </c>
    </row>
    <row r="1692" spans="1:15" x14ac:dyDescent="0.3">
      <c r="A1692" s="5">
        <f t="shared" si="398"/>
        <v>16.839999999999833</v>
      </c>
      <c r="B1692" s="5">
        <f t="shared" si="408"/>
        <v>84.384010651673464</v>
      </c>
      <c r="C1692" s="6">
        <f t="shared" si="406"/>
        <v>3254.8118394216904</v>
      </c>
      <c r="D1692" s="6">
        <f t="shared" si="399"/>
        <v>10593800.110039607</v>
      </c>
      <c r="E1692" s="7">
        <f t="shared" si="400"/>
        <v>6248571.4285714282</v>
      </c>
      <c r="F1692" s="7">
        <f t="shared" si="401"/>
        <v>124.97142857142855</v>
      </c>
      <c r="G1692" s="7">
        <f t="shared" si="402"/>
        <v>4345228.6814681785</v>
      </c>
      <c r="H1692" s="6">
        <f t="shared" si="403"/>
        <v>2084.5212115659028</v>
      </c>
      <c r="I1692" s="7">
        <f t="shared" si="404"/>
        <v>-9.3644654720970664</v>
      </c>
      <c r="J1692" s="7">
        <f t="shared" si="405"/>
        <v>-42.724429991898901</v>
      </c>
      <c r="K1692" s="8">
        <f t="shared" si="409"/>
        <v>361.20081106660109</v>
      </c>
      <c r="L1692" s="8">
        <f t="shared" si="410"/>
        <v>-15.170434064797245</v>
      </c>
      <c r="M1692" s="8">
        <f t="shared" si="407"/>
        <v>69.213576586876215</v>
      </c>
      <c r="N1692" s="8">
        <f t="shared" si="411"/>
        <v>25</v>
      </c>
      <c r="O1692" s="8">
        <f t="shared" si="412"/>
        <v>30.479573088437164</v>
      </c>
    </row>
    <row r="1693" spans="1:15" x14ac:dyDescent="0.3">
      <c r="A1693" s="5">
        <f t="shared" si="398"/>
        <v>16.849999999999834</v>
      </c>
      <c r="B1693" s="5">
        <f t="shared" si="408"/>
        <v>84.290365996952488</v>
      </c>
      <c r="C1693" s="6">
        <f t="shared" si="406"/>
        <v>3251.1998313110244</v>
      </c>
      <c r="D1693" s="6">
        <f t="shared" si="399"/>
        <v>10570300.343116833</v>
      </c>
      <c r="E1693" s="7">
        <f t="shared" si="400"/>
        <v>6248571.4285714282</v>
      </c>
      <c r="F1693" s="7">
        <f t="shared" si="401"/>
        <v>124.97142857142855</v>
      </c>
      <c r="G1693" s="7">
        <f t="shared" si="402"/>
        <v>4321728.9145454047</v>
      </c>
      <c r="H1693" s="6">
        <f t="shared" si="403"/>
        <v>2078.8768396769938</v>
      </c>
      <c r="I1693" s="7">
        <f t="shared" si="404"/>
        <v>-9.3807280994949878</v>
      </c>
      <c r="J1693" s="7">
        <f t="shared" si="405"/>
        <v>-42.650362022080628</v>
      </c>
      <c r="K1693" s="8">
        <f t="shared" si="409"/>
        <v>361.82808383766377</v>
      </c>
      <c r="L1693" s="8">
        <f t="shared" si="410"/>
        <v>-15.196779521181877</v>
      </c>
      <c r="M1693" s="8">
        <f t="shared" si="407"/>
        <v>69.093586475770607</v>
      </c>
      <c r="N1693" s="8">
        <f t="shared" si="411"/>
        <v>25</v>
      </c>
      <c r="O1693" s="8">
        <f t="shared" si="412"/>
        <v>30.498621614652688</v>
      </c>
    </row>
    <row r="1694" spans="1:15" x14ac:dyDescent="0.3">
      <c r="A1694" s="5">
        <f t="shared" si="398"/>
        <v>16.859999999999836</v>
      </c>
      <c r="B1694" s="5">
        <f t="shared" si="408"/>
        <v>84.196558715957536</v>
      </c>
      <c r="C1694" s="6">
        <f t="shared" si="406"/>
        <v>3247.5815504726475</v>
      </c>
      <c r="D1694" s="6">
        <f t="shared" si="399"/>
        <v>10546785.926970325</v>
      </c>
      <c r="E1694" s="7">
        <f t="shared" si="400"/>
        <v>6248571.4285714282</v>
      </c>
      <c r="F1694" s="7">
        <f t="shared" si="401"/>
        <v>124.97142857142855</v>
      </c>
      <c r="G1694" s="7">
        <f t="shared" si="402"/>
        <v>4298214.4983988972</v>
      </c>
      <c r="H1694" s="6">
        <f t="shared" si="403"/>
        <v>2073.213567966141</v>
      </c>
      <c r="I1694" s="7">
        <f t="shared" si="404"/>
        <v>-9.3970917667415943</v>
      </c>
      <c r="J1694" s="7">
        <f t="shared" si="405"/>
        <v>-42.576092625824792</v>
      </c>
      <c r="K1694" s="8">
        <f t="shared" si="409"/>
        <v>362.4592538600329</v>
      </c>
      <c r="L1694" s="8">
        <f t="shared" si="410"/>
        <v>-15.22328866212138</v>
      </c>
      <c r="M1694" s="8">
        <f t="shared" si="407"/>
        <v>68.97327005383616</v>
      </c>
      <c r="N1694" s="8">
        <f t="shared" si="411"/>
        <v>25.000000000000007</v>
      </c>
      <c r="O1694" s="8">
        <f t="shared" si="412"/>
        <v>30.517821849768417</v>
      </c>
    </row>
    <row r="1695" spans="1:15" x14ac:dyDescent="0.3">
      <c r="A1695" s="5">
        <f t="shared" si="398"/>
        <v>16.869999999999838</v>
      </c>
      <c r="B1695" s="5">
        <f t="shared" si="408"/>
        <v>84.102587798290116</v>
      </c>
      <c r="C1695" s="6">
        <f t="shared" si="406"/>
        <v>3243.9569579340473</v>
      </c>
      <c r="D1695" s="6">
        <f t="shared" si="399"/>
        <v>10523256.744928718</v>
      </c>
      <c r="E1695" s="7">
        <f t="shared" si="400"/>
        <v>6248571.4285714282</v>
      </c>
      <c r="F1695" s="7">
        <f t="shared" si="401"/>
        <v>124.97142857142855</v>
      </c>
      <c r="G1695" s="7">
        <f t="shared" si="402"/>
        <v>4274685.3163572894</v>
      </c>
      <c r="H1695" s="6">
        <f t="shared" si="403"/>
        <v>2067.5312129100466</v>
      </c>
      <c r="I1695" s="7">
        <f t="shared" si="404"/>
        <v>-9.413557630507551</v>
      </c>
      <c r="J1695" s="7">
        <f t="shared" si="405"/>
        <v>-42.501620022757955</v>
      </c>
      <c r="K1695" s="8">
        <f t="shared" si="409"/>
        <v>363.09436574814839</v>
      </c>
      <c r="L1695" s="8">
        <f t="shared" si="410"/>
        <v>-15.24996336142223</v>
      </c>
      <c r="M1695" s="8">
        <f t="shared" si="407"/>
        <v>68.852624436867885</v>
      </c>
      <c r="N1695" s="8">
        <f t="shared" si="411"/>
        <v>25.000000000000007</v>
      </c>
      <c r="O1695" s="8">
        <f t="shared" si="412"/>
        <v>30.537175774398115</v>
      </c>
    </row>
    <row r="1696" spans="1:15" x14ac:dyDescent="0.3">
      <c r="A1696" s="5">
        <f t="shared" si="398"/>
        <v>16.879999999999839</v>
      </c>
      <c r="B1696" s="5">
        <f t="shared" si="408"/>
        <v>84.008452221985038</v>
      </c>
      <c r="C1696" s="6">
        <f t="shared" si="406"/>
        <v>3240.3260142765657</v>
      </c>
      <c r="D1696" s="6">
        <f t="shared" si="399"/>
        <v>10499712.678797454</v>
      </c>
      <c r="E1696" s="7">
        <f t="shared" si="400"/>
        <v>6248571.4285714282</v>
      </c>
      <c r="F1696" s="7">
        <f t="shared" si="401"/>
        <v>124.97142857142855</v>
      </c>
      <c r="G1696" s="7">
        <f t="shared" si="402"/>
        <v>4251141.2502260255</v>
      </c>
      <c r="H1696" s="6">
        <f t="shared" si="403"/>
        <v>2061.8295880663914</v>
      </c>
      <c r="I1696" s="7">
        <f t="shared" si="404"/>
        <v>-9.4301268672510545</v>
      </c>
      <c r="J1696" s="7">
        <f t="shared" si="405"/>
        <v>-42.426942405579226</v>
      </c>
      <c r="K1696" s="8">
        <f t="shared" si="409"/>
        <v>363.73346487968354</v>
      </c>
      <c r="L1696" s="8">
        <f t="shared" si="410"/>
        <v>-15.276805524946708</v>
      </c>
      <c r="M1696" s="8">
        <f t="shared" si="407"/>
        <v>68.731646697038329</v>
      </c>
      <c r="N1696" s="8">
        <f t="shared" si="411"/>
        <v>25.000000000000007</v>
      </c>
      <c r="O1696" s="8">
        <f t="shared" si="412"/>
        <v>30.556685405881968</v>
      </c>
    </row>
    <row r="1697" spans="1:15" x14ac:dyDescent="0.3">
      <c r="A1697" s="5">
        <f t="shared" si="398"/>
        <v>16.889999999999841</v>
      </c>
      <c r="B1697" s="5">
        <f t="shared" si="408"/>
        <v>83.914150953312529</v>
      </c>
      <c r="C1697" s="6">
        <f t="shared" si="406"/>
        <v>3236.6886796277686</v>
      </c>
      <c r="D1697" s="6">
        <f t="shared" si="399"/>
        <v>10476153.608830549</v>
      </c>
      <c r="E1697" s="7">
        <f t="shared" si="400"/>
        <v>6248571.4285714282</v>
      </c>
      <c r="F1697" s="7">
        <f t="shared" si="401"/>
        <v>124.97142857142855</v>
      </c>
      <c r="G1697" s="7">
        <f t="shared" si="402"/>
        <v>4227582.1802591207</v>
      </c>
      <c r="H1697" s="6">
        <f t="shared" si="403"/>
        <v>2056.1085040092412</v>
      </c>
      <c r="I1697" s="7">
        <f t="shared" si="404"/>
        <v>-9.4468006736736321</v>
      </c>
      <c r="J1697" s="7">
        <f t="shared" si="405"/>
        <v>-42.352057939482251</v>
      </c>
      <c r="K1697" s="8">
        <f t="shared" si="409"/>
        <v>364.37659741312581</v>
      </c>
      <c r="L1697" s="8">
        <f t="shared" si="410"/>
        <v>-15.303817091351283</v>
      </c>
      <c r="M1697" s="8">
        <f t="shared" si="407"/>
        <v>68.610333861961252</v>
      </c>
      <c r="N1697" s="8">
        <f t="shared" si="411"/>
        <v>25.000000000000007</v>
      </c>
      <c r="O1697" s="8">
        <f t="shared" si="412"/>
        <v>30.576352799179425</v>
      </c>
    </row>
    <row r="1698" spans="1:15" x14ac:dyDescent="0.3">
      <c r="A1698" s="5">
        <f t="shared" si="398"/>
        <v>16.899999999999842</v>
      </c>
      <c r="B1698" s="5">
        <f t="shared" si="408"/>
        <v>83.819682946575796</v>
      </c>
      <c r="C1698" s="6">
        <f t="shared" si="406"/>
        <v>3233.0449136536376</v>
      </c>
      <c r="D1698" s="6">
        <f t="shared" si="399"/>
        <v>10452579.413701657</v>
      </c>
      <c r="E1698" s="7">
        <f t="shared" si="400"/>
        <v>6248571.4285714282</v>
      </c>
      <c r="F1698" s="7">
        <f t="shared" si="401"/>
        <v>124.97142857142855</v>
      </c>
      <c r="G1698" s="7">
        <f t="shared" si="402"/>
        <v>4204007.985130229</v>
      </c>
      <c r="H1698" s="6">
        <f t="shared" si="403"/>
        <v>2050.367768262618</v>
      </c>
      <c r="I1698" s="7">
        <f t="shared" si="404"/>
        <v>-9.4635802671892311</v>
      </c>
      <c r="J1698" s="7">
        <f t="shared" si="405"/>
        <v>-42.276964761561267</v>
      </c>
      <c r="K1698" s="8">
        <f t="shared" si="409"/>
        <v>365.02381030587031</v>
      </c>
      <c r="L1698" s="8">
        <f t="shared" si="410"/>
        <v>-15.331000032846552</v>
      </c>
      <c r="M1698" s="8">
        <f t="shared" si="407"/>
        <v>68.488682913729249</v>
      </c>
      <c r="N1698" s="8">
        <f t="shared" si="411"/>
        <v>25.000000000000007</v>
      </c>
      <c r="O1698" s="8">
        <f t="shared" si="412"/>
        <v>30.596180047789076</v>
      </c>
    </row>
    <row r="1699" spans="1:15" x14ac:dyDescent="0.3">
      <c r="A1699" s="5">
        <f t="shared" si="398"/>
        <v>16.909999999999844</v>
      </c>
      <c r="B1699" s="5">
        <f t="shared" si="408"/>
        <v>83.725047143903907</v>
      </c>
      <c r="C1699" s="6">
        <f t="shared" si="406"/>
        <v>3229.394675550579</v>
      </c>
      <c r="D1699" s="6">
        <f t="shared" si="399"/>
        <v>10428989.970474429</v>
      </c>
      <c r="E1699" s="7">
        <f t="shared" si="400"/>
        <v>6248571.4285714282</v>
      </c>
      <c r="F1699" s="7">
        <f t="shared" si="401"/>
        <v>124.97142857142855</v>
      </c>
      <c r="G1699" s="7">
        <f t="shared" si="402"/>
        <v>4180418.5419030013</v>
      </c>
      <c r="H1699" s="6">
        <f t="shared" si="403"/>
        <v>2044.6071852321661</v>
      </c>
      <c r="I1699" s="7">
        <f t="shared" si="404"/>
        <v>-9.480466886407056</v>
      </c>
      <c r="J1699" s="7">
        <f t="shared" si="405"/>
        <v>-42.201660980200302</v>
      </c>
      <c r="K1699" s="8">
        <f t="shared" si="409"/>
        <v>365.6751513328436</v>
      </c>
      <c r="L1699" s="8">
        <f t="shared" si="410"/>
        <v>-15.35835635597943</v>
      </c>
      <c r="M1699" s="8">
        <f t="shared" si="407"/>
        <v>68.366690787924483</v>
      </c>
      <c r="N1699" s="8">
        <f t="shared" si="411"/>
        <v>25.000000000000011</v>
      </c>
      <c r="O1699" s="8">
        <f t="shared" si="412"/>
        <v>30.616169284696529</v>
      </c>
    </row>
    <row r="1700" spans="1:15" x14ac:dyDescent="0.3">
      <c r="A1700" s="5">
        <f t="shared" si="398"/>
        <v>16.919999999999845</v>
      </c>
      <c r="B1700" s="5">
        <f t="shared" si="408"/>
        <v>83.630242475039836</v>
      </c>
      <c r="C1700" s="6">
        <f t="shared" si="406"/>
        <v>3225.7379240372507</v>
      </c>
      <c r="D1700" s="6">
        <f t="shared" si="399"/>
        <v>10405385.154572152</v>
      </c>
      <c r="E1700" s="7">
        <f t="shared" si="400"/>
        <v>6248571.4285714282</v>
      </c>
      <c r="F1700" s="7">
        <f t="shared" si="401"/>
        <v>124.97142857142855</v>
      </c>
      <c r="G1700" s="7">
        <f t="shared" si="402"/>
        <v>4156813.7260007234</v>
      </c>
      <c r="H1700" s="6">
        <f t="shared" si="403"/>
        <v>2038.8265561348576</v>
      </c>
      <c r="I1700" s="7">
        <f t="shared" si="404"/>
        <v>-9.4974617916286608</v>
      </c>
      <c r="J1700" s="7">
        <f t="shared" si="405"/>
        <v>-42.126144674445321</v>
      </c>
      <c r="K1700" s="8">
        <f t="shared" si="409"/>
        <v>366.33066910567692</v>
      </c>
      <c r="L1700" s="8">
        <f t="shared" si="410"/>
        <v>-15.385888102438429</v>
      </c>
      <c r="M1700" s="8">
        <f t="shared" si="407"/>
        <v>68.244354372601407</v>
      </c>
      <c r="N1700" s="8">
        <f t="shared" si="411"/>
        <v>25</v>
      </c>
      <c r="O1700" s="8">
        <f t="shared" si="412"/>
        <v>30.636322683351345</v>
      </c>
    </row>
    <row r="1701" spans="1:15" x14ac:dyDescent="0.3">
      <c r="A1701" s="5">
        <f t="shared" si="398"/>
        <v>16.929999999999847</v>
      </c>
      <c r="B1701" s="5">
        <f t="shared" si="408"/>
        <v>83.535267857123543</v>
      </c>
      <c r="C1701" s="6">
        <f t="shared" si="406"/>
        <v>3222.0746173461935</v>
      </c>
      <c r="D1701" s="6">
        <f t="shared" si="399"/>
        <v>10381764.839746619</v>
      </c>
      <c r="E1701" s="7">
        <f t="shared" si="400"/>
        <v>6248571.4285714282</v>
      </c>
      <c r="F1701" s="7">
        <f t="shared" si="401"/>
        <v>124.97142857142855</v>
      </c>
      <c r="G1701" s="7">
        <f t="shared" si="402"/>
        <v>4133193.4111751905</v>
      </c>
      <c r="H1701" s="6">
        <f t="shared" si="403"/>
        <v>2033.0256789266559</v>
      </c>
      <c r="I1701" s="7">
        <f t="shared" si="404"/>
        <v>-9.5145662653598126</v>
      </c>
      <c r="J1701" s="7">
        <f t="shared" si="405"/>
        <v>-42.050413893358424</v>
      </c>
      <c r="K1701" s="8">
        <f t="shared" si="409"/>
        <v>366.9904130924499</v>
      </c>
      <c r="L1701" s="8">
        <f t="shared" si="410"/>
        <v>-15.413597349882894</v>
      </c>
      <c r="M1701" s="8">
        <f t="shared" si="407"/>
        <v>68.121670507240651</v>
      </c>
      <c r="N1701" s="8">
        <f t="shared" si="411"/>
        <v>25.000000000000007</v>
      </c>
      <c r="O1701" s="8">
        <f t="shared" si="412"/>
        <v>30.65664245867422</v>
      </c>
    </row>
    <row r="1702" spans="1:15" x14ac:dyDescent="0.3">
      <c r="A1702" s="5">
        <f t="shared" si="398"/>
        <v>16.939999999999849</v>
      </c>
      <c r="B1702" s="5">
        <f t="shared" si="408"/>
        <v>83.44012219446995</v>
      </c>
      <c r="C1702" s="6">
        <f t="shared" si="406"/>
        <v>3218.4047132152691</v>
      </c>
      <c r="D1702" s="6">
        <f t="shared" si="399"/>
        <v>10358128.898046259</v>
      </c>
      <c r="E1702" s="7">
        <f t="shared" si="400"/>
        <v>6248571.4285714282</v>
      </c>
      <c r="F1702" s="7">
        <f t="shared" si="401"/>
        <v>124.97142857142855</v>
      </c>
      <c r="G1702" s="7">
        <f t="shared" si="402"/>
        <v>4109557.4694748307</v>
      </c>
      <c r="H1702" s="6">
        <f t="shared" si="403"/>
        <v>2027.204348228079</v>
      </c>
      <c r="I1702" s="7">
        <f t="shared" si="404"/>
        <v>-9.5317816128375998</v>
      </c>
      <c r="J1702" s="7">
        <f t="shared" si="405"/>
        <v>-41.97446665535373</v>
      </c>
      <c r="K1702" s="8">
        <f t="shared" si="409"/>
        <v>367.65443363802171</v>
      </c>
      <c r="L1702" s="8">
        <f t="shared" si="410"/>
        <v>-15.44148621279691</v>
      </c>
      <c r="M1702" s="8">
        <f t="shared" si="407"/>
        <v>67.998635981673033</v>
      </c>
      <c r="N1702" s="8">
        <f t="shared" si="411"/>
        <v>25.000000000000004</v>
      </c>
      <c r="O1702" s="8">
        <f t="shared" si="412"/>
        <v>30.677130868095173</v>
      </c>
    </row>
    <row r="1703" spans="1:15" x14ac:dyDescent="0.3">
      <c r="A1703" s="5">
        <f t="shared" si="398"/>
        <v>16.94999999999985</v>
      </c>
      <c r="B1703" s="5">
        <f t="shared" si="408"/>
        <v>83.344804378341578</v>
      </c>
      <c r="C1703" s="6">
        <f t="shared" si="406"/>
        <v>3214.7281688788894</v>
      </c>
      <c r="D1703" s="6">
        <f t="shared" si="399"/>
        <v>10334477.199783416</v>
      </c>
      <c r="E1703" s="7">
        <f t="shared" si="400"/>
        <v>6248571.4285714282</v>
      </c>
      <c r="F1703" s="7">
        <f t="shared" si="401"/>
        <v>124.97142857142855</v>
      </c>
      <c r="G1703" s="7">
        <f t="shared" si="402"/>
        <v>4085905.7712119883</v>
      </c>
      <c r="H1703" s="6">
        <f t="shared" si="403"/>
        <v>2021.3623552475663</v>
      </c>
      <c r="I1703" s="7">
        <f t="shared" si="404"/>
        <v>-9.5491091625734601</v>
      </c>
      <c r="J1703" s="7">
        <f t="shared" si="405"/>
        <v>-41.898300947513938</v>
      </c>
      <c r="K1703" s="8">
        <f t="shared" si="409"/>
        <v>368.3227819849763</v>
      </c>
      <c r="L1703" s="8">
        <f t="shared" si="410"/>
        <v>-15.469556843369004</v>
      </c>
      <c r="M1703" s="8">
        <f t="shared" si="407"/>
        <v>67.875247534972573</v>
      </c>
      <c r="N1703" s="8">
        <f t="shared" si="411"/>
        <v>25.000000000000004</v>
      </c>
      <c r="O1703" s="8">
        <f t="shared" si="412"/>
        <v>30.697790212624405</v>
      </c>
    </row>
    <row r="1704" spans="1:15" x14ac:dyDescent="0.3">
      <c r="A1704" s="5">
        <f t="shared" si="398"/>
        <v>16.959999999999852</v>
      </c>
      <c r="B1704" s="5">
        <f t="shared" si="408"/>
        <v>83.249313286715847</v>
      </c>
      <c r="C1704" s="6">
        <f t="shared" si="406"/>
        <v>3211.0449410590395</v>
      </c>
      <c r="D1704" s="6">
        <f t="shared" si="399"/>
        <v>10310809.61350085</v>
      </c>
      <c r="E1704" s="7">
        <f t="shared" si="400"/>
        <v>6248571.4285714282</v>
      </c>
      <c r="F1704" s="7">
        <f t="shared" si="401"/>
        <v>124.97142857142855</v>
      </c>
      <c r="G1704" s="7">
        <f t="shared" si="402"/>
        <v>4062238.1849294221</v>
      </c>
      <c r="H1704" s="6">
        <f t="shared" si="403"/>
        <v>2015.4994877025947</v>
      </c>
      <c r="I1704" s="7">
        <f t="shared" si="404"/>
        <v>-9.5665502669125697</v>
      </c>
      <c r="J1704" s="7">
        <f t="shared" si="405"/>
        <v>-41.821914724887336</v>
      </c>
      <c r="K1704" s="8">
        <f t="shared" si="409"/>
        <v>368.9955102951991</v>
      </c>
      <c r="L1704" s="8">
        <f t="shared" si="410"/>
        <v>-15.497811432398361</v>
      </c>
      <c r="M1704" s="8">
        <f t="shared" si="407"/>
        <v>67.751501854317482</v>
      </c>
      <c r="N1704" s="8">
        <f t="shared" si="411"/>
        <v>25.000000000000007</v>
      </c>
      <c r="O1704" s="8">
        <f t="shared" si="412"/>
        <v>30.718622837956612</v>
      </c>
    </row>
    <row r="1705" spans="1:15" x14ac:dyDescent="0.3">
      <c r="A1705" s="5">
        <f t="shared" si="398"/>
        <v>16.969999999999853</v>
      </c>
      <c r="B1705" s="5">
        <f t="shared" si="408"/>
        <v>83.153647784046726</v>
      </c>
      <c r="C1705" s="6">
        <f t="shared" si="406"/>
        <v>3207.3549859560876</v>
      </c>
      <c r="D1705" s="6">
        <f t="shared" si="399"/>
        <v>10287126.005937375</v>
      </c>
      <c r="E1705" s="7">
        <f t="shared" si="400"/>
        <v>6248571.4285714282</v>
      </c>
      <c r="F1705" s="7">
        <f t="shared" si="401"/>
        <v>124.97142857142855</v>
      </c>
      <c r="G1705" s="7">
        <f t="shared" si="402"/>
        <v>4038554.577365947</v>
      </c>
      <c r="H1705" s="6">
        <f t="shared" si="403"/>
        <v>2009.6155297384489</v>
      </c>
      <c r="I1705" s="7">
        <f t="shared" si="404"/>
        <v>-9.5841063026102802</v>
      </c>
      <c r="J1705" s="7">
        <f t="shared" si="405"/>
        <v>-41.745305909764248</v>
      </c>
      <c r="K1705" s="8">
        <f t="shared" si="409"/>
        <v>369.67267167211077</v>
      </c>
      <c r="L1705" s="8">
        <f t="shared" si="410"/>
        <v>-15.52625221022865</v>
      </c>
      <c r="M1705" s="8">
        <f t="shared" si="407"/>
        <v>67.627395573818077</v>
      </c>
      <c r="N1705" s="8">
        <f t="shared" si="411"/>
        <v>25.000000000000007</v>
      </c>
      <c r="O1705" s="8">
        <f t="shared" si="412"/>
        <v>30.739631135610246</v>
      </c>
    </row>
    <row r="1706" spans="1:15" x14ac:dyDescent="0.3">
      <c r="A1706" s="5">
        <f t="shared" si="398"/>
        <v>16.979999999999855</v>
      </c>
      <c r="B1706" s="5">
        <f t="shared" si="408"/>
        <v>83.057806721020626</v>
      </c>
      <c r="C1706" s="6">
        <f t="shared" si="406"/>
        <v>3203.658259239367</v>
      </c>
      <c r="D1706" s="6">
        <f t="shared" si="399"/>
        <v>10263426.241992611</v>
      </c>
      <c r="E1706" s="7">
        <f t="shared" si="400"/>
        <v>6248571.4285714282</v>
      </c>
      <c r="F1706" s="7">
        <f t="shared" si="401"/>
        <v>124.97142857142855</v>
      </c>
      <c r="G1706" s="7">
        <f t="shared" si="402"/>
        <v>4014854.8134211833</v>
      </c>
      <c r="H1706" s="6">
        <f t="shared" si="403"/>
        <v>2003.710261844557</v>
      </c>
      <c r="I1706" s="7">
        <f t="shared" si="404"/>
        <v>-9.6017786714262368</v>
      </c>
      <c r="J1706" s="7">
        <f t="shared" si="405"/>
        <v>-41.668472390932187</v>
      </c>
      <c r="K1706" s="8">
        <f t="shared" si="409"/>
        <v>370.35432018358341</v>
      </c>
      <c r="L1706" s="8">
        <f t="shared" si="410"/>
        <v>-15.554881447710502</v>
      </c>
      <c r="M1706" s="8">
        <f t="shared" si="407"/>
        <v>67.502925273310126</v>
      </c>
      <c r="N1706" s="8">
        <f t="shared" si="411"/>
        <v>25.000000000000004</v>
      </c>
      <c r="O1706" s="8">
        <f t="shared" si="412"/>
        <v>30.760817544103059</v>
      </c>
    </row>
    <row r="1707" spans="1:15" x14ac:dyDescent="0.3">
      <c r="A1707" s="5">
        <f t="shared" si="398"/>
        <v>16.989999999999856</v>
      </c>
      <c r="B1707" s="5">
        <f t="shared" si="408"/>
        <v>82.961788934306369</v>
      </c>
      <c r="C1707" s="6">
        <f t="shared" si="406"/>
        <v>3199.9547160375314</v>
      </c>
      <c r="D1707" s="6">
        <f t="shared" si="399"/>
        <v>10239710.184690839</v>
      </c>
      <c r="E1707" s="7">
        <f t="shared" si="400"/>
        <v>6248571.4285714282</v>
      </c>
      <c r="F1707" s="7">
        <f t="shared" si="401"/>
        <v>124.97142857142855</v>
      </c>
      <c r="G1707" s="7">
        <f t="shared" si="402"/>
        <v>3991138.7561194105</v>
      </c>
      <c r="H1707" s="6">
        <f t="shared" si="403"/>
        <v>1997.7834607683112</v>
      </c>
      <c r="I1707" s="7">
        <f t="shared" si="404"/>
        <v>-9.6195688007367881</v>
      </c>
      <c r="J1707" s="7">
        <f t="shared" si="405"/>
        <v>-41.591412022909125</v>
      </c>
      <c r="K1707" s="8">
        <f t="shared" si="409"/>
        <v>371.04051088556179</v>
      </c>
      <c r="L1707" s="8">
        <f t="shared" si="410"/>
        <v>-15.583701457193593</v>
      </c>
      <c r="M1707" s="8">
        <f t="shared" si="407"/>
        <v>67.378087477112771</v>
      </c>
      <c r="N1707" s="8">
        <f t="shared" si="411"/>
        <v>24.999999999999996</v>
      </c>
      <c r="O1707" s="8">
        <f t="shared" si="412"/>
        <v>30.78218455016518</v>
      </c>
    </row>
    <row r="1708" spans="1:15" x14ac:dyDescent="0.3">
      <c r="A1708" s="5">
        <f t="shared" si="398"/>
        <v>16.999999999999858</v>
      </c>
      <c r="B1708" s="5">
        <f t="shared" si="408"/>
        <v>82.865593246298999</v>
      </c>
      <c r="C1708" s="6">
        <f t="shared" si="406"/>
        <v>3196.2443109286755</v>
      </c>
      <c r="D1708" s="6">
        <f t="shared" si="399"/>
        <v>10215977.695143923</v>
      </c>
      <c r="E1708" s="7">
        <f t="shared" si="400"/>
        <v>6248571.4285714282</v>
      </c>
      <c r="F1708" s="7">
        <f t="shared" si="401"/>
        <v>124.97142857142855</v>
      </c>
      <c r="G1708" s="7">
        <f t="shared" si="402"/>
        <v>3967406.266572495</v>
      </c>
      <c r="H1708" s="6">
        <f t="shared" si="403"/>
        <v>1991.834899426279</v>
      </c>
      <c r="I1708" s="7">
        <f t="shared" si="404"/>
        <v>-9.6374781441664119</v>
      </c>
      <c r="J1708" s="7">
        <f t="shared" si="405"/>
        <v>-41.514122625153966</v>
      </c>
      <c r="K1708" s="8">
        <f t="shared" si="409"/>
        <v>371.73129984641872</v>
      </c>
      <c r="L1708" s="8">
        <f t="shared" si="410"/>
        <v>-15.612714593549585</v>
      </c>
      <c r="M1708" s="8">
        <f t="shared" si="407"/>
        <v>67.252878652749416</v>
      </c>
      <c r="N1708" s="8">
        <f t="shared" si="411"/>
        <v>25.000000000000007</v>
      </c>
      <c r="O1708" s="8">
        <f t="shared" si="412"/>
        <v>30.803734689991344</v>
      </c>
    </row>
    <row r="1709" spans="1:15" x14ac:dyDescent="0.3">
      <c r="A1709" s="5">
        <f t="shared" si="398"/>
        <v>17.009999999999859</v>
      </c>
      <c r="B1709" s="5">
        <f t="shared" si="408"/>
        <v>82.769218464857332</v>
      </c>
      <c r="C1709" s="6">
        <f t="shared" si="406"/>
        <v>3192.5269979302111</v>
      </c>
      <c r="D1709" s="6">
        <f t="shared" si="399"/>
        <v>10192228.632513287</v>
      </c>
      <c r="E1709" s="7">
        <f t="shared" si="400"/>
        <v>6248571.4285714282</v>
      </c>
      <c r="F1709" s="7">
        <f t="shared" si="401"/>
        <v>124.97142857142855</v>
      </c>
      <c r="G1709" s="7">
        <f t="shared" si="402"/>
        <v>3943657.2039418584</v>
      </c>
      <c r="H1709" s="6">
        <f t="shared" si="403"/>
        <v>1985.8643468127068</v>
      </c>
      <c r="I1709" s="7">
        <f t="shared" si="404"/>
        <v>-9.6555081822388331</v>
      </c>
      <c r="J1709" s="7">
        <f t="shared" si="405"/>
        <v>-41.436601981253354</v>
      </c>
      <c r="K1709" s="8">
        <f t="shared" si="409"/>
        <v>372.42674417206928</v>
      </c>
      <c r="L1709" s="8">
        <f t="shared" si="410"/>
        <v>-15.641923255226908</v>
      </c>
      <c r="M1709" s="8">
        <f t="shared" si="407"/>
        <v>67.127295209630418</v>
      </c>
      <c r="N1709" s="8">
        <f t="shared" si="411"/>
        <v>25</v>
      </c>
      <c r="O1709" s="8">
        <f t="shared" si="412"/>
        <v>30.825470550533534</v>
      </c>
    </row>
    <row r="1710" spans="1:15" x14ac:dyDescent="0.3">
      <c r="A1710" s="5">
        <f t="shared" si="398"/>
        <v>17.019999999999861</v>
      </c>
      <c r="B1710" s="5">
        <f t="shared" si="408"/>
        <v>82.672663383034944</v>
      </c>
      <c r="C1710" s="6">
        <f t="shared" si="406"/>
        <v>3188.8027304884904</v>
      </c>
      <c r="D1710" s="6">
        <f t="shared" si="399"/>
        <v>10168462.853970852</v>
      </c>
      <c r="E1710" s="7">
        <f t="shared" si="400"/>
        <v>6248571.4285714282</v>
      </c>
      <c r="F1710" s="7">
        <f t="shared" si="401"/>
        <v>124.97142857142855</v>
      </c>
      <c r="G1710" s="7">
        <f t="shared" si="402"/>
        <v>3919891.4253994236</v>
      </c>
      <c r="H1710" s="6">
        <f t="shared" si="403"/>
        <v>1979.8715679052073</v>
      </c>
      <c r="I1710" s="7">
        <f t="shared" si="404"/>
        <v>-9.6736604230486787</v>
      </c>
      <c r="J1710" s="7">
        <f t="shared" si="405"/>
        <v>-41.35884783808401</v>
      </c>
      <c r="K1710" s="8">
        <f t="shared" si="409"/>
        <v>373.12690203187759</v>
      </c>
      <c r="L1710" s="8">
        <f t="shared" si="410"/>
        <v>-15.671329885338857</v>
      </c>
      <c r="M1710" s="8">
        <f t="shared" si="407"/>
        <v>67.001333497696095</v>
      </c>
      <c r="N1710" s="8">
        <f t="shared" si="411"/>
        <v>25.000000000000011</v>
      </c>
      <c r="O1710" s="8">
        <f t="shared" si="412"/>
        <v>30.847394770836072</v>
      </c>
    </row>
    <row r="1711" spans="1:15" x14ac:dyDescent="0.3">
      <c r="A1711" s="5">
        <f t="shared" si="398"/>
        <v>17.029999999999863</v>
      </c>
      <c r="B1711" s="5">
        <f t="shared" si="408"/>
        <v>82.575926778804458</v>
      </c>
      <c r="C1711" s="6">
        <f t="shared" si="406"/>
        <v>3185.0714614681719</v>
      </c>
      <c r="D1711" s="6">
        <f t="shared" si="399"/>
        <v>10144680.214658996</v>
      </c>
      <c r="E1711" s="7">
        <f t="shared" si="400"/>
        <v>6248571.4285714282</v>
      </c>
      <c r="F1711" s="7">
        <f t="shared" si="401"/>
        <v>124.97142857142855</v>
      </c>
      <c r="G1711" s="7">
        <f t="shared" si="402"/>
        <v>3896108.7860875679</v>
      </c>
      <c r="H1711" s="6">
        <f t="shared" si="403"/>
        <v>1973.8563235675406</v>
      </c>
      <c r="I1711" s="7">
        <f t="shared" si="404"/>
        <v>-9.6919364029542994</v>
      </c>
      <c r="J1711" s="7">
        <f t="shared" si="405"/>
        <v>-41.280857904949691</v>
      </c>
      <c r="K1711" s="8">
        <f t="shared" si="409"/>
        <v>373.83183268538011</v>
      </c>
      <c r="L1711" s="8">
        <f t="shared" si="410"/>
        <v>-15.700936972785962</v>
      </c>
      <c r="M1711" s="8">
        <f t="shared" si="407"/>
        <v>66.87498980601849</v>
      </c>
      <c r="N1711" s="8">
        <f t="shared" si="411"/>
        <v>25.000000000000004</v>
      </c>
      <c r="O1711" s="8">
        <f t="shared" si="412"/>
        <v>30.869510043414227</v>
      </c>
    </row>
    <row r="1712" spans="1:15" x14ac:dyDescent="0.3">
      <c r="A1712" s="5">
        <f t="shared" si="398"/>
        <v>17.039999999999864</v>
      </c>
      <c r="B1712" s="5">
        <f t="shared" si="408"/>
        <v>82.479007414774912</v>
      </c>
      <c r="C1712" s="6">
        <f t="shared" si="406"/>
        <v>3181.333143141318</v>
      </c>
      <c r="D1712" s="6">
        <f t="shared" si="399"/>
        <v>10120880.567649418</v>
      </c>
      <c r="E1712" s="7">
        <f t="shared" si="400"/>
        <v>6248571.4285714282</v>
      </c>
      <c r="F1712" s="7">
        <f t="shared" si="401"/>
        <v>124.97142857142855</v>
      </c>
      <c r="G1712" s="7">
        <f t="shared" si="402"/>
        <v>3872309.1390779903</v>
      </c>
      <c r="H1712" s="6">
        <f t="shared" si="403"/>
        <v>1967.818370449364</v>
      </c>
      <c r="I1712" s="7">
        <f t="shared" si="404"/>
        <v>-9.7103376872927303</v>
      </c>
      <c r="J1712" s="7">
        <f t="shared" si="405"/>
        <v>-41.202629852691793</v>
      </c>
      <c r="K1712" s="8">
        <f t="shared" si="409"/>
        <v>374.54159650986242</v>
      </c>
      <c r="L1712" s="8">
        <f t="shared" si="410"/>
        <v>-15.73074705341422</v>
      </c>
      <c r="M1712" s="8">
        <f t="shared" si="407"/>
        <v>66.748260361360693</v>
      </c>
      <c r="N1712" s="8">
        <f t="shared" si="411"/>
        <v>25</v>
      </c>
      <c r="O1712" s="8">
        <f t="shared" si="412"/>
        <v>30.891819115678576</v>
      </c>
    </row>
    <row r="1713" spans="1:15" x14ac:dyDescent="0.3">
      <c r="A1713" s="5">
        <f t="shared" si="398"/>
        <v>17.049999999999866</v>
      </c>
      <c r="B1713" s="5">
        <f t="shared" si="408"/>
        <v>82.38190403790199</v>
      </c>
      <c r="C1713" s="6">
        <f t="shared" si="406"/>
        <v>3177.5877271762192</v>
      </c>
      <c r="D1713" s="6">
        <f t="shared" si="399"/>
        <v>10097063.76390093</v>
      </c>
      <c r="E1713" s="7">
        <f t="shared" si="400"/>
        <v>6248571.4285714282</v>
      </c>
      <c r="F1713" s="7">
        <f t="shared" si="401"/>
        <v>124.97142857142855</v>
      </c>
      <c r="G1713" s="7">
        <f t="shared" si="402"/>
        <v>3848492.3353295019</v>
      </c>
      <c r="H1713" s="6">
        <f t="shared" si="403"/>
        <v>1961.7574608828436</v>
      </c>
      <c r="I1713" s="7">
        <f t="shared" si="404"/>
        <v>-9.7288658711175486</v>
      </c>
      <c r="J1713" s="7">
        <f t="shared" si="405"/>
        <v>-41.124161312772571</v>
      </c>
      <c r="K1713" s="8">
        <f t="shared" si="409"/>
        <v>375.25625502881974</v>
      </c>
      <c r="L1713" s="8">
        <f t="shared" si="410"/>
        <v>-15.760762711210427</v>
      </c>
      <c r="M1713" s="8">
        <f t="shared" si="407"/>
        <v>66.621141326691557</v>
      </c>
      <c r="N1713" s="8">
        <f t="shared" si="411"/>
        <v>25.000000000000007</v>
      </c>
      <c r="O1713" s="8">
        <f t="shared" si="412"/>
        <v>30.914324791406703</v>
      </c>
    </row>
    <row r="1714" spans="1:15" x14ac:dyDescent="0.3">
      <c r="A1714" s="5">
        <f t="shared" si="398"/>
        <v>17.059999999999867</v>
      </c>
      <c r="B1714" s="5">
        <f t="shared" si="408"/>
        <v>82.284615379190811</v>
      </c>
      <c r="C1714" s="6">
        <f t="shared" si="406"/>
        <v>3173.8351646259312</v>
      </c>
      <c r="D1714" s="6">
        <f t="shared" si="399"/>
        <v>10073229.652216112</v>
      </c>
      <c r="E1714" s="7">
        <f t="shared" si="400"/>
        <v>6248571.4285714282</v>
      </c>
      <c r="F1714" s="7">
        <f t="shared" si="401"/>
        <v>124.97142857142855</v>
      </c>
      <c r="G1714" s="7">
        <f t="shared" si="402"/>
        <v>3824658.2236446841</v>
      </c>
      <c r="H1714" s="6">
        <f t="shared" si="403"/>
        <v>1955.6733427760078</v>
      </c>
      <c r="I1714" s="7">
        <f t="shared" si="404"/>
        <v>-9.7475225799605223</v>
      </c>
      <c r="J1714" s="7">
        <f t="shared" si="405"/>
        <v>-41.04544987633011</v>
      </c>
      <c r="K1714" s="8">
        <f t="shared" si="409"/>
        <v>375.97587094133439</v>
      </c>
      <c r="L1714" s="8">
        <f t="shared" si="410"/>
        <v>-15.790986579536042</v>
      </c>
      <c r="M1714" s="8">
        <f t="shared" si="407"/>
        <v>66.493628799654772</v>
      </c>
      <c r="N1714" s="8">
        <f t="shared" si="411"/>
        <v>25</v>
      </c>
      <c r="O1714" s="8">
        <f t="shared" si="412"/>
        <v>30.937029932263982</v>
      </c>
    </row>
    <row r="1715" spans="1:15" x14ac:dyDescent="0.3">
      <c r="A1715" s="5">
        <f t="shared" si="398"/>
        <v>17.069999999999869</v>
      </c>
      <c r="B1715" s="5">
        <f t="shared" si="408"/>
        <v>82.187140153391212</v>
      </c>
      <c r="C1715" s="6">
        <f t="shared" si="406"/>
        <v>3170.0754059165179</v>
      </c>
      <c r="D1715" s="6">
        <f t="shared" si="399"/>
        <v>10049378.079196775</v>
      </c>
      <c r="E1715" s="7">
        <f t="shared" si="400"/>
        <v>6248571.4285714282</v>
      </c>
      <c r="F1715" s="7">
        <f t="shared" si="401"/>
        <v>124.97142857142855</v>
      </c>
      <c r="G1715" s="7">
        <f t="shared" si="402"/>
        <v>3800806.6506253472</v>
      </c>
      <c r="H1715" s="6">
        <f t="shared" si="403"/>
        <v>1949.5657595027019</v>
      </c>
      <c r="I1715" s="7">
        <f t="shared" si="404"/>
        <v>-9.7663094706180988</v>
      </c>
      <c r="J1715" s="7">
        <f t="shared" si="405"/>
        <v>-40.966493093203638</v>
      </c>
      <c r="K1715" s="8">
        <f t="shared" si="409"/>
        <v>376.70050815241234</v>
      </c>
      <c r="L1715" s="8">
        <f t="shared" si="410"/>
        <v>-15.821421342401317</v>
      </c>
      <c r="M1715" s="8">
        <f t="shared" si="407"/>
        <v>66.36571881098989</v>
      </c>
      <c r="N1715" s="8">
        <f t="shared" si="411"/>
        <v>25.000000000000004</v>
      </c>
      <c r="O1715" s="8">
        <f t="shared" si="412"/>
        <v>30.959937459376</v>
      </c>
    </row>
    <row r="1716" spans="1:15" x14ac:dyDescent="0.3">
      <c r="A1716" s="5">
        <f t="shared" si="398"/>
        <v>17.07999999999987</v>
      </c>
      <c r="B1716" s="5">
        <f t="shared" si="408"/>
        <v>82.089477058685034</v>
      </c>
      <c r="C1716" s="6">
        <f t="shared" si="406"/>
        <v>3166.3084008349938</v>
      </c>
      <c r="D1716" s="6">
        <f t="shared" si="399"/>
        <v>10025508.889198255</v>
      </c>
      <c r="E1716" s="7">
        <f t="shared" si="400"/>
        <v>6248571.4285714282</v>
      </c>
      <c r="F1716" s="7">
        <f t="shared" si="401"/>
        <v>124.97142857142855</v>
      </c>
      <c r="G1716" s="7">
        <f t="shared" si="402"/>
        <v>3776937.4606268266</v>
      </c>
      <c r="H1716" s="6">
        <f t="shared" si="403"/>
        <v>1943.4344497890395</v>
      </c>
      <c r="I1716" s="7">
        <f t="shared" si="404"/>
        <v>-9.7852282319635133</v>
      </c>
      <c r="J1716" s="7">
        <f t="shared" si="405"/>
        <v>-40.887288470928482</v>
      </c>
      <c r="K1716" s="8">
        <f t="shared" si="409"/>
        <v>377.43023180430691</v>
      </c>
      <c r="L1716" s="8">
        <f t="shared" si="410"/>
        <v>-15.852069735780889</v>
      </c>
      <c r="M1716" s="8">
        <f t="shared" si="407"/>
        <v>66.237407322904147</v>
      </c>
      <c r="N1716" s="8">
        <f t="shared" si="411"/>
        <v>25.000000000000007</v>
      </c>
      <c r="O1716" s="8">
        <f t="shared" si="412"/>
        <v>30.983050354953825</v>
      </c>
    </row>
    <row r="1717" spans="1:15" x14ac:dyDescent="0.3">
      <c r="A1717" s="5">
        <f t="shared" si="398"/>
        <v>17.089999999999872</v>
      </c>
      <c r="B1717" s="5">
        <f t="shared" si="408"/>
        <v>81.991624776365398</v>
      </c>
      <c r="C1717" s="6">
        <f t="shared" si="406"/>
        <v>3162.534098516951</v>
      </c>
      <c r="D1717" s="6">
        <f t="shared" si="399"/>
        <v>10001621.924282424</v>
      </c>
      <c r="E1717" s="7">
        <f t="shared" si="400"/>
        <v>6248571.4285714282</v>
      </c>
      <c r="F1717" s="7">
        <f t="shared" si="401"/>
        <v>124.97142857142855</v>
      </c>
      <c r="G1717" s="7">
        <f t="shared" si="402"/>
        <v>3753050.495710996</v>
      </c>
      <c r="H1717" s="6">
        <f t="shared" si="403"/>
        <v>1937.2791475961837</v>
      </c>
      <c r="I1717" s="7">
        <f t="shared" si="404"/>
        <v>-9.8042805857857473</v>
      </c>
      <c r="J1717" s="7">
        <f t="shared" si="405"/>
        <v>-40.80783347369907</v>
      </c>
      <c r="K1717" s="8">
        <f t="shared" si="409"/>
        <v>378.16510830887881</v>
      </c>
      <c r="L1717" s="8">
        <f t="shared" si="410"/>
        <v>-15.882934548972909</v>
      </c>
      <c r="M1717" s="8">
        <f t="shared" si="407"/>
        <v>66.108690227392486</v>
      </c>
      <c r="N1717" s="8">
        <f t="shared" si="411"/>
        <v>24.999999999999996</v>
      </c>
      <c r="O1717" s="8">
        <f t="shared" si="412"/>
        <v>31.006371663975173</v>
      </c>
    </row>
    <row r="1718" spans="1:15" x14ac:dyDescent="0.3">
      <c r="A1718" s="5">
        <f t="shared" si="398"/>
        <v>17.099999999999874</v>
      </c>
      <c r="B1718" s="5">
        <f t="shared" si="408"/>
        <v>81.89358197050754</v>
      </c>
      <c r="C1718" s="6">
        <f t="shared" si="406"/>
        <v>3158.752447433862</v>
      </c>
      <c r="D1718" s="6">
        <f t="shared" si="399"/>
        <v>9977717.0241694134</v>
      </c>
      <c r="E1718" s="7">
        <f t="shared" si="400"/>
        <v>6248571.4285714282</v>
      </c>
      <c r="F1718" s="7">
        <f t="shared" si="401"/>
        <v>124.97142857142855</v>
      </c>
      <c r="G1718" s="7">
        <f t="shared" si="402"/>
        <v>3729145.5955979852</v>
      </c>
      <c r="H1718" s="6">
        <f t="shared" si="403"/>
        <v>1931.0995819993295</v>
      </c>
      <c r="I1718" s="7">
        <f t="shared" si="404"/>
        <v>-9.8234682876562971</v>
      </c>
      <c r="J1718" s="7">
        <f t="shared" si="405"/>
        <v>-40.728125521298985</v>
      </c>
      <c r="K1718" s="8">
        <f t="shared" si="409"/>
        <v>378.90520538102857</v>
      </c>
      <c r="L1718" s="8">
        <f t="shared" si="410"/>
        <v>-15.914018626003198</v>
      </c>
      <c r="M1718" s="8">
        <f t="shared" si="407"/>
        <v>65.979563344504342</v>
      </c>
      <c r="N1718" s="8">
        <f t="shared" si="411"/>
        <v>25</v>
      </c>
      <c r="O1718" s="8">
        <f t="shared" si="412"/>
        <v>31.029904495923255</v>
      </c>
    </row>
    <row r="1719" spans="1:15" x14ac:dyDescent="0.3">
      <c r="A1719" s="5">
        <f t="shared" si="398"/>
        <v>17.109999999999875</v>
      </c>
      <c r="B1719" s="5">
        <f t="shared" si="408"/>
        <v>81.795347287630975</v>
      </c>
      <c r="C1719" s="6">
        <f t="shared" si="406"/>
        <v>3154.9633953800517</v>
      </c>
      <c r="D1719" s="6">
        <f t="shared" si="399"/>
        <v>9953794.0261880234</v>
      </c>
      <c r="E1719" s="7">
        <f t="shared" si="400"/>
        <v>6248571.4285714282</v>
      </c>
      <c r="F1719" s="7">
        <f t="shared" si="401"/>
        <v>124.97142857142855</v>
      </c>
      <c r="G1719" s="7">
        <f t="shared" si="402"/>
        <v>3705222.5976165952</v>
      </c>
      <c r="H1719" s="6">
        <f t="shared" si="403"/>
        <v>1924.8954770627404</v>
      </c>
      <c r="I1719" s="7">
        <f t="shared" si="404"/>
        <v>-9.8427931278248515</v>
      </c>
      <c r="J1719" s="7">
        <f t="shared" si="405"/>
        <v>-40.648161987996744</v>
      </c>
      <c r="K1719" s="8">
        <f t="shared" si="409"/>
        <v>379.65059207324424</v>
      </c>
      <c r="L1719" s="8">
        <f t="shared" si="410"/>
        <v>-15.945324867076257</v>
      </c>
      <c r="M1719" s="8">
        <f t="shared" si="407"/>
        <v>65.850022420554723</v>
      </c>
      <c r="N1719" s="8">
        <f t="shared" si="411"/>
        <v>25.000000000000007</v>
      </c>
      <c r="O1719" s="8">
        <f t="shared" si="412"/>
        <v>31.053652026585734</v>
      </c>
    </row>
    <row r="1720" spans="1:15" x14ac:dyDescent="0.3">
      <c r="A1720" s="5">
        <f t="shared" si="398"/>
        <v>17.119999999999877</v>
      </c>
      <c r="B1720" s="5">
        <f t="shared" si="408"/>
        <v>81.696919356352723</v>
      </c>
      <c r="C1720" s="6">
        <f t="shared" si="406"/>
        <v>3151.166889459319</v>
      </c>
      <c r="D1720" s="6">
        <f t="shared" si="399"/>
        <v>9929852.7652247194</v>
      </c>
      <c r="E1720" s="7">
        <f t="shared" si="400"/>
        <v>6248571.4285714282</v>
      </c>
      <c r="F1720" s="7">
        <f t="shared" si="401"/>
        <v>124.97142857142855</v>
      </c>
      <c r="G1720" s="7">
        <f t="shared" si="402"/>
        <v>3681281.3366532912</v>
      </c>
      <c r="H1720" s="6">
        <f t="shared" si="403"/>
        <v>1918.6665517106644</v>
      </c>
      <c r="I1720" s="7">
        <f t="shared" si="404"/>
        <v>-9.8622569321451579</v>
      </c>
      <c r="J1720" s="7">
        <f t="shared" si="405"/>
        <v>-40.567940201405911</v>
      </c>
      <c r="K1720" s="8">
        <f t="shared" si="409"/>
        <v>380.40133881131322</v>
      </c>
      <c r="L1720" s="8">
        <f t="shared" si="410"/>
        <v>-15.976856230075153</v>
      </c>
      <c r="M1720" s="8">
        <f t="shared" si="407"/>
        <v>65.720063126277566</v>
      </c>
      <c r="N1720" s="8">
        <f t="shared" si="411"/>
        <v>25.000000000000004</v>
      </c>
      <c r="O1720" s="8">
        <f t="shared" si="412"/>
        <v>31.077617499916464</v>
      </c>
    </row>
    <row r="1721" spans="1:15" x14ac:dyDescent="0.3">
      <c r="A1721" s="5">
        <f t="shared" si="398"/>
        <v>17.129999999999878</v>
      </c>
      <c r="B1721" s="5">
        <f t="shared" si="408"/>
        <v>81.598296787031273</v>
      </c>
      <c r="C1721" s="6">
        <f t="shared" si="406"/>
        <v>3147.3628760712063</v>
      </c>
      <c r="D1721" s="6">
        <f t="shared" si="399"/>
        <v>9905893.0736712161</v>
      </c>
      <c r="E1721" s="7">
        <f t="shared" si="400"/>
        <v>6248571.4285714282</v>
      </c>
      <c r="F1721" s="7">
        <f t="shared" si="401"/>
        <v>124.97142857142855</v>
      </c>
      <c r="G1721" s="7">
        <f t="shared" si="402"/>
        <v>3657321.645099788</v>
      </c>
      <c r="H1721" s="6">
        <f t="shared" si="403"/>
        <v>1912.4125195939782</v>
      </c>
      <c r="I1721" s="7">
        <f t="shared" si="404"/>
        <v>-9.8818615630322331</v>
      </c>
      <c r="J1721" s="7">
        <f t="shared" si="405"/>
        <v>-40.487457441308074</v>
      </c>
      <c r="K1721" s="8">
        <f t="shared" si="409"/>
        <v>381.15751743124326</v>
      </c>
      <c r="L1721" s="8">
        <f t="shared" si="410"/>
        <v>-16.008615732112215</v>
      </c>
      <c r="M1721" s="8">
        <f t="shared" si="407"/>
        <v>65.589681054919055</v>
      </c>
      <c r="N1721" s="8">
        <f t="shared" si="411"/>
        <v>24.999999999999996</v>
      </c>
      <c r="O1721" s="8">
        <f t="shared" si="412"/>
        <v>31.101804229962632</v>
      </c>
    </row>
    <row r="1722" spans="1:15" x14ac:dyDescent="0.3">
      <c r="A1722" s="5">
        <f t="shared" si="398"/>
        <v>17.13999999999988</v>
      </c>
      <c r="B1722" s="5">
        <f t="shared" si="408"/>
        <v>81.499478171400952</v>
      </c>
      <c r="C1722" s="6">
        <f t="shared" si="406"/>
        <v>3143.5513008968937</v>
      </c>
      <c r="D1722" s="6">
        <f t="shared" si="399"/>
        <v>9881914.7813705523</v>
      </c>
      <c r="E1722" s="7">
        <f t="shared" si="400"/>
        <v>6248571.4285714282</v>
      </c>
      <c r="F1722" s="7">
        <f t="shared" si="401"/>
        <v>124.97142857142855</v>
      </c>
      <c r="G1722" s="7">
        <f t="shared" si="402"/>
        <v>3633343.3527991241</v>
      </c>
      <c r="H1722" s="6">
        <f t="shared" si="403"/>
        <v>1906.1330889523754</v>
      </c>
      <c r="I1722" s="7">
        <f t="shared" si="404"/>
        <v>-9.9016089204522526</v>
      </c>
      <c r="J1722" s="7">
        <f t="shared" si="405"/>
        <v>-40.406710938437229</v>
      </c>
      <c r="K1722" s="8">
        <f t="shared" si="409"/>
        <v>381.91920121744403</v>
      </c>
      <c r="L1722" s="8">
        <f t="shared" si="410"/>
        <v>-16.040606451132646</v>
      </c>
      <c r="M1722" s="8">
        <f t="shared" si="407"/>
        <v>65.458871720268306</v>
      </c>
      <c r="N1722" s="8">
        <f t="shared" si="411"/>
        <v>25.000000000000007</v>
      </c>
      <c r="O1722" s="8">
        <f t="shared" si="412"/>
        <v>31.126215602859968</v>
      </c>
    </row>
    <row r="1723" spans="1:15" x14ac:dyDescent="0.3">
      <c r="A1723" s="5">
        <f t="shared" si="398"/>
        <v>17.149999999999881</v>
      </c>
      <c r="B1723" s="5">
        <f t="shared" si="408"/>
        <v>81.400462082196427</v>
      </c>
      <c r="C1723" s="6">
        <f t="shared" si="406"/>
        <v>3139.7321088847193</v>
      </c>
      <c r="D1723" s="6">
        <f t="shared" si="399"/>
        <v>9857917.7155616861</v>
      </c>
      <c r="E1723" s="7">
        <f t="shared" si="400"/>
        <v>6248571.4285714282</v>
      </c>
      <c r="F1723" s="7">
        <f t="shared" si="401"/>
        <v>124.97142857142855</v>
      </c>
      <c r="G1723" s="7">
        <f t="shared" si="402"/>
        <v>3609346.2869902579</v>
      </c>
      <c r="H1723" s="6">
        <f t="shared" si="403"/>
        <v>1899.8279624719335</v>
      </c>
      <c r="I1723" s="7">
        <f t="shared" si="404"/>
        <v>-9.9215009429463912</v>
      </c>
      <c r="J1723" s="7">
        <f t="shared" si="405"/>
        <v>-40.32569787322425</v>
      </c>
      <c r="K1723" s="8">
        <f t="shared" si="409"/>
        <v>382.68646494221792</v>
      </c>
      <c r="L1723" s="8">
        <f t="shared" si="410"/>
        <v>-16.07283152757315</v>
      </c>
      <c r="M1723" s="8">
        <f t="shared" si="407"/>
        <v>65.327630554623283</v>
      </c>
      <c r="N1723" s="8">
        <f t="shared" si="411"/>
        <v>25.000000000000007</v>
      </c>
      <c r="O1723" s="8">
        <f t="shared" si="412"/>
        <v>31.150855078898804</v>
      </c>
    </row>
    <row r="1724" spans="1:15" x14ac:dyDescent="0.3">
      <c r="A1724" s="5">
        <f t="shared" si="398"/>
        <v>17.159999999999883</v>
      </c>
      <c r="B1724" s="5">
        <f t="shared" si="408"/>
        <v>81.301247072766969</v>
      </c>
      <c r="C1724" s="6">
        <f t="shared" si="406"/>
        <v>3135.9052442352972</v>
      </c>
      <c r="D1724" s="6">
        <f t="shared" si="399"/>
        <v>9833901.700822439</v>
      </c>
      <c r="E1724" s="7">
        <f t="shared" si="400"/>
        <v>6248571.4285714282</v>
      </c>
      <c r="F1724" s="7">
        <f t="shared" si="401"/>
        <v>124.97142857142855</v>
      </c>
      <c r="G1724" s="7">
        <f t="shared" si="402"/>
        <v>3585330.2722510109</v>
      </c>
      <c r="H1724" s="6">
        <f t="shared" si="403"/>
        <v>1893.4968371378418</v>
      </c>
      <c r="I1724" s="7">
        <f t="shared" si="404"/>
        <v>-9.9415396086902028</v>
      </c>
      <c r="J1724" s="7">
        <f t="shared" si="405"/>
        <v>-40.24441537449929</v>
      </c>
      <c r="K1724" s="8">
        <f t="shared" si="409"/>
        <v>383.45938490662206</v>
      </c>
      <c r="L1724" s="8">
        <f t="shared" si="410"/>
        <v>-16.105294166078124</v>
      </c>
      <c r="M1724" s="8">
        <f t="shared" si="407"/>
        <v>65.195952906688845</v>
      </c>
      <c r="N1724" s="8">
        <f t="shared" si="411"/>
        <v>25.000000000000004</v>
      </c>
      <c r="O1724" s="8">
        <f t="shared" si="412"/>
        <v>31.175726194664531</v>
      </c>
    </row>
    <row r="1725" spans="1:15" x14ac:dyDescent="0.3">
      <c r="A1725" s="5">
        <f t="shared" si="398"/>
        <v>17.169999999999884</v>
      </c>
      <c r="B1725" s="5">
        <f t="shared" si="408"/>
        <v>81.201831676680072</v>
      </c>
      <c r="C1725" s="6">
        <f t="shared" si="406"/>
        <v>3132.0706503862311</v>
      </c>
      <c r="D1725" s="6">
        <f t="shared" si="399"/>
        <v>9809866.5590108298</v>
      </c>
      <c r="E1725" s="7">
        <f t="shared" si="400"/>
        <v>6248571.4285714282</v>
      </c>
      <c r="F1725" s="7">
        <f t="shared" si="401"/>
        <v>124.97142857142855</v>
      </c>
      <c r="G1725" s="7">
        <f t="shared" si="402"/>
        <v>3561295.1304394016</v>
      </c>
      <c r="H1725" s="6">
        <f t="shared" si="403"/>
        <v>1887.1394040821153</v>
      </c>
      <c r="I1725" s="7">
        <f t="shared" si="404"/>
        <v>-9.961726936589864</v>
      </c>
      <c r="J1725" s="7">
        <f t="shared" si="405"/>
        <v>-40.162860518150929</v>
      </c>
      <c r="K1725" s="8">
        <f t="shared" si="409"/>
        <v>384.2380389827519</v>
      </c>
      <c r="L1725" s="8">
        <f t="shared" si="410"/>
        <v>-16.137997637275578</v>
      </c>
      <c r="M1725" s="8">
        <f t="shared" si="407"/>
        <v>65.063834039404497</v>
      </c>
      <c r="N1725" s="8">
        <f t="shared" si="411"/>
        <v>25.000000000000004</v>
      </c>
      <c r="O1725" s="8">
        <f t="shared" si="412"/>
        <v>31.200832565255055</v>
      </c>
    </row>
    <row r="1726" spans="1:15" x14ac:dyDescent="0.3">
      <c r="A1726" s="5">
        <f t="shared" si="398"/>
        <v>17.179999999999886</v>
      </c>
      <c r="B1726" s="5">
        <f t="shared" si="408"/>
        <v>81.102214407314179</v>
      </c>
      <c r="C1726" s="6">
        <f t="shared" si="406"/>
        <v>3128.2282699964039</v>
      </c>
      <c r="D1726" s="6">
        <f t="shared" si="399"/>
        <v>9785812.1092046946</v>
      </c>
      <c r="E1726" s="7">
        <f t="shared" si="400"/>
        <v>6248571.4285714282</v>
      </c>
      <c r="F1726" s="7">
        <f t="shared" si="401"/>
        <v>124.97142857142855</v>
      </c>
      <c r="G1726" s="7">
        <f t="shared" si="402"/>
        <v>3537240.6806332665</v>
      </c>
      <c r="H1726" s="6">
        <f t="shared" si="403"/>
        <v>1880.7553484260695</v>
      </c>
      <c r="I1726" s="7">
        <f t="shared" si="404"/>
        <v>-9.982064987416944</v>
      </c>
      <c r="J1726" s="7">
        <f t="shared" si="405"/>
        <v>-40.08103032573996</v>
      </c>
      <c r="K1726" s="8">
        <f t="shared" si="409"/>
        <v>385.02250665751069</v>
      </c>
      <c r="L1726" s="8">
        <f t="shared" si="410"/>
        <v>-16.170945279615449</v>
      </c>
      <c r="M1726" s="8">
        <f t="shared" si="407"/>
        <v>64.931269127698727</v>
      </c>
      <c r="N1726" s="8">
        <f t="shared" si="411"/>
        <v>25</v>
      </c>
      <c r="O1726" s="8">
        <f t="shared" si="412"/>
        <v>31.226177886578981</v>
      </c>
    </row>
    <row r="1727" spans="1:15" x14ac:dyDescent="0.3">
      <c r="A1727" s="5">
        <f t="shared" ref="A1727:A1790" si="413">A1726+$B$5</f>
        <v>17.189999999999888</v>
      </c>
      <c r="B1727" s="5">
        <f t="shared" si="408"/>
        <v>81.002393757440004</v>
      </c>
      <c r="C1727" s="6">
        <f t="shared" si="406"/>
        <v>3124.3780449298288</v>
      </c>
      <c r="D1727" s="6">
        <f t="shared" ref="D1727:D1790" si="414">POWER(C1727,2)</f>
        <v>9761738.1676395386</v>
      </c>
      <c r="E1727" s="7">
        <f t="shared" ref="E1727:E1790" si="415">4*$B$2*$B$3*POWER($B$1,2)</f>
        <v>6248571.4285714282</v>
      </c>
      <c r="F1727" s="7">
        <f t="shared" ref="F1727:F1790" si="416">POWER($B$1,2)*2*$B$2</f>
        <v>124.97142857142855</v>
      </c>
      <c r="G1727" s="7">
        <f t="shared" ref="G1727:G1790" si="417">D1727-E1727</f>
        <v>3513166.7390681105</v>
      </c>
      <c r="H1727" s="6">
        <f t="shared" ref="H1727:H1790" si="418">SQRT(G1727)</f>
        <v>1874.3443491173414</v>
      </c>
      <c r="I1727" s="7">
        <f t="shared" ref="I1727:I1790" si="419">(-C1727+H1727)/F1727</f>
        <v>-10.002555864983325</v>
      </c>
      <c r="J1727" s="7">
        <f t="shared" ref="J1727:J1790" si="420">(-C1727-H1727)/F1727</f>
        <v>-39.998921763066072</v>
      </c>
      <c r="K1727" s="8">
        <f t="shared" si="409"/>
        <v>385.81286907792821</v>
      </c>
      <c r="L1727" s="8">
        <f t="shared" si="410"/>
        <v>-16.204140501272985</v>
      </c>
      <c r="M1727" s="8">
        <f t="shared" si="407"/>
        <v>64.798253256167015</v>
      </c>
      <c r="N1727" s="8">
        <f t="shared" si="411"/>
        <v>25</v>
      </c>
      <c r="O1727" s="8">
        <f t="shared" si="412"/>
        <v>31.251765937737989</v>
      </c>
    </row>
    <row r="1728" spans="1:15" x14ac:dyDescent="0.3">
      <c r="A1728" s="5">
        <f t="shared" si="413"/>
        <v>17.199999999999889</v>
      </c>
      <c r="B1728" s="5">
        <f t="shared" si="408"/>
        <v>80.902368198790171</v>
      </c>
      <c r="C1728" s="6">
        <f t="shared" si="406"/>
        <v>3120.5199162390495</v>
      </c>
      <c r="D1728" s="6">
        <f t="shared" si="414"/>
        <v>9737644.5476445649</v>
      </c>
      <c r="E1728" s="7">
        <f t="shared" si="415"/>
        <v>6248571.4285714282</v>
      </c>
      <c r="F1728" s="7">
        <f t="shared" si="416"/>
        <v>124.97142857142855</v>
      </c>
      <c r="G1728" s="7">
        <f t="shared" si="417"/>
        <v>3489073.1190731367</v>
      </c>
      <c r="H1728" s="6">
        <f t="shared" si="418"/>
        <v>1867.9060787612252</v>
      </c>
      <c r="I1728" s="7">
        <f t="shared" si="419"/>
        <v>-10.023201717357992</v>
      </c>
      <c r="J1728" s="7">
        <f t="shared" si="420"/>
        <v>-39.916531738685329</v>
      </c>
      <c r="K1728" s="8">
        <f t="shared" si="409"/>
        <v>386.60920909809397</v>
      </c>
      <c r="L1728" s="8">
        <f t="shared" si="410"/>
        <v>-16.237586782119944</v>
      </c>
      <c r="M1728" s="8">
        <f t="shared" si="407"/>
        <v>64.664781416670223</v>
      </c>
      <c r="N1728" s="8">
        <f t="shared" si="411"/>
        <v>25</v>
      </c>
      <c r="O1728" s="8">
        <f t="shared" si="412"/>
        <v>31.277600583497055</v>
      </c>
    </row>
    <row r="1729" spans="1:15" x14ac:dyDescent="0.3">
      <c r="A1729" s="5">
        <f t="shared" si="413"/>
        <v>17.209999999999891</v>
      </c>
      <c r="B1729" s="5">
        <f t="shared" si="408"/>
        <v>80.802136181616589</v>
      </c>
      <c r="C1729" s="6">
        <f t="shared" si="406"/>
        <v>3116.6538241480685</v>
      </c>
      <c r="D1729" s="6">
        <f t="shared" si="414"/>
        <v>9713531.0595767796</v>
      </c>
      <c r="E1729" s="7">
        <f t="shared" si="415"/>
        <v>6248571.4285714282</v>
      </c>
      <c r="F1729" s="7">
        <f t="shared" si="416"/>
        <v>124.97142857142855</v>
      </c>
      <c r="G1729" s="7">
        <f t="shared" si="417"/>
        <v>3464959.6310053514</v>
      </c>
      <c r="H1729" s="6">
        <f t="shared" si="418"/>
        <v>1861.4402034460713</v>
      </c>
      <c r="I1729" s="7">
        <f t="shared" si="419"/>
        <v>-10.044004738127551</v>
      </c>
      <c r="J1729" s="7">
        <f t="shared" si="420"/>
        <v>-39.83385710237652</v>
      </c>
      <c r="K1729" s="8">
        <f t="shared" si="409"/>
        <v>387.41161132777694</v>
      </c>
      <c r="L1729" s="8">
        <f t="shared" si="410"/>
        <v>-16.271287675766629</v>
      </c>
      <c r="M1729" s="8">
        <f t="shared" si="407"/>
        <v>64.53084850584996</v>
      </c>
      <c r="N1729" s="8">
        <f t="shared" si="411"/>
        <v>25</v>
      </c>
      <c r="O1729" s="8">
        <f t="shared" si="412"/>
        <v>31.30368577684655</v>
      </c>
    </row>
    <row r="1730" spans="1:15" x14ac:dyDescent="0.3">
      <c r="A1730" s="5">
        <f t="shared" si="413"/>
        <v>17.219999999999892</v>
      </c>
      <c r="B1730" s="5">
        <f t="shared" si="408"/>
        <v>80.70169613423532</v>
      </c>
      <c r="C1730" s="6">
        <f t="shared" si="406"/>
        <v>3112.7797080347909</v>
      </c>
      <c r="D1730" s="6">
        <f t="shared" si="414"/>
        <v>9689397.5107531585</v>
      </c>
      <c r="E1730" s="7">
        <f t="shared" si="415"/>
        <v>6248571.4285714282</v>
      </c>
      <c r="F1730" s="7">
        <f t="shared" si="416"/>
        <v>124.97142857142855</v>
      </c>
      <c r="G1730" s="7">
        <f t="shared" si="417"/>
        <v>3440826.0821817303</v>
      </c>
      <c r="H1730" s="6">
        <f t="shared" si="418"/>
        <v>1854.9463825625069</v>
      </c>
      <c r="I1730" s="7">
        <f t="shared" si="419"/>
        <v>-10.064967167702321</v>
      </c>
      <c r="J1730" s="7">
        <f t="shared" si="420"/>
        <v>-39.750894643554062</v>
      </c>
      <c r="K1730" s="8">
        <f t="shared" si="409"/>
        <v>388.22016218280379</v>
      </c>
      <c r="L1730" s="8">
        <f t="shared" si="410"/>
        <v>-16.305246811677758</v>
      </c>
      <c r="M1730" s="8">
        <f t="shared" si="407"/>
        <v>64.396449322557558</v>
      </c>
      <c r="N1730" s="8">
        <f t="shared" si="411"/>
        <v>25</v>
      </c>
      <c r="O1730" s="8">
        <f t="shared" si="412"/>
        <v>31.330025561660186</v>
      </c>
    </row>
    <row r="1731" spans="1:15" x14ac:dyDescent="0.3">
      <c r="A1731" s="5">
        <f t="shared" si="413"/>
        <v>17.229999999999894</v>
      </c>
      <c r="B1731" s="5">
        <f t="shared" si="408"/>
        <v>80.601046462558301</v>
      </c>
      <c r="C1731" s="6">
        <f t="shared" si="406"/>
        <v>3108.8975064129627</v>
      </c>
      <c r="D1731" s="6">
        <f t="shared" si="414"/>
        <v>9665243.7053807378</v>
      </c>
      <c r="E1731" s="7">
        <f t="shared" si="415"/>
        <v>6248571.4285714282</v>
      </c>
      <c r="F1731" s="7">
        <f t="shared" si="416"/>
        <v>124.97142857142855</v>
      </c>
      <c r="G1731" s="7">
        <f t="shared" si="417"/>
        <v>3416672.2768093096</v>
      </c>
      <c r="H1731" s="6">
        <f t="shared" si="418"/>
        <v>1848.4242686161933</v>
      </c>
      <c r="I1731" s="7">
        <f t="shared" si="419"/>
        <v>-10.086091294670082</v>
      </c>
      <c r="J1731" s="7">
        <f t="shared" si="420"/>
        <v>-39.667641089625171</v>
      </c>
      <c r="K1731" s="8">
        <f t="shared" si="409"/>
        <v>389.03494993727458</v>
      </c>
      <c r="L1731" s="8">
        <f t="shared" si="410"/>
        <v>-16.33946789736553</v>
      </c>
      <c r="M1731" s="8">
        <f t="shared" si="407"/>
        <v>64.261578565192764</v>
      </c>
      <c r="N1731" s="8">
        <f t="shared" si="411"/>
        <v>25.000000000000004</v>
      </c>
      <c r="O1731" s="8">
        <f t="shared" si="412"/>
        <v>31.356624075453311</v>
      </c>
    </row>
    <row r="1732" spans="1:15" x14ac:dyDescent="0.3">
      <c r="A1732" s="5">
        <f t="shared" si="413"/>
        <v>17.239999999999895</v>
      </c>
      <c r="B1732" s="5">
        <f t="shared" si="408"/>
        <v>80.500185549611601</v>
      </c>
      <c r="C1732" s="6">
        <f t="shared" si="406"/>
        <v>3105.0071569135903</v>
      </c>
      <c r="D1732" s="6">
        <f t="shared" si="414"/>
        <v>9641069.4444846176</v>
      </c>
      <c r="E1732" s="7">
        <f t="shared" si="415"/>
        <v>6248571.4285714282</v>
      </c>
      <c r="F1732" s="7">
        <f t="shared" si="416"/>
        <v>124.97142857142855</v>
      </c>
      <c r="G1732" s="7">
        <f t="shared" si="417"/>
        <v>3392498.0159131894</v>
      </c>
      <c r="H1732" s="6">
        <f t="shared" si="418"/>
        <v>1841.8735070338541</v>
      </c>
      <c r="I1732" s="7">
        <f t="shared" si="419"/>
        <v>-10.107379457199537</v>
      </c>
      <c r="J1732" s="7">
        <f t="shared" si="420"/>
        <v>-39.58409310428911</v>
      </c>
      <c r="K1732" s="8">
        <f t="shared" si="409"/>
        <v>389.85606477769642</v>
      </c>
      <c r="L1732" s="8">
        <f t="shared" si="410"/>
        <v>-16.373954720663249</v>
      </c>
      <c r="M1732" s="8">
        <f t="shared" si="407"/>
        <v>64.126230828948351</v>
      </c>
      <c r="N1732" s="8">
        <f t="shared" si="411"/>
        <v>25</v>
      </c>
      <c r="O1732" s="8">
        <f t="shared" si="412"/>
        <v>31.383485552245961</v>
      </c>
    </row>
    <row r="1733" spans="1:15" x14ac:dyDescent="0.3">
      <c r="A1733" s="5">
        <f t="shared" si="413"/>
        <v>17.249999999999897</v>
      </c>
      <c r="B1733" s="5">
        <f t="shared" si="408"/>
        <v>80.399111755039598</v>
      </c>
      <c r="C1733" s="6">
        <f t="shared" si="406"/>
        <v>3101.108596265813</v>
      </c>
      <c r="D1733" s="6">
        <f t="shared" si="414"/>
        <v>9616874.5258337222</v>
      </c>
      <c r="E1733" s="7">
        <f t="shared" si="415"/>
        <v>6248571.4285714282</v>
      </c>
      <c r="F1733" s="7">
        <f t="shared" si="416"/>
        <v>124.97142857142855</v>
      </c>
      <c r="G1733" s="7">
        <f t="shared" si="417"/>
        <v>3368303.097262294</v>
      </c>
      <c r="H1733" s="6">
        <f t="shared" si="418"/>
        <v>1835.2937359622558</v>
      </c>
      <c r="I1733" s="7">
        <f t="shared" si="419"/>
        <v>-10.128834044495774</v>
      </c>
      <c r="J1733" s="7">
        <f t="shared" si="420"/>
        <v>-39.500247285775593</v>
      </c>
      <c r="K1733" s="8">
        <f t="shared" si="409"/>
        <v>390.6835988591227</v>
      </c>
      <c r="L1733" s="8">
        <f t="shared" si="410"/>
        <v>-16.40871115208315</v>
      </c>
      <c r="M1733" s="8">
        <f t="shared" si="407"/>
        <v>63.990400602956448</v>
      </c>
      <c r="N1733" s="8">
        <f t="shared" si="411"/>
        <v>25</v>
      </c>
      <c r="O1733" s="8">
        <f t="shared" si="412"/>
        <v>31.410614325535665</v>
      </c>
    </row>
    <row r="1734" spans="1:15" x14ac:dyDescent="0.3">
      <c r="A1734" s="5">
        <f t="shared" si="413"/>
        <v>17.259999999999899</v>
      </c>
      <c r="B1734" s="5">
        <f t="shared" si="408"/>
        <v>80.297823414594646</v>
      </c>
      <c r="C1734" s="6">
        <f t="shared" si="406"/>
        <v>3097.2017602772221</v>
      </c>
      <c r="D1734" s="6">
        <f t="shared" si="414"/>
        <v>9592658.7438643239</v>
      </c>
      <c r="E1734" s="7">
        <f t="shared" si="415"/>
        <v>6248571.4285714282</v>
      </c>
      <c r="F1734" s="7">
        <f t="shared" si="416"/>
        <v>124.97142857142855</v>
      </c>
      <c r="G1734" s="7">
        <f t="shared" si="417"/>
        <v>3344087.3152928958</v>
      </c>
      <c r="H1734" s="6">
        <f t="shared" si="418"/>
        <v>1828.684586059853</v>
      </c>
      <c r="I1734" s="7">
        <f t="shared" si="419"/>
        <v>-10.150457498309997</v>
      </c>
      <c r="J1734" s="7">
        <f t="shared" si="420"/>
        <v>-39.41610016502004</v>
      </c>
      <c r="K1734" s="8">
        <f t="shared" si="409"/>
        <v>391.51764636338561</v>
      </c>
      <c r="L1734" s="8">
        <f t="shared" si="410"/>
        <v>-16.443741147262195</v>
      </c>
      <c r="M1734" s="8">
        <f t="shared" si="407"/>
        <v>63.854082267332451</v>
      </c>
      <c r="N1734" s="8">
        <f t="shared" si="411"/>
        <v>25</v>
      </c>
      <c r="O1734" s="8">
        <f t="shared" si="412"/>
        <v>31.438014831384852</v>
      </c>
    </row>
    <row r="1735" spans="1:15" x14ac:dyDescent="0.3">
      <c r="A1735" s="5">
        <f t="shared" si="413"/>
        <v>17.2699999999999</v>
      </c>
      <c r="B1735" s="5">
        <f t="shared" si="408"/>
        <v>80.19631883961155</v>
      </c>
      <c r="C1735" s="6">
        <f t="shared" si="406"/>
        <v>3093.2865838135881</v>
      </c>
      <c r="D1735" s="6">
        <f t="shared" si="414"/>
        <v>9568421.8896011375</v>
      </c>
      <c r="E1735" s="7">
        <f t="shared" si="415"/>
        <v>6248571.4285714282</v>
      </c>
      <c r="F1735" s="7">
        <f t="shared" si="416"/>
        <v>124.97142857142855</v>
      </c>
      <c r="G1735" s="7">
        <f t="shared" si="417"/>
        <v>3319850.4610297093</v>
      </c>
      <c r="H1735" s="6">
        <f t="shared" si="418"/>
        <v>1822.0456802807412</v>
      </c>
      <c r="I1735" s="7">
        <f t="shared" si="419"/>
        <v>-10.172252314506093</v>
      </c>
      <c r="J1735" s="7">
        <f t="shared" si="420"/>
        <v>-39.331648203772652</v>
      </c>
      <c r="K1735" s="8">
        <f t="shared" si="409"/>
        <v>392.35830355952072</v>
      </c>
      <c r="L1735" s="8">
        <f t="shared" si="410"/>
        <v>-16.479048749499867</v>
      </c>
      <c r="M1735" s="8">
        <f t="shared" si="407"/>
        <v>63.717270090111683</v>
      </c>
      <c r="N1735" s="8">
        <f t="shared" si="411"/>
        <v>25.000000000000011</v>
      </c>
      <c r="O1735" s="8">
        <f t="shared" si="412"/>
        <v>31.465691611628419</v>
      </c>
    </row>
    <row r="1736" spans="1:15" x14ac:dyDescent="0.3">
      <c r="A1736" s="5">
        <f t="shared" si="413"/>
        <v>17.279999999999902</v>
      </c>
      <c r="B1736" s="5">
        <f t="shared" si="408"/>
        <v>80.094596316466493</v>
      </c>
      <c r="C1736" s="6">
        <f t="shared" ref="C1736:C1799" si="421">$B$1*B1736</f>
        <v>3089.363000777993</v>
      </c>
      <c r="D1736" s="6">
        <f t="shared" si="414"/>
        <v>9544163.7505760062</v>
      </c>
      <c r="E1736" s="7">
        <f t="shared" si="415"/>
        <v>6248571.4285714282</v>
      </c>
      <c r="F1736" s="7">
        <f t="shared" si="416"/>
        <v>124.97142857142855</v>
      </c>
      <c r="G1736" s="7">
        <f t="shared" si="417"/>
        <v>3295592.3220045781</v>
      </c>
      <c r="H1736" s="6">
        <f t="shared" si="418"/>
        <v>1815.3766336505983</v>
      </c>
      <c r="I1736" s="7">
        <f t="shared" si="419"/>
        <v>-10.194221044686516</v>
      </c>
      <c r="J1736" s="7">
        <f t="shared" si="420"/>
        <v>-39.246887792638489</v>
      </c>
      <c r="K1736" s="8">
        <f t="shared" si="409"/>
        <v>393.20566886647993</v>
      </c>
      <c r="L1736" s="8">
        <f t="shared" si="410"/>
        <v>-16.514638092392154</v>
      </c>
      <c r="M1736" s="8">
        <f t="shared" ref="M1736:M1799" si="422">B1736+L1736</f>
        <v>63.579958224074339</v>
      </c>
      <c r="N1736" s="8">
        <f t="shared" si="411"/>
        <v>25</v>
      </c>
      <c r="O1736" s="8">
        <f t="shared" si="412"/>
        <v>31.493649317206906</v>
      </c>
    </row>
    <row r="1737" spans="1:15" x14ac:dyDescent="0.3">
      <c r="A1737" s="5">
        <f t="shared" si="413"/>
        <v>17.289999999999903</v>
      </c>
      <c r="B1737" s="5">
        <f t="shared" ref="B1737:B1800" si="423">I1736*$B$5+B1736</f>
        <v>79.992654106019629</v>
      </c>
      <c r="C1737" s="6">
        <f t="shared" si="421"/>
        <v>3085.4309440893285</v>
      </c>
      <c r="D1737" s="6">
        <f t="shared" si="414"/>
        <v>9519884.1107439641</v>
      </c>
      <c r="E1737" s="7">
        <f t="shared" si="415"/>
        <v>6248571.4285714282</v>
      </c>
      <c r="F1737" s="7">
        <f t="shared" si="416"/>
        <v>124.97142857142855</v>
      </c>
      <c r="G1737" s="7">
        <f t="shared" si="417"/>
        <v>3271312.6821725359</v>
      </c>
      <c r="H1737" s="6">
        <f t="shared" si="418"/>
        <v>1808.677053034216</v>
      </c>
      <c r="I1737" s="7">
        <f t="shared" si="419"/>
        <v>-10.216366297880418</v>
      </c>
      <c r="J1737" s="7">
        <f t="shared" si="420"/>
        <v>-39.16181524904529</v>
      </c>
      <c r="K1737" s="8">
        <f t="shared" ref="K1737:K1800" si="424">-$B$1*I1737</f>
        <v>394.05984291824467</v>
      </c>
      <c r="L1737" s="8">
        <f t="shared" ref="L1737:L1800" si="425">-$B$2*K1737</f>
        <v>-16.550513402566274</v>
      </c>
      <c r="M1737" s="8">
        <f t="shared" si="422"/>
        <v>63.442140703453354</v>
      </c>
      <c r="N1737" s="8">
        <f t="shared" ref="N1737:N1800" si="426">K1737*M1737/1000</f>
        <v>25.000000000000004</v>
      </c>
      <c r="O1737" s="8">
        <f t="shared" ref="O1737:O1800" si="427">B1737*K1737/1000</f>
        <v>31.521892711631576</v>
      </c>
    </row>
    <row r="1738" spans="1:15" x14ac:dyDescent="0.3">
      <c r="A1738" s="5">
        <f t="shared" si="413"/>
        <v>17.299999999999905</v>
      </c>
      <c r="B1738" s="5">
        <f t="shared" si="423"/>
        <v>79.890490443040818</v>
      </c>
      <c r="C1738" s="6">
        <f t="shared" si="421"/>
        <v>3081.4903456601455</v>
      </c>
      <c r="D1738" s="6">
        <f t="shared" si="414"/>
        <v>9495582.7503966838</v>
      </c>
      <c r="E1738" s="7">
        <f t="shared" si="415"/>
        <v>6248571.4285714282</v>
      </c>
      <c r="F1738" s="7">
        <f t="shared" si="416"/>
        <v>124.97142857142855</v>
      </c>
      <c r="G1738" s="7">
        <f t="shared" si="417"/>
        <v>3247011.3218252556</v>
      </c>
      <c r="H1738" s="6">
        <f t="shared" si="418"/>
        <v>1801.9465368942708</v>
      </c>
      <c r="I1738" s="7">
        <f t="shared" si="419"/>
        <v>-10.238690742296667</v>
      </c>
      <c r="J1738" s="7">
        <f t="shared" si="420"/>
        <v>-39.076426815135939</v>
      </c>
      <c r="K1738" s="8">
        <f t="shared" si="424"/>
        <v>394.92092863144285</v>
      </c>
      <c r="L1738" s="8">
        <f t="shared" si="425"/>
        <v>-16.586679002520597</v>
      </c>
      <c r="M1738" s="8">
        <f t="shared" si="422"/>
        <v>63.303811440520221</v>
      </c>
      <c r="N1738" s="8">
        <f t="shared" si="426"/>
        <v>25</v>
      </c>
      <c r="O1738" s="8">
        <f t="shared" si="427"/>
        <v>31.550426674587086</v>
      </c>
    </row>
    <row r="1739" spans="1:15" x14ac:dyDescent="0.3">
      <c r="A1739" s="5">
        <f t="shared" si="413"/>
        <v>17.309999999999906</v>
      </c>
      <c r="B1739" s="5">
        <f t="shared" si="423"/>
        <v>79.78810353561785</v>
      </c>
      <c r="C1739" s="6">
        <f t="shared" si="421"/>
        <v>3077.5411363738313</v>
      </c>
      <c r="D1739" s="6">
        <f t="shared" si="414"/>
        <v>9471259.4460731335</v>
      </c>
      <c r="E1739" s="7">
        <f t="shared" si="415"/>
        <v>6248571.4285714282</v>
      </c>
      <c r="F1739" s="7">
        <f t="shared" si="416"/>
        <v>124.97142857142855</v>
      </c>
      <c r="G1739" s="7">
        <f t="shared" si="417"/>
        <v>3222688.0175017053</v>
      </c>
      <c r="H1739" s="6">
        <f t="shared" si="418"/>
        <v>1795.1846750409011</v>
      </c>
      <c r="I1739" s="7">
        <f t="shared" si="419"/>
        <v>-10.261197107145076</v>
      </c>
      <c r="J1739" s="7">
        <f t="shared" si="420"/>
        <v>-38.990718655582</v>
      </c>
      <c r="K1739" s="8">
        <f t="shared" si="424"/>
        <v>395.78903127559579</v>
      </c>
      <c r="L1739" s="8">
        <f t="shared" si="425"/>
        <v>-16.62313931357502</v>
      </c>
      <c r="M1739" s="8">
        <f t="shared" si="422"/>
        <v>63.164964222042826</v>
      </c>
      <c r="N1739" s="8">
        <f t="shared" si="426"/>
        <v>24.999999999999996</v>
      </c>
      <c r="O1739" s="8">
        <f t="shared" si="427"/>
        <v>31.57925620567913</v>
      </c>
    </row>
    <row r="1740" spans="1:15" x14ac:dyDescent="0.3">
      <c r="A1740" s="5">
        <f t="shared" si="413"/>
        <v>17.319999999999908</v>
      </c>
      <c r="B1740" s="5">
        <f t="shared" si="423"/>
        <v>79.685491564546396</v>
      </c>
      <c r="C1740" s="6">
        <f t="shared" si="421"/>
        <v>3073.583246061075</v>
      </c>
      <c r="D1740" s="6">
        <f t="shared" si="414"/>
        <v>9446913.9704673346</v>
      </c>
      <c r="E1740" s="7">
        <f t="shared" si="415"/>
        <v>6248571.4285714282</v>
      </c>
      <c r="F1740" s="7">
        <f t="shared" si="416"/>
        <v>124.97142857142855</v>
      </c>
      <c r="G1740" s="7">
        <f t="shared" si="417"/>
        <v>3198342.5418959064</v>
      </c>
      <c r="H1740" s="6">
        <f t="shared" si="418"/>
        <v>1788.3910483716659</v>
      </c>
      <c r="I1740" s="7">
        <f t="shared" si="419"/>
        <v>-10.283888184528882</v>
      </c>
      <c r="J1740" s="7">
        <f t="shared" si="420"/>
        <v>-38.90468685531458</v>
      </c>
      <c r="K1740" s="8">
        <f t="shared" si="424"/>
        <v>396.66425854611401</v>
      </c>
      <c r="L1740" s="8">
        <f t="shared" si="425"/>
        <v>-16.659898858936788</v>
      </c>
      <c r="M1740" s="8">
        <f t="shared" si="422"/>
        <v>63.025592705609611</v>
      </c>
      <c r="N1740" s="8">
        <f t="shared" si="426"/>
        <v>25.000000000000007</v>
      </c>
      <c r="O1740" s="8">
        <f t="shared" si="427"/>
        <v>31.608386428333418</v>
      </c>
    </row>
    <row r="1741" spans="1:15" x14ac:dyDescent="0.3">
      <c r="A1741" s="5">
        <f t="shared" si="413"/>
        <v>17.329999999999909</v>
      </c>
      <c r="B1741" s="5">
        <f t="shared" si="423"/>
        <v>79.582652682701109</v>
      </c>
      <c r="C1741" s="6">
        <f t="shared" si="421"/>
        <v>3069.6166034756143</v>
      </c>
      <c r="D1741" s="6">
        <f t="shared" si="414"/>
        <v>9422546.0923331659</v>
      </c>
      <c r="E1741" s="7">
        <f t="shared" si="415"/>
        <v>6248571.4285714282</v>
      </c>
      <c r="F1741" s="7">
        <f t="shared" si="416"/>
        <v>124.97142857142855</v>
      </c>
      <c r="G1741" s="7">
        <f t="shared" si="417"/>
        <v>3173974.6637617378</v>
      </c>
      <c r="H1741" s="6">
        <f t="shared" si="418"/>
        <v>1781.5652286014504</v>
      </c>
      <c r="I1741" s="7">
        <f t="shared" si="419"/>
        <v>-10.306766831411922</v>
      </c>
      <c r="J1741" s="7">
        <f t="shared" si="420"/>
        <v>-38.818327417169016</v>
      </c>
      <c r="K1741" s="8">
        <f t="shared" si="424"/>
        <v>397.5467206401741</v>
      </c>
      <c r="L1741" s="8">
        <f t="shared" si="425"/>
        <v>-16.696962266887311</v>
      </c>
      <c r="M1741" s="8">
        <f t="shared" si="422"/>
        <v>62.885690415813798</v>
      </c>
      <c r="N1741" s="8">
        <f t="shared" si="426"/>
        <v>25.000000000000004</v>
      </c>
      <c r="O1741" s="8">
        <f t="shared" si="427"/>
        <v>31.63782259385378</v>
      </c>
    </row>
    <row r="1742" spans="1:15" x14ac:dyDescent="0.3">
      <c r="A1742" s="5">
        <f t="shared" si="413"/>
        <v>17.339999999999911</v>
      </c>
      <c r="B1742" s="5">
        <f t="shared" si="423"/>
        <v>79.479585014386984</v>
      </c>
      <c r="C1742" s="6">
        <f t="shared" si="421"/>
        <v>3065.641136269212</v>
      </c>
      <c r="D1742" s="6">
        <f t="shared" si="414"/>
        <v>9398155.5763859861</v>
      </c>
      <c r="E1742" s="7">
        <f t="shared" si="415"/>
        <v>6248571.4285714282</v>
      </c>
      <c r="F1742" s="7">
        <f t="shared" si="416"/>
        <v>124.97142857142855</v>
      </c>
      <c r="G1742" s="7">
        <f t="shared" si="417"/>
        <v>3149584.1478145579</v>
      </c>
      <c r="H1742" s="6">
        <f t="shared" si="418"/>
        <v>1774.7067779818044</v>
      </c>
      <c r="I1742" s="7">
        <f t="shared" si="419"/>
        <v>-10.329835971664215</v>
      </c>
      <c r="J1742" s="7">
        <f t="shared" si="420"/>
        <v>-38.731636259438872</v>
      </c>
      <c r="K1742" s="8">
        <f t="shared" si="424"/>
        <v>398.43653033561969</v>
      </c>
      <c r="L1742" s="8">
        <f t="shared" si="425"/>
        <v>-16.734334274096025</v>
      </c>
      <c r="M1742" s="8">
        <f t="shared" si="422"/>
        <v>62.745250740290956</v>
      </c>
      <c r="N1742" s="8">
        <f t="shared" si="426"/>
        <v>25</v>
      </c>
      <c r="O1742" s="8">
        <f t="shared" si="427"/>
        <v>31.667570085647267</v>
      </c>
    </row>
    <row r="1743" spans="1:15" x14ac:dyDescent="0.3">
      <c r="A1743" s="5">
        <f t="shared" si="413"/>
        <v>17.349999999999913</v>
      </c>
      <c r="B1743" s="5">
        <f t="shared" si="423"/>
        <v>79.376286654670338</v>
      </c>
      <c r="C1743" s="6">
        <f t="shared" si="421"/>
        <v>3061.6567709658557</v>
      </c>
      <c r="D1743" s="6">
        <f t="shared" si="414"/>
        <v>9373742.1832010709</v>
      </c>
      <c r="E1743" s="7">
        <f t="shared" si="415"/>
        <v>6248571.4285714282</v>
      </c>
      <c r="F1743" s="7">
        <f t="shared" si="416"/>
        <v>124.97142857142855</v>
      </c>
      <c r="G1743" s="7">
        <f t="shared" si="417"/>
        <v>3125170.7546296427</v>
      </c>
      <c r="H1743" s="6">
        <f t="shared" si="418"/>
        <v>1767.8152490092518</v>
      </c>
      <c r="I1743" s="7">
        <f t="shared" si="419"/>
        <v>-10.353098598189561</v>
      </c>
      <c r="J1743" s="7">
        <f t="shared" si="420"/>
        <v>-38.644609213335343</v>
      </c>
      <c r="K1743" s="8">
        <f t="shared" si="424"/>
        <v>399.33380307302593</v>
      </c>
      <c r="L1743" s="8">
        <f t="shared" si="425"/>
        <v>-16.772019729067086</v>
      </c>
      <c r="M1743" s="8">
        <f t="shared" si="422"/>
        <v>62.604266925603255</v>
      </c>
      <c r="N1743" s="8">
        <f t="shared" si="426"/>
        <v>25</v>
      </c>
      <c r="O1743" s="8">
        <f t="shared" si="427"/>
        <v>31.697634423624184</v>
      </c>
    </row>
    <row r="1744" spans="1:15" x14ac:dyDescent="0.3">
      <c r="A1744" s="5">
        <f t="shared" si="413"/>
        <v>17.359999999999914</v>
      </c>
      <c r="B1744" s="5">
        <f t="shared" si="423"/>
        <v>79.272755668688447</v>
      </c>
      <c r="C1744" s="6">
        <f t="shared" si="421"/>
        <v>3057.6634329351255</v>
      </c>
      <c r="D1744" s="6">
        <f t="shared" si="414"/>
        <v>9349305.6691086162</v>
      </c>
      <c r="E1744" s="7">
        <f t="shared" si="415"/>
        <v>6248571.4285714282</v>
      </c>
      <c r="F1744" s="7">
        <f t="shared" si="416"/>
        <v>124.97142857142855</v>
      </c>
      <c r="G1744" s="7">
        <f t="shared" si="417"/>
        <v>3100734.240537188</v>
      </c>
      <c r="H1744" s="6">
        <f t="shared" si="418"/>
        <v>1760.8901841219933</v>
      </c>
      <c r="I1744" s="7">
        <f t="shared" si="419"/>
        <v>-10.376557775139377</v>
      </c>
      <c r="J1744" s="7">
        <f t="shared" si="420"/>
        <v>-38.557242020347324</v>
      </c>
      <c r="K1744" s="8">
        <f t="shared" si="424"/>
        <v>400.23865704109022</v>
      </c>
      <c r="L1744" s="8">
        <f t="shared" si="425"/>
        <v>-16.810023595725788</v>
      </c>
      <c r="M1744" s="8">
        <f t="shared" si="422"/>
        <v>62.462732072962659</v>
      </c>
      <c r="N1744" s="8">
        <f t="shared" si="426"/>
        <v>25.000000000000007</v>
      </c>
      <c r="O1744" s="8">
        <f t="shared" si="427"/>
        <v>31.728021268782335</v>
      </c>
    </row>
    <row r="1745" spans="1:15" x14ac:dyDescent="0.3">
      <c r="A1745" s="5">
        <f t="shared" si="413"/>
        <v>17.369999999999916</v>
      </c>
      <c r="B1745" s="5">
        <f t="shared" si="423"/>
        <v>79.168990090937058</v>
      </c>
      <c r="C1745" s="6">
        <f t="shared" si="421"/>
        <v>3053.6610463647148</v>
      </c>
      <c r="D1745" s="6">
        <f t="shared" si="414"/>
        <v>9324845.7860852443</v>
      </c>
      <c r="E1745" s="7">
        <f t="shared" si="415"/>
        <v>6248571.4285714282</v>
      </c>
      <c r="F1745" s="7">
        <f t="shared" si="416"/>
        <v>124.97142857142855</v>
      </c>
      <c r="G1745" s="7">
        <f t="shared" si="417"/>
        <v>3076274.3575138161</v>
      </c>
      <c r="H1745" s="6">
        <f t="shared" si="418"/>
        <v>1753.9311153844715</v>
      </c>
      <c r="I1745" s="7">
        <f t="shared" si="419"/>
        <v>-10.400216640216856</v>
      </c>
      <c r="J1745" s="7">
        <f t="shared" si="420"/>
        <v>-38.469530329497381</v>
      </c>
      <c r="K1745" s="8">
        <f t="shared" si="424"/>
        <v>401.15121326550729</v>
      </c>
      <c r="L1745" s="8">
        <f t="shared" si="425"/>
        <v>-16.848350957151304</v>
      </c>
      <c r="M1745" s="8">
        <f t="shared" si="422"/>
        <v>62.320639133785754</v>
      </c>
      <c r="N1745" s="8">
        <f t="shared" si="426"/>
        <v>25.000000000000007</v>
      </c>
      <c r="O1745" s="8">
        <f t="shared" si="427"/>
        <v>31.758736427984324</v>
      </c>
    </row>
    <row r="1746" spans="1:15" x14ac:dyDescent="0.3">
      <c r="A1746" s="5">
        <f t="shared" si="413"/>
        <v>17.379999999999917</v>
      </c>
      <c r="B1746" s="5">
        <f t="shared" si="423"/>
        <v>79.06498792453489</v>
      </c>
      <c r="C1746" s="6">
        <f t="shared" si="421"/>
        <v>3049.64953423206</v>
      </c>
      <c r="D1746" s="6">
        <f t="shared" si="414"/>
        <v>9300362.2816418204</v>
      </c>
      <c r="E1746" s="7">
        <f t="shared" si="415"/>
        <v>6248571.4285714282</v>
      </c>
      <c r="F1746" s="7">
        <f t="shared" si="416"/>
        <v>124.97142857142855</v>
      </c>
      <c r="G1746" s="7">
        <f t="shared" si="417"/>
        <v>3051790.8530703923</v>
      </c>
      <c r="H1746" s="6">
        <f t="shared" si="418"/>
        <v>1746.9375641591753</v>
      </c>
      <c r="I1746" s="7">
        <f t="shared" si="419"/>
        <v>-10.424078407076125</v>
      </c>
      <c r="J1746" s="7">
        <f t="shared" si="420"/>
        <v>-38.381469694488629</v>
      </c>
      <c r="K1746" s="8">
        <f t="shared" si="424"/>
        <v>402.07159570150765</v>
      </c>
      <c r="L1746" s="8">
        <f t="shared" si="425"/>
        <v>-16.887007019463319</v>
      </c>
      <c r="M1746" s="8">
        <f t="shared" si="422"/>
        <v>62.177980905071571</v>
      </c>
      <c r="N1746" s="8">
        <f t="shared" si="426"/>
        <v>25</v>
      </c>
      <c r="O1746" s="8">
        <f t="shared" si="427"/>
        <v>31.789785858938174</v>
      </c>
    </row>
    <row r="1747" spans="1:15" x14ac:dyDescent="0.3">
      <c r="A1747" s="5">
        <f t="shared" si="413"/>
        <v>17.389999999999919</v>
      </c>
      <c r="B1747" s="5">
        <f t="shared" si="423"/>
        <v>78.960747140464122</v>
      </c>
      <c r="C1747" s="6">
        <f t="shared" si="421"/>
        <v>3045.6288182750445</v>
      </c>
      <c r="D1747" s="6">
        <f t="shared" si="414"/>
        <v>9275854.8987074438</v>
      </c>
      <c r="E1747" s="7">
        <f t="shared" si="415"/>
        <v>6248571.4285714282</v>
      </c>
      <c r="F1747" s="7">
        <f t="shared" si="416"/>
        <v>124.97142857142855</v>
      </c>
      <c r="G1747" s="7">
        <f t="shared" si="417"/>
        <v>3027283.4701360157</v>
      </c>
      <c r="H1747" s="6">
        <f t="shared" si="418"/>
        <v>1739.9090407650669</v>
      </c>
      <c r="I1747" s="7">
        <f t="shared" si="419"/>
        <v>-10.448146367821039</v>
      </c>
      <c r="J1747" s="7">
        <f t="shared" si="420"/>
        <v>-38.293055570737067</v>
      </c>
      <c r="K1747" s="8">
        <f t="shared" si="424"/>
        <v>402.99993133024003</v>
      </c>
      <c r="L1747" s="8">
        <f t="shared" si="425"/>
        <v>-16.925997115870079</v>
      </c>
      <c r="M1747" s="8">
        <f t="shared" si="422"/>
        <v>62.034750024594047</v>
      </c>
      <c r="N1747" s="8">
        <f t="shared" si="426"/>
        <v>25.000000000000007</v>
      </c>
      <c r="O1747" s="8">
        <f t="shared" si="427"/>
        <v>31.821175675391491</v>
      </c>
    </row>
    <row r="1748" spans="1:15" x14ac:dyDescent="0.3">
      <c r="A1748" s="5">
        <f t="shared" si="413"/>
        <v>17.39999999999992</v>
      </c>
      <c r="B1748" s="5">
        <f t="shared" si="423"/>
        <v>78.85626567678591</v>
      </c>
      <c r="C1748" s="6">
        <f t="shared" si="421"/>
        <v>3041.5988189617419</v>
      </c>
      <c r="D1748" s="6">
        <f t="shared" si="414"/>
        <v>9251323.3755094633</v>
      </c>
      <c r="E1748" s="7">
        <f t="shared" si="415"/>
        <v>6248571.4285714282</v>
      </c>
      <c r="F1748" s="7">
        <f t="shared" si="416"/>
        <v>124.97142857142855</v>
      </c>
      <c r="G1748" s="7">
        <f t="shared" si="417"/>
        <v>3002751.9469380351</v>
      </c>
      <c r="H1748" s="6">
        <f t="shared" si="418"/>
        <v>1732.8450441219593</v>
      </c>
      <c r="I1748" s="7">
        <f t="shared" si="419"/>
        <v>-10.472423895608689</v>
      </c>
      <c r="J1748" s="7">
        <f t="shared" si="420"/>
        <v>-38.204283312283856</v>
      </c>
      <c r="K1748" s="8">
        <f t="shared" si="424"/>
        <v>403.93635025919224</v>
      </c>
      <c r="L1748" s="8">
        <f t="shared" si="425"/>
        <v>-16.965326710886071</v>
      </c>
      <c r="M1748" s="8">
        <f t="shared" si="422"/>
        <v>61.890938965899835</v>
      </c>
      <c r="N1748" s="8">
        <f t="shared" si="426"/>
        <v>25.000000000000004</v>
      </c>
      <c r="O1748" s="8">
        <f t="shared" si="427"/>
        <v>31.852912152550111</v>
      </c>
    </row>
    <row r="1749" spans="1:15" x14ac:dyDescent="0.3">
      <c r="A1749" s="5">
        <f t="shared" si="413"/>
        <v>17.409999999999922</v>
      </c>
      <c r="B1749" s="5">
        <f t="shared" si="423"/>
        <v>78.751541437829829</v>
      </c>
      <c r="C1749" s="6">
        <f t="shared" si="421"/>
        <v>3037.5594554591503</v>
      </c>
      <c r="D1749" s="6">
        <f t="shared" si="414"/>
        <v>9226767.4454492889</v>
      </c>
      <c r="E1749" s="7">
        <f t="shared" si="415"/>
        <v>6248571.4285714282</v>
      </c>
      <c r="F1749" s="7">
        <f t="shared" si="416"/>
        <v>124.97142857142855</v>
      </c>
      <c r="G1749" s="7">
        <f t="shared" si="417"/>
        <v>2978196.0168778608</v>
      </c>
      <c r="H1749" s="6">
        <f t="shared" si="418"/>
        <v>1725.7450613801161</v>
      </c>
      <c r="I1749" s="7">
        <f t="shared" si="419"/>
        <v>-10.496914447363102</v>
      </c>
      <c r="J1749" s="7">
        <f t="shared" si="420"/>
        <v>-38.115148168581243</v>
      </c>
      <c r="K1749" s="8">
        <f t="shared" si="424"/>
        <v>404.88098582686246</v>
      </c>
      <c r="L1749" s="8">
        <f t="shared" si="425"/>
        <v>-17.005001404728223</v>
      </c>
      <c r="M1749" s="8">
        <f t="shared" si="422"/>
        <v>61.74654003310161</v>
      </c>
      <c r="N1749" s="8">
        <f t="shared" si="426"/>
        <v>25.000000000000007</v>
      </c>
      <c r="O1749" s="8">
        <f t="shared" si="427"/>
        <v>31.885001732733553</v>
      </c>
    </row>
    <row r="1750" spans="1:15" x14ac:dyDescent="0.3">
      <c r="A1750" s="5">
        <f t="shared" si="413"/>
        <v>17.419999999999924</v>
      </c>
      <c r="B1750" s="5">
        <f t="shared" si="423"/>
        <v>78.646572293356201</v>
      </c>
      <c r="C1750" s="6">
        <f t="shared" si="421"/>
        <v>3033.5106456008821</v>
      </c>
      <c r="D1750" s="6">
        <f t="shared" si="414"/>
        <v>9202186.8369738795</v>
      </c>
      <c r="E1750" s="7">
        <f t="shared" si="415"/>
        <v>6248571.4285714282</v>
      </c>
      <c r="F1750" s="7">
        <f t="shared" si="416"/>
        <v>124.97142857142855</v>
      </c>
      <c r="G1750" s="7">
        <f t="shared" si="417"/>
        <v>2953615.4084024513</v>
      </c>
      <c r="H1750" s="6">
        <f t="shared" si="418"/>
        <v>1718.6085675343445</v>
      </c>
      <c r="I1750" s="7">
        <f t="shared" si="419"/>
        <v>-10.521621566604669</v>
      </c>
      <c r="J1750" s="7">
        <f t="shared" si="420"/>
        <v>-38.025645281146083</v>
      </c>
      <c r="K1750" s="8">
        <f t="shared" si="424"/>
        <v>405.83397471189431</v>
      </c>
      <c r="L1750" s="8">
        <f t="shared" si="425"/>
        <v>-17.045026937899561</v>
      </c>
      <c r="M1750" s="8">
        <f t="shared" si="422"/>
        <v>61.601545355456636</v>
      </c>
      <c r="N1750" s="8">
        <f t="shared" si="426"/>
        <v>25</v>
      </c>
      <c r="O1750" s="8">
        <f t="shared" si="427"/>
        <v>31.917451031279089</v>
      </c>
    </row>
    <row r="1751" spans="1:15" x14ac:dyDescent="0.3">
      <c r="A1751" s="5">
        <f t="shared" si="413"/>
        <v>17.429999999999925</v>
      </c>
      <c r="B1751" s="5">
        <f t="shared" si="423"/>
        <v>78.541356077690153</v>
      </c>
      <c r="C1751" s="6">
        <f t="shared" si="421"/>
        <v>3029.4523058537629</v>
      </c>
      <c r="D1751" s="6">
        <f t="shared" si="414"/>
        <v>9177581.2734426819</v>
      </c>
      <c r="E1751" s="7">
        <f t="shared" si="415"/>
        <v>6248571.4285714282</v>
      </c>
      <c r="F1751" s="7">
        <f t="shared" si="416"/>
        <v>124.97142857142855</v>
      </c>
      <c r="G1751" s="7">
        <f t="shared" si="417"/>
        <v>2929009.8448712537</v>
      </c>
      <c r="H1751" s="6">
        <f t="shared" si="418"/>
        <v>1711.4350250217663</v>
      </c>
      <c r="I1751" s="7">
        <f t="shared" si="419"/>
        <v>-10.546548886401439</v>
      </c>
      <c r="J1751" s="7">
        <f t="shared" si="420"/>
        <v>-37.935769680073975</v>
      </c>
      <c r="K1751" s="8">
        <f t="shared" si="424"/>
        <v>406.79545704691265</v>
      </c>
      <c r="L1751" s="8">
        <f t="shared" si="425"/>
        <v>-17.085409195970328</v>
      </c>
      <c r="M1751" s="8">
        <f t="shared" si="422"/>
        <v>61.455946881719825</v>
      </c>
      <c r="N1751" s="8">
        <f t="shared" si="426"/>
        <v>25.000000000000004</v>
      </c>
      <c r="O1751" s="8">
        <f t="shared" si="427"/>
        <v>31.950266842708274</v>
      </c>
    </row>
    <row r="1752" spans="1:15" x14ac:dyDescent="0.3">
      <c r="A1752" s="5">
        <f t="shared" si="413"/>
        <v>17.439999999999927</v>
      </c>
      <c r="B1752" s="5">
        <f t="shared" si="423"/>
        <v>78.43589058882614</v>
      </c>
      <c r="C1752" s="6">
        <f t="shared" si="421"/>
        <v>3025.3843512832937</v>
      </c>
      <c r="D1752" s="6">
        <f t="shared" si="414"/>
        <v>9152950.4729898348</v>
      </c>
      <c r="E1752" s="7">
        <f t="shared" si="415"/>
        <v>6248571.4285714282</v>
      </c>
      <c r="F1752" s="7">
        <f t="shared" si="416"/>
        <v>124.97142857142855</v>
      </c>
      <c r="G1752" s="7">
        <f t="shared" si="417"/>
        <v>2904379.0444184067</v>
      </c>
      <c r="H1752" s="6">
        <f t="shared" si="418"/>
        <v>1704.2238833024278</v>
      </c>
      <c r="I1752" s="7">
        <f t="shared" si="419"/>
        <v>-10.571700132448631</v>
      </c>
      <c r="J1752" s="7">
        <f t="shared" si="420"/>
        <v>-37.845516280407011</v>
      </c>
      <c r="K1752" s="8">
        <f t="shared" si="424"/>
        <v>407.76557653730436</v>
      </c>
      <c r="L1752" s="8">
        <f t="shared" si="425"/>
        <v>-17.126154214566782</v>
      </c>
      <c r="M1752" s="8">
        <f t="shared" si="422"/>
        <v>61.309736374259359</v>
      </c>
      <c r="N1752" s="8">
        <f t="shared" si="426"/>
        <v>25.000000000000007</v>
      </c>
      <c r="O1752" s="8">
        <f t="shared" si="427"/>
        <v>31.983456147169615</v>
      </c>
    </row>
    <row r="1753" spans="1:15" x14ac:dyDescent="0.3">
      <c r="A1753" s="5">
        <f t="shared" si="413"/>
        <v>17.449999999999928</v>
      </c>
      <c r="B1753" s="5">
        <f t="shared" si="423"/>
        <v>78.330173587501648</v>
      </c>
      <c r="C1753" s="6">
        <f t="shared" si="421"/>
        <v>3021.3066955179206</v>
      </c>
      <c r="D1753" s="6">
        <f t="shared" si="414"/>
        <v>9128294.1483814176</v>
      </c>
      <c r="E1753" s="7">
        <f t="shared" si="415"/>
        <v>6248571.4285714282</v>
      </c>
      <c r="F1753" s="7">
        <f t="shared" si="416"/>
        <v>124.97142857142855</v>
      </c>
      <c r="G1753" s="7">
        <f t="shared" si="417"/>
        <v>2879722.7198099894</v>
      </c>
      <c r="H1753" s="6">
        <f t="shared" si="418"/>
        <v>1696.9745784218424</v>
      </c>
      <c r="I1753" s="7">
        <f t="shared" si="419"/>
        <v>-10.597079126283207</v>
      </c>
      <c r="J1753" s="7">
        <f t="shared" si="420"/>
        <v>-37.754879878347452</v>
      </c>
      <c r="K1753" s="8">
        <f t="shared" si="424"/>
        <v>408.74448058520937</v>
      </c>
      <c r="L1753" s="8">
        <f t="shared" si="425"/>
        <v>-17.167268184578791</v>
      </c>
      <c r="M1753" s="8">
        <f t="shared" si="422"/>
        <v>61.16290540292286</v>
      </c>
      <c r="N1753" s="8">
        <f t="shared" si="426"/>
        <v>25</v>
      </c>
      <c r="O1753" s="8">
        <f t="shared" si="427"/>
        <v>32.017026117172648</v>
      </c>
    </row>
    <row r="1754" spans="1:15" x14ac:dyDescent="0.3">
      <c r="A1754" s="5">
        <f t="shared" si="413"/>
        <v>17.45999999999993</v>
      </c>
      <c r="B1754" s="5">
        <f t="shared" si="423"/>
        <v>78.224202796238814</v>
      </c>
      <c r="C1754" s="6">
        <f t="shared" si="421"/>
        <v>3017.2192507120685</v>
      </c>
      <c r="D1754" s="6">
        <f t="shared" si="414"/>
        <v>9103612.0068674963</v>
      </c>
      <c r="E1754" s="7">
        <f t="shared" si="415"/>
        <v>6248571.4285714282</v>
      </c>
      <c r="F1754" s="7">
        <f t="shared" si="416"/>
        <v>124.97142857142855</v>
      </c>
      <c r="G1754" s="7">
        <f t="shared" si="417"/>
        <v>2855040.5782960681</v>
      </c>
      <c r="H1754" s="6">
        <f t="shared" si="418"/>
        <v>1689.6865325545054</v>
      </c>
      <c r="I1754" s="7">
        <f t="shared" si="419"/>
        <v>-10.622689788640768</v>
      </c>
      <c r="J1754" s="7">
        <f t="shared" si="420"/>
        <v>-37.663855147309128</v>
      </c>
      <c r="K1754" s="8">
        <f t="shared" si="424"/>
        <v>409.73232041900104</v>
      </c>
      <c r="L1754" s="8">
        <f t="shared" si="425"/>
        <v>-17.208757457598043</v>
      </c>
      <c r="M1754" s="8">
        <f t="shared" si="422"/>
        <v>61.015445338640774</v>
      </c>
      <c r="N1754" s="8">
        <f t="shared" si="426"/>
        <v>25.000000000000004</v>
      </c>
      <c r="O1754" s="8">
        <f t="shared" si="427"/>
        <v>32.050984124629437</v>
      </c>
    </row>
    <row r="1755" spans="1:15" x14ac:dyDescent="0.3">
      <c r="A1755" s="5">
        <f t="shared" si="413"/>
        <v>17.469999999999931</v>
      </c>
      <c r="B1755" s="5">
        <f t="shared" si="423"/>
        <v>78.117975898352412</v>
      </c>
      <c r="C1755" s="6">
        <f t="shared" si="421"/>
        <v>3013.1219275078788</v>
      </c>
      <c r="D1755" s="6">
        <f t="shared" si="414"/>
        <v>9078903.7500287946</v>
      </c>
      <c r="E1755" s="7">
        <f t="shared" si="415"/>
        <v>6248571.4285714282</v>
      </c>
      <c r="F1755" s="7">
        <f t="shared" si="416"/>
        <v>124.97142857142855</v>
      </c>
      <c r="G1755" s="7">
        <f t="shared" si="417"/>
        <v>2830332.3214573665</v>
      </c>
      <c r="H1755" s="6">
        <f t="shared" si="418"/>
        <v>1682.3591535273811</v>
      </c>
      <c r="I1755" s="7">
        <f t="shared" si="419"/>
        <v>-10.648536142962376</v>
      </c>
      <c r="J1755" s="7">
        <f t="shared" si="420"/>
        <v>-37.572436633798382</v>
      </c>
      <c r="K1755" s="8">
        <f t="shared" si="424"/>
        <v>410.72925122854878</v>
      </c>
      <c r="L1755" s="8">
        <f t="shared" si="425"/>
        <v>-17.250628551599046</v>
      </c>
      <c r="M1755" s="8">
        <f t="shared" si="422"/>
        <v>60.867347346753363</v>
      </c>
      <c r="N1755" s="8">
        <f t="shared" si="426"/>
        <v>25.000000000000004</v>
      </c>
      <c r="O1755" s="8">
        <f t="shared" si="427"/>
        <v>32.085337748220105</v>
      </c>
    </row>
    <row r="1756" spans="1:15" x14ac:dyDescent="0.3">
      <c r="A1756" s="5">
        <f t="shared" si="413"/>
        <v>17.479999999999933</v>
      </c>
      <c r="B1756" s="5">
        <f t="shared" si="423"/>
        <v>78.011490536922793</v>
      </c>
      <c r="C1756" s="6">
        <f t="shared" si="421"/>
        <v>3009.0146349955935</v>
      </c>
      <c r="D1756" s="6">
        <f t="shared" si="414"/>
        <v>9054169.0736176651</v>
      </c>
      <c r="E1756" s="7">
        <f t="shared" si="415"/>
        <v>6248571.4285714282</v>
      </c>
      <c r="F1756" s="7">
        <f t="shared" si="416"/>
        <v>124.97142857142855</v>
      </c>
      <c r="G1756" s="7">
        <f t="shared" si="417"/>
        <v>2805597.6450462369</v>
      </c>
      <c r="H1756" s="6">
        <f t="shared" si="418"/>
        <v>1674.9918343222564</v>
      </c>
      <c r="I1756" s="7">
        <f t="shared" si="419"/>
        <v>-10.674622319059626</v>
      </c>
      <c r="J1756" s="7">
        <f t="shared" si="420"/>
        <v>-37.480618753114946</v>
      </c>
      <c r="K1756" s="8">
        <f t="shared" si="424"/>
        <v>411.73543230658555</v>
      </c>
      <c r="L1756" s="8">
        <f t="shared" si="425"/>
        <v>-17.292888156876593</v>
      </c>
      <c r="M1756" s="8">
        <f t="shared" si="422"/>
        <v>60.7186023800462</v>
      </c>
      <c r="N1756" s="8">
        <f t="shared" si="426"/>
        <v>24.999999999999996</v>
      </c>
      <c r="O1756" s="8">
        <f t="shared" si="427"/>
        <v>32.120094781101017</v>
      </c>
    </row>
    <row r="1757" spans="1:15" x14ac:dyDescent="0.3">
      <c r="A1757" s="5">
        <f t="shared" si="413"/>
        <v>17.489999999999934</v>
      </c>
      <c r="B1757" s="5">
        <f t="shared" si="423"/>
        <v>77.904744313732195</v>
      </c>
      <c r="C1757" s="6">
        <f t="shared" si="421"/>
        <v>3004.8972806725274</v>
      </c>
      <c r="D1757" s="6">
        <f t="shared" si="414"/>
        <v>9029407.6673931498</v>
      </c>
      <c r="E1757" s="7">
        <f t="shared" si="415"/>
        <v>6248571.4285714282</v>
      </c>
      <c r="F1757" s="7">
        <f t="shared" si="416"/>
        <v>124.97142857142855</v>
      </c>
      <c r="G1757" s="7">
        <f t="shared" si="417"/>
        <v>2780836.2388217216</v>
      </c>
      <c r="H1757" s="6">
        <f t="shared" si="418"/>
        <v>1667.583952555829</v>
      </c>
      <c r="I1757" s="7">
        <f t="shared" si="419"/>
        <v>-10.700952556946605</v>
      </c>
      <c r="J1757" s="7">
        <f t="shared" si="420"/>
        <v>-37.388395784863398</v>
      </c>
      <c r="K1757" s="8">
        <f t="shared" si="424"/>
        <v>412.75102719651187</v>
      </c>
      <c r="L1757" s="8">
        <f t="shared" si="425"/>
        <v>-17.335543142253496</v>
      </c>
      <c r="M1757" s="8">
        <f t="shared" si="422"/>
        <v>60.569201171478696</v>
      </c>
      <c r="N1757" s="8">
        <f t="shared" si="426"/>
        <v>25</v>
      </c>
      <c r="O1757" s="8">
        <f t="shared" si="427"/>
        <v>32.155263238974584</v>
      </c>
    </row>
    <row r="1758" spans="1:15" x14ac:dyDescent="0.3">
      <c r="A1758" s="5">
        <f t="shared" si="413"/>
        <v>17.499999999999936</v>
      </c>
      <c r="B1758" s="5">
        <f t="shared" si="423"/>
        <v>77.797734788162728</v>
      </c>
      <c r="C1758" s="6">
        <f t="shared" si="421"/>
        <v>3000.7697704005623</v>
      </c>
      <c r="D1758" s="6">
        <f t="shared" si="414"/>
        <v>9004619.2149498425</v>
      </c>
      <c r="E1758" s="7">
        <f t="shared" si="415"/>
        <v>6248571.4285714282</v>
      </c>
      <c r="F1758" s="7">
        <f t="shared" si="416"/>
        <v>124.97142857142855</v>
      </c>
      <c r="G1758" s="7">
        <f t="shared" si="417"/>
        <v>2756047.7863784144</v>
      </c>
      <c r="H1758" s="6">
        <f t="shared" si="418"/>
        <v>1660.1348699362995</v>
      </c>
      <c r="I1758" s="7">
        <f t="shared" si="419"/>
        <v>-10.727531210848012</v>
      </c>
      <c r="J1758" s="7">
        <f t="shared" si="420"/>
        <v>-37.29576186826479</v>
      </c>
      <c r="K1758" s="8">
        <f t="shared" si="424"/>
        <v>413.77620384699475</v>
      </c>
      <c r="L1758" s="8">
        <f t="shared" si="425"/>
        <v>-17.378600561573776</v>
      </c>
      <c r="M1758" s="8">
        <f t="shared" si="422"/>
        <v>60.419134226588952</v>
      </c>
      <c r="N1758" s="8">
        <f t="shared" si="426"/>
        <v>25.000000000000007</v>
      </c>
      <c r="O1758" s="8">
        <f t="shared" si="427"/>
        <v>32.190851368541253</v>
      </c>
    </row>
    <row r="1759" spans="1:15" x14ac:dyDescent="0.3">
      <c r="A1759" s="5">
        <f t="shared" si="413"/>
        <v>17.509999999999938</v>
      </c>
      <c r="B1759" s="5">
        <f t="shared" si="423"/>
        <v>77.690459476054244</v>
      </c>
      <c r="C1759" s="6">
        <f t="shared" si="421"/>
        <v>2996.6320083620922</v>
      </c>
      <c r="D1759" s="6">
        <f t="shared" si="414"/>
        <v>8979803.3935402259</v>
      </c>
      <c r="E1759" s="7">
        <f t="shared" si="415"/>
        <v>6248571.4285714282</v>
      </c>
      <c r="F1759" s="7">
        <f t="shared" si="416"/>
        <v>124.97142857142855</v>
      </c>
      <c r="G1759" s="7">
        <f t="shared" si="417"/>
        <v>2731231.9649687978</v>
      </c>
      <c r="H1759" s="6">
        <f t="shared" si="418"/>
        <v>1652.6439316951482</v>
      </c>
      <c r="I1759" s="7">
        <f t="shared" si="419"/>
        <v>-10.754362753393472</v>
      </c>
      <c r="J1759" s="7">
        <f t="shared" si="420"/>
        <v>-37.202710997257306</v>
      </c>
      <c r="K1759" s="8">
        <f t="shared" si="424"/>
        <v>414.81113477374822</v>
      </c>
      <c r="L1759" s="8">
        <f t="shared" si="425"/>
        <v>-17.422067660497422</v>
      </c>
      <c r="M1759" s="8">
        <f t="shared" si="422"/>
        <v>60.268391815556825</v>
      </c>
      <c r="N1759" s="8">
        <f t="shared" si="426"/>
        <v>25.000000000000007</v>
      </c>
      <c r="O1759" s="8">
        <f t="shared" si="427"/>
        <v>32.226867656355964</v>
      </c>
    </row>
    <row r="1760" spans="1:15" x14ac:dyDescent="0.3">
      <c r="A1760" s="5">
        <f t="shared" si="413"/>
        <v>17.519999999999939</v>
      </c>
      <c r="B1760" s="5">
        <f t="shared" si="423"/>
        <v>77.582915848520315</v>
      </c>
      <c r="C1760" s="6">
        <f t="shared" si="421"/>
        <v>2992.4838970143551</v>
      </c>
      <c r="D1760" s="6">
        <f t="shared" si="414"/>
        <v>8954959.8738902211</v>
      </c>
      <c r="E1760" s="7">
        <f t="shared" si="415"/>
        <v>6248571.4285714282</v>
      </c>
      <c r="F1760" s="7">
        <f t="shared" si="416"/>
        <v>124.97142857142855</v>
      </c>
      <c r="G1760" s="7">
        <f t="shared" si="417"/>
        <v>2706388.4453187929</v>
      </c>
      <c r="H1760" s="6">
        <f t="shared" si="418"/>
        <v>1645.1104659927225</v>
      </c>
      <c r="I1760" s="7">
        <f t="shared" si="419"/>
        <v>-10.781451780008492</v>
      </c>
      <c r="J1760" s="7">
        <f t="shared" si="420"/>
        <v>-37.109237015374433</v>
      </c>
      <c r="K1760" s="8">
        <f t="shared" si="424"/>
        <v>415.85599722889896</v>
      </c>
      <c r="L1760" s="8">
        <f t="shared" si="425"/>
        <v>-17.465951883613755</v>
      </c>
      <c r="M1760" s="8">
        <f t="shared" si="422"/>
        <v>60.11696396490656</v>
      </c>
      <c r="N1760" s="8">
        <f t="shared" si="426"/>
        <v>25</v>
      </c>
      <c r="O1760" s="8">
        <f t="shared" si="427"/>
        <v>32.263320838112165</v>
      </c>
    </row>
    <row r="1761" spans="1:15" x14ac:dyDescent="0.3">
      <c r="A1761" s="5">
        <f t="shared" si="413"/>
        <v>17.529999999999941</v>
      </c>
      <c r="B1761" s="5">
        <f t="shared" si="423"/>
        <v>77.475101330720236</v>
      </c>
      <c r="C1761" s="6">
        <f t="shared" si="421"/>
        <v>2988.3253370420662</v>
      </c>
      <c r="D1761" s="6">
        <f t="shared" si="414"/>
        <v>8930088.3200075775</v>
      </c>
      <c r="E1761" s="7">
        <f t="shared" si="415"/>
        <v>6248571.4285714282</v>
      </c>
      <c r="F1761" s="7">
        <f t="shared" si="416"/>
        <v>124.97142857142855</v>
      </c>
      <c r="G1761" s="7">
        <f t="shared" si="417"/>
        <v>2681516.8914361494</v>
      </c>
      <c r="H1761" s="6">
        <f t="shared" si="418"/>
        <v>1637.5337832961338</v>
      </c>
      <c r="I1761" s="7">
        <f t="shared" si="419"/>
        <v>-10.808803013513407</v>
      </c>
      <c r="J1761" s="7">
        <f t="shared" si="420"/>
        <v>-37.015333610387984</v>
      </c>
      <c r="K1761" s="8">
        <f t="shared" si="424"/>
        <v>416.91097337837425</v>
      </c>
      <c r="L1761" s="8">
        <f t="shared" si="425"/>
        <v>-17.510260881891718</v>
      </c>
      <c r="M1761" s="8">
        <f t="shared" si="422"/>
        <v>59.964840448828518</v>
      </c>
      <c r="N1761" s="8">
        <f t="shared" si="426"/>
        <v>25.000000000000007</v>
      </c>
      <c r="O1761" s="8">
        <f t="shared" si="427"/>
        <v>32.30021990837875</v>
      </c>
    </row>
    <row r="1762" spans="1:15" x14ac:dyDescent="0.3">
      <c r="A1762" s="5">
        <f t="shared" si="413"/>
        <v>17.539999999999942</v>
      </c>
      <c r="B1762" s="5">
        <f t="shared" si="423"/>
        <v>77.3670133005851</v>
      </c>
      <c r="C1762" s="6">
        <f t="shared" si="421"/>
        <v>2984.1562273082823</v>
      </c>
      <c r="D1762" s="6">
        <f t="shared" si="414"/>
        <v>8905188.3889828008</v>
      </c>
      <c r="E1762" s="7">
        <f t="shared" si="415"/>
        <v>6248571.4285714282</v>
      </c>
      <c r="F1762" s="7">
        <f t="shared" si="416"/>
        <v>124.97142857142855</v>
      </c>
      <c r="G1762" s="7">
        <f t="shared" si="417"/>
        <v>2656616.9604113726</v>
      </c>
      <c r="H1762" s="6">
        <f t="shared" si="418"/>
        <v>1629.913175727889</v>
      </c>
      <c r="I1762" s="7">
        <f t="shared" si="419"/>
        <v>-10.836421308942334</v>
      </c>
      <c r="J1762" s="7">
        <f t="shared" si="420"/>
        <v>-36.920994308702795</v>
      </c>
      <c r="K1762" s="8">
        <f t="shared" si="424"/>
        <v>417.97625048777576</v>
      </c>
      <c r="L1762" s="8">
        <f t="shared" si="425"/>
        <v>-17.555002520486578</v>
      </c>
      <c r="M1762" s="8">
        <f t="shared" si="422"/>
        <v>59.812010780098518</v>
      </c>
      <c r="N1762" s="8">
        <f t="shared" si="426"/>
        <v>25.000000000000004</v>
      </c>
      <c r="O1762" s="8">
        <f t="shared" si="427"/>
        <v>32.337574130816435</v>
      </c>
    </row>
    <row r="1763" spans="1:15" x14ac:dyDescent="0.3">
      <c r="A1763" s="5">
        <f t="shared" si="413"/>
        <v>17.549999999999944</v>
      </c>
      <c r="B1763" s="5">
        <f t="shared" si="423"/>
        <v>77.258649087495684</v>
      </c>
      <c r="C1763" s="6">
        <f t="shared" si="421"/>
        <v>2979.9764648034047</v>
      </c>
      <c r="D1763" s="6">
        <f t="shared" si="414"/>
        <v>8880259.7307821978</v>
      </c>
      <c r="E1763" s="7">
        <f t="shared" si="415"/>
        <v>6248571.4285714282</v>
      </c>
      <c r="F1763" s="7">
        <f t="shared" si="416"/>
        <v>124.97142857142855</v>
      </c>
      <c r="G1763" s="7">
        <f t="shared" si="417"/>
        <v>2631688.3022107696</v>
      </c>
      <c r="H1763" s="6">
        <f t="shared" si="418"/>
        <v>1622.2479163835501</v>
      </c>
      <c r="I1763" s="7">
        <f t="shared" si="419"/>
        <v>-10.86431165859509</v>
      </c>
      <c r="J1763" s="7">
        <f t="shared" si="420"/>
        <v>-36.826212469488674</v>
      </c>
      <c r="K1763" s="8">
        <f t="shared" si="424"/>
        <v>419.05202111723918</v>
      </c>
      <c r="L1763" s="8">
        <f t="shared" si="425"/>
        <v>-17.600184886924044</v>
      </c>
      <c r="M1763" s="8">
        <f t="shared" si="422"/>
        <v>59.658464200571643</v>
      </c>
      <c r="N1763" s="8">
        <f t="shared" si="426"/>
        <v>25.000000000000007</v>
      </c>
      <c r="O1763" s="8">
        <f t="shared" si="427"/>
        <v>32.375393048902616</v>
      </c>
    </row>
    <row r="1764" spans="1:15" x14ac:dyDescent="0.3">
      <c r="A1764" s="5">
        <f t="shared" si="413"/>
        <v>17.559999999999945</v>
      </c>
      <c r="B1764" s="5">
        <f t="shared" si="423"/>
        <v>77.150005970909731</v>
      </c>
      <c r="C1764" s="6">
        <f t="shared" si="421"/>
        <v>2975.7859445922322</v>
      </c>
      <c r="D1764" s="6">
        <f t="shared" si="414"/>
        <v>8855301.9880326837</v>
      </c>
      <c r="E1764" s="7">
        <f t="shared" si="415"/>
        <v>6248571.4285714282</v>
      </c>
      <c r="F1764" s="7">
        <f t="shared" si="416"/>
        <v>124.97142857142855</v>
      </c>
      <c r="G1764" s="7">
        <f t="shared" si="417"/>
        <v>2606730.5594612556</v>
      </c>
      <c r="H1764" s="6">
        <f t="shared" si="418"/>
        <v>1614.5372586166154</v>
      </c>
      <c r="I1764" s="7">
        <f t="shared" si="419"/>
        <v>-10.892479197335756</v>
      </c>
      <c r="J1764" s="7">
        <f t="shared" si="420"/>
        <v>-36.73098127853445</v>
      </c>
      <c r="K1764" s="8">
        <f t="shared" si="424"/>
        <v>420.13848332580773</v>
      </c>
      <c r="L1764" s="8">
        <f t="shared" si="425"/>
        <v>-17.645816299683922</v>
      </c>
      <c r="M1764" s="8">
        <f t="shared" si="422"/>
        <v>59.504189671225809</v>
      </c>
      <c r="N1764" s="8">
        <f t="shared" si="426"/>
        <v>25.000000000000004</v>
      </c>
      <c r="O1764" s="8">
        <f t="shared" si="427"/>
        <v>32.413686497195023</v>
      </c>
    </row>
    <row r="1765" spans="1:15" x14ac:dyDescent="0.3">
      <c r="A1765" s="5">
        <f t="shared" si="413"/>
        <v>17.569999999999947</v>
      </c>
      <c r="B1765" s="5">
        <f t="shared" si="423"/>
        <v>77.041081178936381</v>
      </c>
      <c r="C1765" s="6">
        <f t="shared" si="421"/>
        <v>2971.5845597589746</v>
      </c>
      <c r="D1765" s="6">
        <f t="shared" si="414"/>
        <v>8830314.7957979385</v>
      </c>
      <c r="E1765" s="7">
        <f t="shared" si="415"/>
        <v>6248571.4285714282</v>
      </c>
      <c r="F1765" s="7">
        <f t="shared" si="416"/>
        <v>124.97142857142855</v>
      </c>
      <c r="G1765" s="7">
        <f t="shared" si="417"/>
        <v>2581743.3672265103</v>
      </c>
      <c r="H1765" s="6">
        <f t="shared" si="418"/>
        <v>1606.7804352886894</v>
      </c>
      <c r="I1765" s="7">
        <f t="shared" si="419"/>
        <v>-10.920929208152719</v>
      </c>
      <c r="J1765" s="7">
        <f t="shared" si="420"/>
        <v>-36.635293741808013</v>
      </c>
      <c r="K1765" s="8">
        <f t="shared" si="424"/>
        <v>421.23584088589058</v>
      </c>
      <c r="L1765" s="8">
        <f t="shared" si="425"/>
        <v>-17.691905317207404</v>
      </c>
      <c r="M1765" s="8">
        <f t="shared" si="422"/>
        <v>59.34917586172898</v>
      </c>
      <c r="N1765" s="8">
        <f t="shared" si="426"/>
        <v>25.000000000000007</v>
      </c>
      <c r="O1765" s="8">
        <f t="shared" si="427"/>
        <v>32.452464613167422</v>
      </c>
    </row>
    <row r="1766" spans="1:15" x14ac:dyDescent="0.3">
      <c r="A1766" s="5">
        <f t="shared" si="413"/>
        <v>17.579999999999949</v>
      </c>
      <c r="B1766" s="5">
        <f t="shared" si="423"/>
        <v>76.93187188685485</v>
      </c>
      <c r="C1766" s="6">
        <f t="shared" si="421"/>
        <v>2967.3722013501156</v>
      </c>
      <c r="D1766" s="6">
        <f t="shared" si="414"/>
        <v>8805297.7813454308</v>
      </c>
      <c r="E1766" s="7">
        <f t="shared" si="415"/>
        <v>6248571.4285714282</v>
      </c>
      <c r="F1766" s="7">
        <f t="shared" si="416"/>
        <v>124.97142857142855</v>
      </c>
      <c r="G1766" s="7">
        <f t="shared" si="417"/>
        <v>2556726.3527740026</v>
      </c>
      <c r="H1766" s="6">
        <f t="shared" si="418"/>
        <v>1598.9766579828495</v>
      </c>
      <c r="I1766" s="7">
        <f t="shared" si="419"/>
        <v>-10.949667127995959</v>
      </c>
      <c r="J1766" s="7">
        <f t="shared" si="420"/>
        <v>-36.539142678704572</v>
      </c>
      <c r="K1766" s="8">
        <f t="shared" si="424"/>
        <v>422.34430350841552</v>
      </c>
      <c r="L1766" s="8">
        <f t="shared" si="425"/>
        <v>-17.73846074735345</v>
      </c>
      <c r="M1766" s="8">
        <f t="shared" si="422"/>
        <v>59.1934111395014</v>
      </c>
      <c r="N1766" s="8">
        <f t="shared" si="426"/>
        <v>25.000000000000004</v>
      </c>
      <c r="O1766" s="8">
        <f t="shared" si="427"/>
        <v>32.491737849652367</v>
      </c>
    </row>
    <row r="1767" spans="1:15" x14ac:dyDescent="0.3">
      <c r="A1767" s="5">
        <f t="shared" si="413"/>
        <v>17.58999999999995</v>
      </c>
      <c r="B1767" s="5">
        <f t="shared" si="423"/>
        <v>76.822375215574894</v>
      </c>
      <c r="C1767" s="6">
        <f t="shared" si="421"/>
        <v>2963.1487583150315</v>
      </c>
      <c r="D1767" s="6">
        <f t="shared" si="414"/>
        <v>8780250.5639039129</v>
      </c>
      <c r="E1767" s="7">
        <f t="shared" si="415"/>
        <v>6248571.4285714282</v>
      </c>
      <c r="F1767" s="7">
        <f t="shared" si="416"/>
        <v>124.97142857142855</v>
      </c>
      <c r="G1767" s="7">
        <f t="shared" si="417"/>
        <v>2531679.1353324847</v>
      </c>
      <c r="H1767" s="6">
        <f t="shared" si="418"/>
        <v>1591.1251161780096</v>
      </c>
      <c r="I1767" s="7">
        <f t="shared" si="419"/>
        <v>-10.978698553908499</v>
      </c>
      <c r="J1767" s="7">
        <f t="shared" si="420"/>
        <v>-36.4425207149649</v>
      </c>
      <c r="K1767" s="8">
        <f t="shared" si="424"/>
        <v>423.46408707932778</v>
      </c>
      <c r="L1767" s="8">
        <f t="shared" si="425"/>
        <v>-17.785491657331765</v>
      </c>
      <c r="M1767" s="8">
        <f t="shared" si="422"/>
        <v>59.036883558243133</v>
      </c>
      <c r="N1767" s="8">
        <f t="shared" si="426"/>
        <v>25.000000000000004</v>
      </c>
      <c r="O1767" s="8">
        <f t="shared" si="427"/>
        <v>32.531516987929002</v>
      </c>
    </row>
    <row r="1768" spans="1:15" x14ac:dyDescent="0.3">
      <c r="A1768" s="5">
        <f t="shared" si="413"/>
        <v>17.599999999999952</v>
      </c>
      <c r="B1768" s="5">
        <f t="shared" si="423"/>
        <v>76.712588230035806</v>
      </c>
      <c r="C1768" s="6">
        <f t="shared" si="421"/>
        <v>2958.9141174442379</v>
      </c>
      <c r="D1768" s="6">
        <f t="shared" si="414"/>
        <v>8755172.7544108126</v>
      </c>
      <c r="E1768" s="7">
        <f t="shared" si="415"/>
        <v>6248571.4285714282</v>
      </c>
      <c r="F1768" s="7">
        <f t="shared" si="416"/>
        <v>124.97142857142855</v>
      </c>
      <c r="G1768" s="7">
        <f t="shared" si="417"/>
        <v>2506601.3258393845</v>
      </c>
      <c r="H1768" s="6">
        <f t="shared" si="418"/>
        <v>1583.2249763818736</v>
      </c>
      <c r="I1768" s="7">
        <f t="shared" si="419"/>
        <v>-11.008029249470225</v>
      </c>
      <c r="J1768" s="7">
        <f t="shared" si="420"/>
        <v>-36.345420275243242</v>
      </c>
      <c r="K1768" s="8">
        <f t="shared" si="424"/>
        <v>424.59541390813723</v>
      </c>
      <c r="L1768" s="8">
        <f t="shared" si="425"/>
        <v>-17.833007384141762</v>
      </c>
      <c r="M1768" s="8">
        <f t="shared" si="422"/>
        <v>58.87958084589404</v>
      </c>
      <c r="N1768" s="8">
        <f t="shared" si="426"/>
        <v>25.000000000000007</v>
      </c>
      <c r="O1768" s="8">
        <f t="shared" si="427"/>
        <v>32.571813151496549</v>
      </c>
    </row>
    <row r="1769" spans="1:15" x14ac:dyDescent="0.3">
      <c r="A1769" s="5">
        <f t="shared" si="413"/>
        <v>17.609999999999953</v>
      </c>
      <c r="B1769" s="5">
        <f t="shared" si="423"/>
        <v>76.602507937541105</v>
      </c>
      <c r="C1769" s="6">
        <f t="shared" si="421"/>
        <v>2954.6681633051567</v>
      </c>
      <c r="D1769" s="6">
        <f t="shared" si="414"/>
        <v>8730063.9552490674</v>
      </c>
      <c r="E1769" s="7">
        <f t="shared" si="415"/>
        <v>6248571.4285714282</v>
      </c>
      <c r="F1769" s="7">
        <f t="shared" si="416"/>
        <v>124.97142857142855</v>
      </c>
      <c r="G1769" s="7">
        <f t="shared" si="417"/>
        <v>2481492.5266776392</v>
      </c>
      <c r="H1769" s="6">
        <f t="shared" si="418"/>
        <v>1575.2753812199437</v>
      </c>
      <c r="I1769" s="7">
        <f t="shared" si="419"/>
        <v>-11.037665151573494</v>
      </c>
      <c r="J1769" s="7">
        <f t="shared" si="420"/>
        <v>-36.247833575303737</v>
      </c>
      <c r="K1769" s="8">
        <f t="shared" si="424"/>
        <v>425.73851298926331</v>
      </c>
      <c r="L1769" s="8">
        <f t="shared" si="425"/>
        <v>-17.881017545549057</v>
      </c>
      <c r="M1769" s="8">
        <f t="shared" si="422"/>
        <v>58.721490391992049</v>
      </c>
      <c r="N1769" s="8">
        <f t="shared" si="426"/>
        <v>25.000000000000007</v>
      </c>
      <c r="O1769" s="8">
        <f t="shared" si="427"/>
        <v>32.612637820576992</v>
      </c>
    </row>
    <row r="1770" spans="1:15" x14ac:dyDescent="0.3">
      <c r="A1770" s="5">
        <f t="shared" si="413"/>
        <v>17.619999999999955</v>
      </c>
      <c r="B1770" s="5">
        <f t="shared" si="423"/>
        <v>76.492131286025369</v>
      </c>
      <c r="C1770" s="6">
        <f t="shared" si="421"/>
        <v>2950.4107781752641</v>
      </c>
      <c r="D1770" s="6">
        <f t="shared" si="414"/>
        <v>8704923.7599727679</v>
      </c>
      <c r="E1770" s="7">
        <f t="shared" si="415"/>
        <v>6248571.4285714282</v>
      </c>
      <c r="F1770" s="7">
        <f t="shared" si="416"/>
        <v>124.97142857142855</v>
      </c>
      <c r="G1770" s="7">
        <f t="shared" si="417"/>
        <v>2456352.3314013397</v>
      </c>
      <c r="H1770" s="6">
        <f t="shared" si="418"/>
        <v>1567.2754484778161</v>
      </c>
      <c r="I1770" s="7">
        <f t="shared" si="419"/>
        <v>-11.067612377551598</v>
      </c>
      <c r="J1770" s="7">
        <f t="shared" si="420"/>
        <v>-36.149752613822095</v>
      </c>
      <c r="K1770" s="8">
        <f t="shared" si="424"/>
        <v>426.89362027699019</v>
      </c>
      <c r="L1770" s="8">
        <f t="shared" si="425"/>
        <v>-17.929532051633586</v>
      </c>
      <c r="M1770" s="8">
        <f t="shared" si="422"/>
        <v>58.562599234391783</v>
      </c>
      <c r="N1770" s="8">
        <f t="shared" si="426"/>
        <v>25.000000000000004</v>
      </c>
      <c r="O1770" s="8">
        <f t="shared" si="427"/>
        <v>32.654002847394196</v>
      </c>
    </row>
    <row r="1771" spans="1:15" x14ac:dyDescent="0.3">
      <c r="A1771" s="5">
        <f t="shared" si="413"/>
        <v>17.629999999999956</v>
      </c>
      <c r="B1771" s="5">
        <f t="shared" si="423"/>
        <v>76.38145516224985</v>
      </c>
      <c r="C1771" s="6">
        <f t="shared" si="421"/>
        <v>2946.1418419724941</v>
      </c>
      <c r="D1771" s="6">
        <f t="shared" si="414"/>
        <v>8679751.75302108</v>
      </c>
      <c r="E1771" s="7">
        <f t="shared" si="415"/>
        <v>6248571.4285714282</v>
      </c>
      <c r="F1771" s="7">
        <f t="shared" si="416"/>
        <v>124.97142857142855</v>
      </c>
      <c r="G1771" s="7">
        <f t="shared" si="417"/>
        <v>2431180.3244496519</v>
      </c>
      <c r="H1771" s="6">
        <f t="shared" si="418"/>
        <v>1559.2242700938348</v>
      </c>
      <c r="I1771" s="7">
        <f t="shared" si="419"/>
        <v>-11.097877232682462</v>
      </c>
      <c r="J1771" s="7">
        <f t="shared" si="420"/>
        <v>-36.051169163768073</v>
      </c>
      <c r="K1771" s="8">
        <f t="shared" si="424"/>
        <v>428.06097897489497</v>
      </c>
      <c r="L1771" s="8">
        <f t="shared" si="425"/>
        <v>-17.978561116945588</v>
      </c>
      <c r="M1771" s="8">
        <f t="shared" si="422"/>
        <v>58.402894045304265</v>
      </c>
      <c r="N1771" s="8">
        <f t="shared" si="426"/>
        <v>25.000000000000007</v>
      </c>
      <c r="O1771" s="8">
        <f t="shared" si="427"/>
        <v>32.695920472279717</v>
      </c>
    </row>
    <row r="1772" spans="1:15" x14ac:dyDescent="0.3">
      <c r="A1772" s="5">
        <f t="shared" si="413"/>
        <v>17.639999999999958</v>
      </c>
      <c r="B1772" s="5">
        <f t="shared" si="423"/>
        <v>76.270476389923019</v>
      </c>
      <c r="C1772" s="6">
        <f t="shared" si="421"/>
        <v>2941.861232182745</v>
      </c>
      <c r="D1772" s="6">
        <f t="shared" si="414"/>
        <v>8654547.5094197784</v>
      </c>
      <c r="E1772" s="7">
        <f t="shared" si="415"/>
        <v>6248571.4285714282</v>
      </c>
      <c r="F1772" s="7">
        <f t="shared" si="416"/>
        <v>124.97142857142855</v>
      </c>
      <c r="G1772" s="7">
        <f t="shared" si="417"/>
        <v>2405976.0808483502</v>
      </c>
      <c r="H1772" s="6">
        <f t="shared" si="418"/>
        <v>1551.1209110989221</v>
      </c>
      <c r="I1772" s="7">
        <f t="shared" si="419"/>
        <v>-11.128466218091864</v>
      </c>
      <c r="J1772" s="7">
        <f t="shared" si="420"/>
        <v>-35.952074763342111</v>
      </c>
      <c r="K1772" s="8">
        <f t="shared" si="424"/>
        <v>429.24083984068619</v>
      </c>
      <c r="L1772" s="8">
        <f t="shared" si="425"/>
        <v>-18.028115273308817</v>
      </c>
      <c r="M1772" s="8">
        <f t="shared" si="422"/>
        <v>58.242361116614205</v>
      </c>
      <c r="N1772" s="8">
        <f t="shared" si="426"/>
        <v>25.000000000000007</v>
      </c>
      <c r="O1772" s="8">
        <f t="shared" si="427"/>
        <v>32.738403340659787</v>
      </c>
    </row>
    <row r="1773" spans="1:15" x14ac:dyDescent="0.3">
      <c r="A1773" s="5">
        <f t="shared" si="413"/>
        <v>17.649999999999959</v>
      </c>
      <c r="B1773" s="5">
        <f t="shared" si="423"/>
        <v>76.159191727742098</v>
      </c>
      <c r="C1773" s="6">
        <f t="shared" si="421"/>
        <v>2937.5688237843378</v>
      </c>
      <c r="D1773" s="6">
        <f t="shared" si="414"/>
        <v>8629310.5944696981</v>
      </c>
      <c r="E1773" s="7">
        <f t="shared" si="415"/>
        <v>6248571.4285714282</v>
      </c>
      <c r="F1773" s="7">
        <f t="shared" si="416"/>
        <v>124.97142857142855</v>
      </c>
      <c r="G1773" s="7">
        <f t="shared" si="417"/>
        <v>2380739.16589827</v>
      </c>
      <c r="H1773" s="6">
        <f t="shared" si="418"/>
        <v>1542.9644085001669</v>
      </c>
      <c r="I1773" s="7">
        <f t="shared" si="419"/>
        <v>-11.159386039082303</v>
      </c>
      <c r="J1773" s="7">
        <f t="shared" si="420"/>
        <v>-35.852460706437512</v>
      </c>
      <c r="K1773" s="8">
        <f t="shared" si="424"/>
        <v>430.43346150746027</v>
      </c>
      <c r="L1773" s="8">
        <f t="shared" si="425"/>
        <v>-18.078205383313328</v>
      </c>
      <c r="M1773" s="8">
        <f t="shared" si="422"/>
        <v>58.080986344428766</v>
      </c>
      <c r="N1773" s="8">
        <f t="shared" si="426"/>
        <v>25.000000000000004</v>
      </c>
      <c r="O1773" s="8">
        <f t="shared" si="427"/>
        <v>32.781464520982368</v>
      </c>
    </row>
    <row r="1774" spans="1:15" x14ac:dyDescent="0.3">
      <c r="A1774" s="5">
        <f t="shared" si="413"/>
        <v>17.659999999999961</v>
      </c>
      <c r="B1774" s="5">
        <f t="shared" si="423"/>
        <v>76.047597867351271</v>
      </c>
      <c r="C1774" s="6">
        <f t="shared" si="421"/>
        <v>2933.264489169263</v>
      </c>
      <c r="D1774" s="6">
        <f t="shared" si="414"/>
        <v>8604040.563421417</v>
      </c>
      <c r="E1774" s="7">
        <f t="shared" si="415"/>
        <v>6248571.4285714282</v>
      </c>
      <c r="F1774" s="7">
        <f t="shared" si="416"/>
        <v>124.97142857142855</v>
      </c>
      <c r="G1774" s="7">
        <f t="shared" si="417"/>
        <v>2355469.1348499889</v>
      </c>
      <c r="H1774" s="6">
        <f t="shared" si="418"/>
        <v>1534.7537701045042</v>
      </c>
      <c r="I1774" s="7">
        <f t="shared" si="419"/>
        <v>-11.19064361391554</v>
      </c>
      <c r="J1774" s="7">
        <f t="shared" si="420"/>
        <v>-35.7523180325976</v>
      </c>
      <c r="K1774" s="8">
        <f t="shared" si="424"/>
        <v>431.63911082245653</v>
      </c>
      <c r="L1774" s="8">
        <f t="shared" si="425"/>
        <v>-18.128842654543174</v>
      </c>
      <c r="M1774" s="8">
        <f t="shared" si="422"/>
        <v>57.918755212808094</v>
      </c>
      <c r="N1774" s="8">
        <f t="shared" si="426"/>
        <v>25.000000000000004</v>
      </c>
      <c r="O1774" s="8">
        <f t="shared" si="427"/>
        <v>32.825117523647243</v>
      </c>
    </row>
    <row r="1775" spans="1:15" x14ac:dyDescent="0.3">
      <c r="A1775" s="5">
        <f t="shared" si="413"/>
        <v>17.669999999999963</v>
      </c>
      <c r="B1775" s="5">
        <f t="shared" si="423"/>
        <v>75.935691431212121</v>
      </c>
      <c r="C1775" s="6">
        <f t="shared" si="421"/>
        <v>2928.9480980610388</v>
      </c>
      <c r="D1775" s="6">
        <f t="shared" si="414"/>
        <v>8578736.9611353762</v>
      </c>
      <c r="E1775" s="7">
        <f t="shared" si="415"/>
        <v>6248571.4285714282</v>
      </c>
      <c r="F1775" s="7">
        <f t="shared" si="416"/>
        <v>124.97142857142855</v>
      </c>
      <c r="G1775" s="7">
        <f t="shared" si="417"/>
        <v>2330165.5325639481</v>
      </c>
      <c r="H1775" s="6">
        <f t="shared" si="418"/>
        <v>1526.487973278515</v>
      </c>
      <c r="I1775" s="7">
        <f t="shared" si="419"/>
        <v>-11.222246083079181</v>
      </c>
      <c r="J1775" s="7">
        <f t="shared" si="420"/>
        <v>-35.651637516434477</v>
      </c>
      <c r="K1775" s="8">
        <f t="shared" si="424"/>
        <v>432.85806320448268</v>
      </c>
      <c r="L1775" s="8">
        <f t="shared" si="425"/>
        <v>-18.18003865458827</v>
      </c>
      <c r="M1775" s="8">
        <f t="shared" si="422"/>
        <v>57.755652776623847</v>
      </c>
      <c r="N1775" s="8">
        <f t="shared" si="426"/>
        <v>25</v>
      </c>
      <c r="O1775" s="8">
        <f t="shared" si="427"/>
        <v>32.869376321007707</v>
      </c>
    </row>
    <row r="1776" spans="1:15" x14ac:dyDescent="0.3">
      <c r="A1776" s="5">
        <f t="shared" si="413"/>
        <v>17.679999999999964</v>
      </c>
      <c r="B1776" s="5">
        <f t="shared" si="423"/>
        <v>75.823468970381327</v>
      </c>
      <c r="C1776" s="6">
        <f t="shared" si="421"/>
        <v>2924.6195174289937</v>
      </c>
      <c r="D1776" s="6">
        <f t="shared" si="414"/>
        <v>8553399.3217265997</v>
      </c>
      <c r="E1776" s="7">
        <f t="shared" si="415"/>
        <v>6248571.4285714282</v>
      </c>
      <c r="F1776" s="7">
        <f t="shared" si="416"/>
        <v>124.97142857142855</v>
      </c>
      <c r="G1776" s="7">
        <f t="shared" si="417"/>
        <v>2304827.8931551715</v>
      </c>
      <c r="H1776" s="6">
        <f t="shared" si="418"/>
        <v>1518.1659636400664</v>
      </c>
      <c r="I1776" s="7">
        <f t="shared" si="419"/>
        <v>-11.254200819070066</v>
      </c>
      <c r="J1776" s="7">
        <f t="shared" si="420"/>
        <v>-35.550409656473974</v>
      </c>
      <c r="K1776" s="8">
        <f t="shared" si="424"/>
        <v>434.09060302127398</v>
      </c>
      <c r="L1776" s="8">
        <f t="shared" si="425"/>
        <v>-18.231805326893504</v>
      </c>
      <c r="M1776" s="8">
        <f t="shared" si="422"/>
        <v>57.59166364348782</v>
      </c>
      <c r="N1776" s="8">
        <f t="shared" si="426"/>
        <v>25.000000000000007</v>
      </c>
      <c r="O1776" s="8">
        <f t="shared" si="427"/>
        <v>32.914255368517686</v>
      </c>
    </row>
    <row r="1777" spans="1:15" x14ac:dyDescent="0.3">
      <c r="A1777" s="5">
        <f t="shared" si="413"/>
        <v>17.689999999999966</v>
      </c>
      <c r="B1777" s="5">
        <f t="shared" si="423"/>
        <v>75.710926962190626</v>
      </c>
      <c r="C1777" s="6">
        <f t="shared" si="421"/>
        <v>2920.2786113987813</v>
      </c>
      <c r="D1777" s="6">
        <f t="shared" si="414"/>
        <v>8528027.168193195</v>
      </c>
      <c r="E1777" s="7">
        <f t="shared" si="415"/>
        <v>6248571.4285714282</v>
      </c>
      <c r="F1777" s="7">
        <f t="shared" si="416"/>
        <v>124.97142857142855</v>
      </c>
      <c r="G1777" s="7">
        <f t="shared" si="417"/>
        <v>2279455.7396217668</v>
      </c>
      <c r="H1777" s="6">
        <f t="shared" si="418"/>
        <v>1509.7866536771899</v>
      </c>
      <c r="I1777" s="7">
        <f t="shared" si="419"/>
        <v>-11.286515436729701</v>
      </c>
      <c r="J1777" s="7">
        <f t="shared" si="420"/>
        <v>-35.448624663387982</v>
      </c>
      <c r="K1777" s="8">
        <f t="shared" si="424"/>
        <v>435.33702398814557</v>
      </c>
      <c r="L1777" s="8">
        <f t="shared" si="425"/>
        <v>-18.284155007502111</v>
      </c>
      <c r="M1777" s="8">
        <f t="shared" si="422"/>
        <v>57.426771954688519</v>
      </c>
      <c r="N1777" s="8">
        <f t="shared" si="426"/>
        <v>25</v>
      </c>
      <c r="O1777" s="8">
        <f t="shared" si="427"/>
        <v>32.959769627103917</v>
      </c>
    </row>
    <row r="1778" spans="1:15" x14ac:dyDescent="0.3">
      <c r="A1778" s="5">
        <f t="shared" si="413"/>
        <v>17.699999999999967</v>
      </c>
      <c r="B1778" s="5">
        <f t="shared" si="423"/>
        <v>75.598061807823328</v>
      </c>
      <c r="C1778" s="6">
        <f t="shared" si="421"/>
        <v>2915.9252411588996</v>
      </c>
      <c r="D1778" s="6">
        <f t="shared" si="414"/>
        <v>8502620.0120275859</v>
      </c>
      <c r="E1778" s="7">
        <f t="shared" si="415"/>
        <v>6248571.4285714282</v>
      </c>
      <c r="F1778" s="7">
        <f t="shared" si="416"/>
        <v>124.97142857142855</v>
      </c>
      <c r="G1778" s="7">
        <f t="shared" si="417"/>
        <v>2254048.5834561577</v>
      </c>
      <c r="H1778" s="6">
        <f t="shared" si="418"/>
        <v>1501.3489212891711</v>
      </c>
      <c r="I1778" s="7">
        <f t="shared" si="419"/>
        <v>-11.319197804170212</v>
      </c>
      <c r="J1778" s="7">
        <f t="shared" si="420"/>
        <v>-35.346272447572588</v>
      </c>
      <c r="K1778" s="8">
        <f t="shared" si="424"/>
        <v>436.59762958942247</v>
      </c>
      <c r="L1778" s="8">
        <f t="shared" si="425"/>
        <v>-18.337100442755741</v>
      </c>
      <c r="M1778" s="8">
        <f t="shared" si="422"/>
        <v>57.260961365067587</v>
      </c>
      <c r="N1778" s="8">
        <f t="shared" si="426"/>
        <v>25.000000000000007</v>
      </c>
      <c r="O1778" s="8">
        <f t="shared" si="427"/>
        <v>33.005934586850316</v>
      </c>
    </row>
    <row r="1779" spans="1:15" x14ac:dyDescent="0.3">
      <c r="A1779" s="5">
        <f t="shared" si="413"/>
        <v>17.709999999999969</v>
      </c>
      <c r="B1779" s="5">
        <f t="shared" si="423"/>
        <v>75.48486982978163</v>
      </c>
      <c r="C1779" s="6">
        <f t="shared" si="421"/>
        <v>2911.5592648630054</v>
      </c>
      <c r="D1779" s="6">
        <f t="shared" si="414"/>
        <v>8477177.3528096043</v>
      </c>
      <c r="E1779" s="7">
        <f t="shared" si="415"/>
        <v>6248571.4285714282</v>
      </c>
      <c r="F1779" s="7">
        <f t="shared" si="416"/>
        <v>124.97142857142855</v>
      </c>
      <c r="G1779" s="7">
        <f t="shared" si="417"/>
        <v>2228605.9242381761</v>
      </c>
      <c r="H1779" s="6">
        <f t="shared" si="418"/>
        <v>1492.8516082444953</v>
      </c>
      <c r="I1779" s="7">
        <f t="shared" si="419"/>
        <v>-11.35225605433193</v>
      </c>
      <c r="J1779" s="7">
        <f t="shared" si="420"/>
        <v>-35.243342606027106</v>
      </c>
      <c r="K1779" s="8">
        <f t="shared" si="424"/>
        <v>437.87273352423153</v>
      </c>
      <c r="L1779" s="8">
        <f t="shared" si="425"/>
        <v>-18.390654808017722</v>
      </c>
      <c r="M1779" s="8">
        <f t="shared" si="422"/>
        <v>57.094215021763908</v>
      </c>
      <c r="N1779" s="8">
        <f t="shared" si="426"/>
        <v>25.000000000000004</v>
      </c>
      <c r="O1779" s="8">
        <f t="shared" si="427"/>
        <v>33.052766292087277</v>
      </c>
    </row>
    <row r="1780" spans="1:15" x14ac:dyDescent="0.3">
      <c r="A1780" s="5">
        <f t="shared" si="413"/>
        <v>17.71999999999997</v>
      </c>
      <c r="B1780" s="5">
        <f t="shared" si="423"/>
        <v>75.371347269238314</v>
      </c>
      <c r="C1780" s="6">
        <f t="shared" si="421"/>
        <v>2907.1805375277636</v>
      </c>
      <c r="D1780" s="6">
        <f t="shared" si="414"/>
        <v>8451698.6777802166</v>
      </c>
      <c r="E1780" s="7">
        <f t="shared" si="415"/>
        <v>6248571.4285714282</v>
      </c>
      <c r="F1780" s="7">
        <f t="shared" si="416"/>
        <v>124.97142857142855</v>
      </c>
      <c r="G1780" s="7">
        <f t="shared" si="417"/>
        <v>2203127.2492087884</v>
      </c>
      <c r="H1780" s="6">
        <f t="shared" si="418"/>
        <v>1484.293518549747</v>
      </c>
      <c r="I1780" s="7">
        <f t="shared" si="419"/>
        <v>-11.385698597217784</v>
      </c>
      <c r="J1780" s="7">
        <f t="shared" si="420"/>
        <v>-35.139824408484891</v>
      </c>
      <c r="K1780" s="8">
        <f t="shared" si="424"/>
        <v>439.16266017840024</v>
      </c>
      <c r="L1780" s="8">
        <f t="shared" si="425"/>
        <v>-18.444831727492808</v>
      </c>
      <c r="M1780" s="8">
        <f t="shared" si="422"/>
        <v>56.926515541745502</v>
      </c>
      <c r="N1780" s="8">
        <f t="shared" si="426"/>
        <v>25</v>
      </c>
      <c r="O1780" s="8">
        <f t="shared" si="427"/>
        <v>33.100281367988707</v>
      </c>
    </row>
    <row r="1781" spans="1:15" x14ac:dyDescent="0.3">
      <c r="A1781" s="5">
        <f t="shared" si="413"/>
        <v>17.729999999999972</v>
      </c>
      <c r="B1781" s="5">
        <f t="shared" si="423"/>
        <v>75.257490283266137</v>
      </c>
      <c r="C1781" s="6">
        <f t="shared" si="421"/>
        <v>2902.7889109259795</v>
      </c>
      <c r="D1781" s="6">
        <f t="shared" si="414"/>
        <v>8426183.4613948334</v>
      </c>
      <c r="E1781" s="7">
        <f t="shared" si="415"/>
        <v>6248571.4285714282</v>
      </c>
      <c r="F1781" s="7">
        <f t="shared" si="416"/>
        <v>124.97142857142855</v>
      </c>
      <c r="G1781" s="7">
        <f t="shared" si="417"/>
        <v>2177612.0328234052</v>
      </c>
      <c r="H1781" s="6">
        <f t="shared" si="418"/>
        <v>1475.67341672316</v>
      </c>
      <c r="I1781" s="7">
        <f t="shared" si="419"/>
        <v>-11.419534132852924</v>
      </c>
      <c r="J1781" s="7">
        <f t="shared" si="420"/>
        <v>-35.035706782743461</v>
      </c>
      <c r="K1781" s="8">
        <f t="shared" si="424"/>
        <v>440.46774512432705</v>
      </c>
      <c r="L1781" s="8">
        <f t="shared" si="425"/>
        <v>-18.499645295221736</v>
      </c>
      <c r="M1781" s="8">
        <f t="shared" si="422"/>
        <v>56.757844988044397</v>
      </c>
      <c r="N1781" s="8">
        <f t="shared" si="426"/>
        <v>25.000000000000004</v>
      </c>
      <c r="O1781" s="8">
        <f t="shared" si="427"/>
        <v>33.148497048786183</v>
      </c>
    </row>
    <row r="1782" spans="1:15" x14ac:dyDescent="0.3">
      <c r="A1782" s="5">
        <f t="shared" si="413"/>
        <v>17.739999999999974</v>
      </c>
      <c r="B1782" s="5">
        <f t="shared" si="423"/>
        <v>75.143294941937611</v>
      </c>
      <c r="C1782" s="6">
        <f t="shared" si="421"/>
        <v>2898.3842334747364</v>
      </c>
      <c r="D1782" s="6">
        <f t="shared" si="414"/>
        <v>8400631.1648549363</v>
      </c>
      <c r="E1782" s="7">
        <f t="shared" si="415"/>
        <v>6248571.4285714282</v>
      </c>
      <c r="F1782" s="7">
        <f t="shared" si="416"/>
        <v>124.97142857142855</v>
      </c>
      <c r="G1782" s="7">
        <f t="shared" si="417"/>
        <v>2152059.7362835081</v>
      </c>
      <c r="H1782" s="6">
        <f t="shared" si="418"/>
        <v>1466.990025965926</v>
      </c>
      <c r="I1782" s="7">
        <f t="shared" si="419"/>
        <v>-11.453771665022492</v>
      </c>
      <c r="J1782" s="7">
        <f t="shared" si="420"/>
        <v>-34.930978299136534</v>
      </c>
      <c r="K1782" s="8">
        <f t="shared" si="424"/>
        <v>441.78833565086751</v>
      </c>
      <c r="L1782" s="8">
        <f t="shared" si="425"/>
        <v>-18.555110097336435</v>
      </c>
      <c r="M1782" s="8">
        <f t="shared" si="422"/>
        <v>56.588184844601173</v>
      </c>
      <c r="N1782" s="8">
        <f t="shared" si="426"/>
        <v>24.999999999999996</v>
      </c>
      <c r="O1782" s="8">
        <f t="shared" si="427"/>
        <v>33.197431207720868</v>
      </c>
    </row>
    <row r="1783" spans="1:15" x14ac:dyDescent="0.3">
      <c r="A1783" s="5">
        <f t="shared" si="413"/>
        <v>17.749999999999975</v>
      </c>
      <c r="B1783" s="5">
        <f t="shared" si="423"/>
        <v>75.028757225287393</v>
      </c>
      <c r="C1783" s="6">
        <f t="shared" si="421"/>
        <v>2893.9663501182276</v>
      </c>
      <c r="D1783" s="6">
        <f t="shared" si="414"/>
        <v>8375041.235616616</v>
      </c>
      <c r="E1783" s="7">
        <f t="shared" si="415"/>
        <v>6248571.4285714282</v>
      </c>
      <c r="F1783" s="7">
        <f t="shared" si="416"/>
        <v>124.97142857142855</v>
      </c>
      <c r="G1783" s="7">
        <f t="shared" si="417"/>
        <v>2126469.8070451878</v>
      </c>
      <c r="H1783" s="6">
        <f t="shared" si="418"/>
        <v>1458.2420262237636</v>
      </c>
      <c r="I1783" s="7">
        <f t="shared" si="419"/>
        <v>-11.488420515845052</v>
      </c>
      <c r="J1783" s="7">
        <f t="shared" si="420"/>
        <v>-34.825627154085446</v>
      </c>
      <c r="K1783" s="8">
        <f t="shared" si="424"/>
        <v>443.12479132545195</v>
      </c>
      <c r="L1783" s="8">
        <f t="shared" si="425"/>
        <v>-18.611241235668981</v>
      </c>
      <c r="M1783" s="8">
        <f t="shared" si="422"/>
        <v>56.417515989618408</v>
      </c>
      <c r="N1783" s="8">
        <f t="shared" si="426"/>
        <v>25.000000000000007</v>
      </c>
      <c r="O1783" s="8">
        <f t="shared" si="427"/>
        <v>33.247102388863475</v>
      </c>
    </row>
    <row r="1784" spans="1:15" x14ac:dyDescent="0.3">
      <c r="A1784" s="5">
        <f t="shared" si="413"/>
        <v>17.759999999999977</v>
      </c>
      <c r="B1784" s="5">
        <f t="shared" si="423"/>
        <v>74.913873020128946</v>
      </c>
      <c r="C1784" s="6">
        <f t="shared" si="421"/>
        <v>2889.5351022049736</v>
      </c>
      <c r="D1784" s="6">
        <f t="shared" si="414"/>
        <v>8349413.1068747072</v>
      </c>
      <c r="E1784" s="7">
        <f t="shared" si="415"/>
        <v>6248571.4285714282</v>
      </c>
      <c r="F1784" s="7">
        <f t="shared" si="416"/>
        <v>124.97142857142855</v>
      </c>
      <c r="G1784" s="7">
        <f t="shared" si="417"/>
        <v>2100841.678303279</v>
      </c>
      <c r="H1784" s="6">
        <f t="shared" si="418"/>
        <v>1449.4280521306598</v>
      </c>
      <c r="I1784" s="7">
        <f t="shared" si="419"/>
        <v>-11.523490341243939</v>
      </c>
      <c r="J1784" s="7">
        <f t="shared" si="420"/>
        <v>-34.719641152662824</v>
      </c>
      <c r="K1784" s="8">
        <f t="shared" si="424"/>
        <v>444.47748459083761</v>
      </c>
      <c r="L1784" s="8">
        <f t="shared" si="425"/>
        <v>-18.668054352815176</v>
      </c>
      <c r="M1784" s="8">
        <f t="shared" si="422"/>
        <v>56.24581866731377</v>
      </c>
      <c r="N1784" s="8">
        <f t="shared" si="426"/>
        <v>25.000000000000004</v>
      </c>
      <c r="O1784" s="8">
        <f t="shared" si="427"/>
        <v>33.297529840944328</v>
      </c>
    </row>
    <row r="1785" spans="1:15" x14ac:dyDescent="0.3">
      <c r="A1785" s="5">
        <f t="shared" si="413"/>
        <v>17.769999999999978</v>
      </c>
      <c r="B1785" s="5">
        <f t="shared" si="423"/>
        <v>74.798638116716504</v>
      </c>
      <c r="C1785" s="6">
        <f t="shared" si="421"/>
        <v>2885.0903273590648</v>
      </c>
      <c r="D1785" s="6">
        <f t="shared" si="414"/>
        <v>8323746.1970208352</v>
      </c>
      <c r="E1785" s="7">
        <f t="shared" si="415"/>
        <v>6248571.4285714282</v>
      </c>
      <c r="F1785" s="7">
        <f t="shared" si="416"/>
        <v>124.97142857142855</v>
      </c>
      <c r="G1785" s="7">
        <f t="shared" si="417"/>
        <v>2075174.7684494071</v>
      </c>
      <c r="H1785" s="6">
        <f t="shared" si="418"/>
        <v>1440.5466908258848</v>
      </c>
      <c r="I1785" s="7">
        <f t="shared" si="419"/>
        <v>-11.558991147384845</v>
      </c>
      <c r="J1785" s="7">
        <f t="shared" si="420"/>
        <v>-34.613007690094484</v>
      </c>
      <c r="K1785" s="8">
        <f t="shared" si="424"/>
        <v>445.84680139912967</v>
      </c>
      <c r="L1785" s="8">
        <f t="shared" si="425"/>
        <v>-18.725565658763443</v>
      </c>
      <c r="M1785" s="8">
        <f t="shared" si="422"/>
        <v>56.07307245795306</v>
      </c>
      <c r="N1785" s="8">
        <f t="shared" si="426"/>
        <v>25.000000000000007</v>
      </c>
      <c r="O1785" s="8">
        <f t="shared" si="427"/>
        <v>33.348733553349078</v>
      </c>
    </row>
    <row r="1786" spans="1:15" x14ac:dyDescent="0.3">
      <c r="A1786" s="5">
        <f t="shared" si="413"/>
        <v>17.77999999999998</v>
      </c>
      <c r="B1786" s="5">
        <f t="shared" si="423"/>
        <v>74.683048205242656</v>
      </c>
      <c r="C1786" s="6">
        <f t="shared" si="421"/>
        <v>2880.6318593450737</v>
      </c>
      <c r="D1786" s="6">
        <f t="shared" si="414"/>
        <v>8298039.9090738567</v>
      </c>
      <c r="E1786" s="7">
        <f t="shared" si="415"/>
        <v>6248571.4285714282</v>
      </c>
      <c r="F1786" s="7">
        <f t="shared" si="416"/>
        <v>124.97142857142855</v>
      </c>
      <c r="G1786" s="7">
        <f t="shared" si="417"/>
        <v>2049468.4805024285</v>
      </c>
      <c r="H1786" s="6">
        <f t="shared" si="418"/>
        <v>1431.5964796346868</v>
      </c>
      <c r="I1786" s="7">
        <f t="shared" si="419"/>
        <v>-11.594933308153532</v>
      </c>
      <c r="J1786" s="7">
        <f t="shared" si="420"/>
        <v>-34.505713732119716</v>
      </c>
      <c r="K1786" s="8">
        <f t="shared" si="424"/>
        <v>447.23314188592195</v>
      </c>
      <c r="L1786" s="8">
        <f t="shared" si="425"/>
        <v>-18.78379195920872</v>
      </c>
      <c r="M1786" s="8">
        <f t="shared" si="422"/>
        <v>55.899256246033936</v>
      </c>
      <c r="N1786" s="8">
        <f t="shared" si="426"/>
        <v>25.000000000000004</v>
      </c>
      <c r="O1786" s="8">
        <f t="shared" si="427"/>
        <v>33.400734294448441</v>
      </c>
    </row>
    <row r="1787" spans="1:15" x14ac:dyDescent="0.3">
      <c r="A1787" s="5">
        <f t="shared" si="413"/>
        <v>17.789999999999981</v>
      </c>
      <c r="B1787" s="5">
        <f t="shared" si="423"/>
        <v>74.567098872161125</v>
      </c>
      <c r="C1787" s="6">
        <f t="shared" si="421"/>
        <v>2876.1595279262147</v>
      </c>
      <c r="D1787" s="6">
        <f t="shared" si="414"/>
        <v>8272293.6300807456</v>
      </c>
      <c r="E1787" s="7">
        <f t="shared" si="415"/>
        <v>6248571.4285714282</v>
      </c>
      <c r="F1787" s="7">
        <f t="shared" si="416"/>
        <v>124.97142857142855</v>
      </c>
      <c r="G1787" s="7">
        <f t="shared" si="417"/>
        <v>2023722.2015093174</v>
      </c>
      <c r="H1787" s="6">
        <f t="shared" si="418"/>
        <v>1422.5759036020952</v>
      </c>
      <c r="I1787" s="7">
        <f t="shared" si="419"/>
        <v>-11.63132758375496</v>
      </c>
      <c r="J1787" s="7">
        <f t="shared" si="420"/>
        <v>-34.397745794122287</v>
      </c>
      <c r="K1787" s="8">
        <f t="shared" si="424"/>
        <v>448.63692108769129</v>
      </c>
      <c r="L1787" s="8">
        <f t="shared" si="425"/>
        <v>-18.842750685683033</v>
      </c>
      <c r="M1787" s="8">
        <f t="shared" si="422"/>
        <v>55.724348186478096</v>
      </c>
      <c r="N1787" s="8">
        <f t="shared" si="426"/>
        <v>25.000000000000007</v>
      </c>
      <c r="O1787" s="8">
        <f t="shared" si="427"/>
        <v>33.453553652447823</v>
      </c>
    </row>
    <row r="1788" spans="1:15" x14ac:dyDescent="0.3">
      <c r="A1788" s="5">
        <f t="shared" si="413"/>
        <v>17.799999999999983</v>
      </c>
      <c r="B1788" s="5">
        <f t="shared" si="423"/>
        <v>74.45078559632357</v>
      </c>
      <c r="C1788" s="6">
        <f t="shared" si="421"/>
        <v>2871.6731587153376</v>
      </c>
      <c r="D1788" s="6">
        <f t="shared" si="414"/>
        <v>8246506.7304861248</v>
      </c>
      <c r="E1788" s="7">
        <f t="shared" si="415"/>
        <v>6248571.4285714282</v>
      </c>
      <c r="F1788" s="7">
        <f t="shared" si="416"/>
        <v>124.97142857142855</v>
      </c>
      <c r="G1788" s="7">
        <f t="shared" si="417"/>
        <v>1997935.3019146966</v>
      </c>
      <c r="H1788" s="6">
        <f t="shared" si="418"/>
        <v>1413.4833928683763</v>
      </c>
      <c r="I1788" s="7">
        <f t="shared" si="419"/>
        <v>-11.668185140522098</v>
      </c>
      <c r="J1788" s="7">
        <f t="shared" si="420"/>
        <v>-34.289089918936902</v>
      </c>
      <c r="K1788" s="8">
        <f t="shared" si="424"/>
        <v>450.05856970585234</v>
      </c>
      <c r="L1788" s="8">
        <f t="shared" si="425"/>
        <v>-18.902459927645797</v>
      </c>
      <c r="M1788" s="8">
        <f t="shared" si="422"/>
        <v>55.548325668677776</v>
      </c>
      <c r="N1788" s="8">
        <f t="shared" si="426"/>
        <v>25.000000000000004</v>
      </c>
      <c r="O1788" s="8">
        <f t="shared" si="427"/>
        <v>33.507214078958462</v>
      </c>
    </row>
    <row r="1789" spans="1:15" x14ac:dyDescent="0.3">
      <c r="A1789" s="5">
        <f t="shared" si="413"/>
        <v>17.809999999999985</v>
      </c>
      <c r="B1789" s="5">
        <f t="shared" si="423"/>
        <v>74.334103744918352</v>
      </c>
      <c r="C1789" s="6">
        <f t="shared" si="421"/>
        <v>2867.1725730182793</v>
      </c>
      <c r="D1789" s="6">
        <f t="shared" si="414"/>
        <v>8220678.5634682598</v>
      </c>
      <c r="E1789" s="7">
        <f t="shared" si="415"/>
        <v>6248571.4285714282</v>
      </c>
      <c r="F1789" s="7">
        <f t="shared" si="416"/>
        <v>124.97142857142855</v>
      </c>
      <c r="G1789" s="7">
        <f t="shared" si="417"/>
        <v>1972107.1348968316</v>
      </c>
      <c r="H1789" s="6">
        <f t="shared" si="418"/>
        <v>1404.3173198735503</v>
      </c>
      <c r="I1789" s="7">
        <f t="shared" si="419"/>
        <v>-11.705517572031441</v>
      </c>
      <c r="J1789" s="7">
        <f t="shared" si="420"/>
        <v>-34.179731653226817</v>
      </c>
      <c r="K1789" s="8">
        <f t="shared" si="424"/>
        <v>451.49853492121269</v>
      </c>
      <c r="L1789" s="8">
        <f t="shared" si="425"/>
        <v>-18.962938466690932</v>
      </c>
      <c r="M1789" s="8">
        <f t="shared" si="422"/>
        <v>55.371165278227423</v>
      </c>
      <c r="N1789" s="8">
        <f t="shared" si="426"/>
        <v>25.000000000000004</v>
      </c>
      <c r="O1789" s="8">
        <f t="shared" si="427"/>
        <v>33.561738935512068</v>
      </c>
    </row>
    <row r="1790" spans="1:15" x14ac:dyDescent="0.3">
      <c r="A1790" s="5">
        <f t="shared" si="413"/>
        <v>17.819999999999986</v>
      </c>
      <c r="B1790" s="5">
        <f t="shared" si="423"/>
        <v>74.217048569198042</v>
      </c>
      <c r="C1790" s="6">
        <f t="shared" si="421"/>
        <v>2862.6575876690672</v>
      </c>
      <c r="D1790" s="6">
        <f t="shared" si="414"/>
        <v>8194808.4642392835</v>
      </c>
      <c r="E1790" s="7">
        <f t="shared" si="415"/>
        <v>6248571.4285714282</v>
      </c>
      <c r="F1790" s="7">
        <f t="shared" si="416"/>
        <v>124.97142857142855</v>
      </c>
      <c r="G1790" s="7">
        <f t="shared" si="417"/>
        <v>1946237.0356678553</v>
      </c>
      <c r="H1790" s="6">
        <f t="shared" si="418"/>
        <v>1395.0759963772064</v>
      </c>
      <c r="I1790" s="7">
        <f t="shared" si="419"/>
        <v>-11.743336921631261</v>
      </c>
      <c r="J1790" s="7">
        <f t="shared" si="420"/>
        <v>-34.069656022318156</v>
      </c>
      <c r="K1790" s="8">
        <f t="shared" si="424"/>
        <v>452.95728126292005</v>
      </c>
      <c r="L1790" s="8">
        <f t="shared" si="425"/>
        <v>-19.024205813042641</v>
      </c>
      <c r="M1790" s="8">
        <f t="shared" si="422"/>
        <v>55.1928427561554</v>
      </c>
      <c r="N1790" s="8">
        <f t="shared" si="426"/>
        <v>25</v>
      </c>
      <c r="O1790" s="8">
        <f t="shared" si="427"/>
        <v>33.61715254326203</v>
      </c>
    </row>
    <row r="1791" spans="1:15" x14ac:dyDescent="0.3">
      <c r="A1791" s="5">
        <f t="shared" ref="A1791:A1808" si="428">A1790+$B$5</f>
        <v>17.829999999999988</v>
      </c>
      <c r="B1791" s="5">
        <f t="shared" si="423"/>
        <v>74.099615199981727</v>
      </c>
      <c r="C1791" s="6">
        <f t="shared" si="421"/>
        <v>2858.1280148564379</v>
      </c>
      <c r="D1791" s="6">
        <f t="shared" ref="D1791:D1808" si="429">POWER(C1791,2)</f>
        <v>8168895.7493072022</v>
      </c>
      <c r="E1791" s="7">
        <f t="shared" ref="E1791:E1808" si="430">4*$B$2*$B$3*POWER($B$1,2)</f>
        <v>6248571.4285714282</v>
      </c>
      <c r="F1791" s="7">
        <f t="shared" ref="F1791:F1808" si="431">POWER($B$1,2)*2*$B$2</f>
        <v>124.97142857142855</v>
      </c>
      <c r="G1791" s="7">
        <f t="shared" ref="G1791:G1808" si="432">D1791-E1791</f>
        <v>1920324.320735774</v>
      </c>
      <c r="H1791" s="6">
        <f t="shared" ref="H1791:H1808" si="433">SQRT(G1791)</f>
        <v>1385.7576702785282</v>
      </c>
      <c r="I1791" s="7">
        <f t="shared" ref="I1791:I1808" si="434">(-C1791+H1791)/F1791</f>
        <v>-11.781655706499052</v>
      </c>
      <c r="J1791" s="7">
        <f t="shared" ref="J1791:J1808" si="435">(-C1791-H1791)/F1791</f>
        <v>-33.958847503366222</v>
      </c>
      <c r="K1791" s="8">
        <f t="shared" si="424"/>
        <v>454.43529153639196</v>
      </c>
      <c r="L1791" s="8">
        <f t="shared" si="425"/>
        <v>-19.086282244528459</v>
      </c>
      <c r="M1791" s="8">
        <f t="shared" si="422"/>
        <v>55.013332955453265</v>
      </c>
      <c r="N1791" s="8">
        <f t="shared" si="426"/>
        <v>25.000000000000004</v>
      </c>
      <c r="O1791" s="8">
        <f t="shared" si="427"/>
        <v>33.673480236138161</v>
      </c>
    </row>
    <row r="1792" spans="1:15" x14ac:dyDescent="0.3">
      <c r="A1792" s="5">
        <f t="shared" si="428"/>
        <v>17.839999999999989</v>
      </c>
      <c r="B1792" s="5">
        <f t="shared" si="423"/>
        <v>73.981798642916743</v>
      </c>
      <c r="C1792" s="6">
        <f t="shared" si="421"/>
        <v>2853.5836619410743</v>
      </c>
      <c r="D1792" s="6">
        <f t="shared" si="429"/>
        <v>8142939.7156970315</v>
      </c>
      <c r="E1792" s="7">
        <f t="shared" si="430"/>
        <v>6248571.4285714282</v>
      </c>
      <c r="F1792" s="7">
        <f t="shared" si="431"/>
        <v>124.97142857142855</v>
      </c>
      <c r="G1792" s="7">
        <f t="shared" si="432"/>
        <v>1894368.2871256033</v>
      </c>
      <c r="H1792" s="6">
        <f t="shared" si="433"/>
        <v>1376.3605222199608</v>
      </c>
      <c r="I1792" s="7">
        <f t="shared" si="434"/>
        <v>-11.820486943355963</v>
      </c>
      <c r="J1792" s="7">
        <f t="shared" si="435"/>
        <v>-33.847289996716107</v>
      </c>
      <c r="K1792" s="8">
        <f t="shared" si="424"/>
        <v>455.93306781515855</v>
      </c>
      <c r="L1792" s="8">
        <f t="shared" si="425"/>
        <v>-19.149188848236658</v>
      </c>
      <c r="M1792" s="8">
        <f t="shared" si="422"/>
        <v>54.832609794680081</v>
      </c>
      <c r="N1792" s="8">
        <f t="shared" si="426"/>
        <v>25</v>
      </c>
      <c r="O1792" s="8">
        <f t="shared" si="427"/>
        <v>33.730748417748366</v>
      </c>
    </row>
    <row r="1793" spans="1:15" x14ac:dyDescent="0.3">
      <c r="A1793" s="5">
        <f t="shared" si="428"/>
        <v>17.849999999999991</v>
      </c>
      <c r="B1793" s="5">
        <f t="shared" si="423"/>
        <v>73.863593773483188</v>
      </c>
      <c r="C1793" s="6">
        <f t="shared" si="421"/>
        <v>2849.0243312629227</v>
      </c>
      <c r="D1793" s="6">
        <f t="shared" si="429"/>
        <v>8116939.6401281441</v>
      </c>
      <c r="E1793" s="7">
        <f t="shared" si="430"/>
        <v>6248571.4285714282</v>
      </c>
      <c r="F1793" s="7">
        <f t="shared" si="431"/>
        <v>124.97142857142855</v>
      </c>
      <c r="G1793" s="7">
        <f t="shared" si="432"/>
        <v>1868368.2115567159</v>
      </c>
      <c r="H1793" s="6">
        <f t="shared" si="433"/>
        <v>1366.882661956291</v>
      </c>
      <c r="I1793" s="7">
        <f t="shared" si="434"/>
        <v>-11.859844175978994</v>
      </c>
      <c r="J1793" s="7">
        <f t="shared" si="435"/>
        <v>-33.734966795306931</v>
      </c>
      <c r="K1793" s="8">
        <f t="shared" si="424"/>
        <v>457.4511325020469</v>
      </c>
      <c r="L1793" s="8">
        <f t="shared" si="425"/>
        <v>-19.212947565085969</v>
      </c>
      <c r="M1793" s="8">
        <f t="shared" si="422"/>
        <v>54.65064620839722</v>
      </c>
      <c r="N1793" s="8">
        <f t="shared" si="426"/>
        <v>25.000000000000004</v>
      </c>
      <c r="O1793" s="8">
        <f t="shared" si="427"/>
        <v>33.788984622351023</v>
      </c>
    </row>
    <row r="1794" spans="1:15" x14ac:dyDescent="0.3">
      <c r="A1794" s="5">
        <f t="shared" si="428"/>
        <v>17.859999999999992</v>
      </c>
      <c r="B1794" s="5">
        <f t="shared" si="423"/>
        <v>73.744995331723402</v>
      </c>
      <c r="C1794" s="6">
        <f t="shared" si="421"/>
        <v>2844.4498199379027</v>
      </c>
      <c r="D1794" s="6">
        <f t="shared" si="429"/>
        <v>8090894.7781447675</v>
      </c>
      <c r="E1794" s="7">
        <f t="shared" si="430"/>
        <v>6248571.4285714282</v>
      </c>
      <c r="F1794" s="7">
        <f t="shared" si="431"/>
        <v>124.97142857142855</v>
      </c>
      <c r="G1794" s="7">
        <f t="shared" si="432"/>
        <v>1842323.3495733393</v>
      </c>
      <c r="H1794" s="6">
        <f t="shared" si="433"/>
        <v>1357.3221244691103</v>
      </c>
      <c r="I1794" s="7">
        <f t="shared" si="434"/>
        <v>-11.899741504665693</v>
      </c>
      <c r="J1794" s="7">
        <f t="shared" si="435"/>
        <v>-33.621860551953702</v>
      </c>
      <c r="K1794" s="8">
        <f t="shared" si="424"/>
        <v>458.99002946567668</v>
      </c>
      <c r="L1794" s="8">
        <f t="shared" si="425"/>
        <v>-19.277581237558419</v>
      </c>
      <c r="M1794" s="8">
        <f t="shared" si="422"/>
        <v>54.46741409416498</v>
      </c>
      <c r="N1794" s="8">
        <f t="shared" si="426"/>
        <v>24.999999999999996</v>
      </c>
      <c r="O1794" s="8">
        <f t="shared" si="427"/>
        <v>33.848217580253916</v>
      </c>
    </row>
    <row r="1795" spans="1:15" x14ac:dyDescent="0.3">
      <c r="A1795" s="5">
        <f t="shared" si="428"/>
        <v>17.869999999999994</v>
      </c>
      <c r="B1795" s="5">
        <f t="shared" si="423"/>
        <v>73.625997916676738</v>
      </c>
      <c r="C1795" s="6">
        <f t="shared" si="421"/>
        <v>2839.8599196432456</v>
      </c>
      <c r="D1795" s="6">
        <f t="shared" si="429"/>
        <v>8064804.3631961411</v>
      </c>
      <c r="E1795" s="7">
        <f t="shared" si="430"/>
        <v>6248571.4285714282</v>
      </c>
      <c r="F1795" s="7">
        <f t="shared" si="431"/>
        <v>124.97142857142855</v>
      </c>
      <c r="G1795" s="7">
        <f t="shared" si="432"/>
        <v>1816232.9346247129</v>
      </c>
      <c r="H1795" s="6">
        <f t="shared" si="433"/>
        <v>1347.6768658045269</v>
      </c>
      <c r="I1795" s="7">
        <f t="shared" si="434"/>
        <v>-11.940193617822397</v>
      </c>
      <c r="J1795" s="7">
        <f t="shared" si="435"/>
        <v>-33.507953244323751</v>
      </c>
      <c r="K1795" s="8">
        <f t="shared" si="424"/>
        <v>460.55032525886384</v>
      </c>
      <c r="L1795" s="8">
        <f t="shared" si="425"/>
        <v>-19.34311366087228</v>
      </c>
      <c r="M1795" s="8">
        <f t="shared" si="422"/>
        <v>54.282884255804461</v>
      </c>
      <c r="N1795" s="8">
        <f t="shared" si="426"/>
        <v>25.000000000000004</v>
      </c>
      <c r="O1795" s="8">
        <f t="shared" si="427"/>
        <v>33.9084772880339</v>
      </c>
    </row>
    <row r="1796" spans="1:15" x14ac:dyDescent="0.3">
      <c r="A1796" s="5">
        <f t="shared" si="428"/>
        <v>17.879999999999995</v>
      </c>
      <c r="B1796" s="5">
        <f t="shared" si="423"/>
        <v>73.506595980498517</v>
      </c>
      <c r="C1796" s="6">
        <f t="shared" si="421"/>
        <v>2835.2544163906568</v>
      </c>
      <c r="D1796" s="6">
        <f t="shared" si="429"/>
        <v>8038667.605662724</v>
      </c>
      <c r="E1796" s="7">
        <f t="shared" si="430"/>
        <v>6248571.4285714282</v>
      </c>
      <c r="F1796" s="7">
        <f t="shared" si="431"/>
        <v>124.97142857142855</v>
      </c>
      <c r="G1796" s="7">
        <f t="shared" si="432"/>
        <v>1790096.1770912958</v>
      </c>
      <c r="H1796" s="6">
        <f t="shared" si="433"/>
        <v>1337.9447586097476</v>
      </c>
      <c r="I1796" s="7">
        <f t="shared" si="434"/>
        <v>-11.981215825864616</v>
      </c>
      <c r="J1796" s="7">
        <f t="shared" si="435"/>
        <v>-33.393226137406081</v>
      </c>
      <c r="K1796" s="8">
        <f t="shared" si="424"/>
        <v>462.13261042620661</v>
      </c>
      <c r="L1796" s="8">
        <f t="shared" si="425"/>
        <v>-19.409569637900674</v>
      </c>
      <c r="M1796" s="8">
        <f t="shared" si="422"/>
        <v>54.097026342597843</v>
      </c>
      <c r="N1796" s="8">
        <f t="shared" si="426"/>
        <v>25.000000000000007</v>
      </c>
      <c r="O1796" s="8">
        <f t="shared" si="427"/>
        <v>33.96979508401229</v>
      </c>
    </row>
    <row r="1797" spans="1:15" x14ac:dyDescent="0.3">
      <c r="A1797" s="5">
        <f t="shared" si="428"/>
        <v>17.889999999999997</v>
      </c>
      <c r="B1797" s="5">
        <f t="shared" si="423"/>
        <v>73.386783822239877</v>
      </c>
      <c r="C1797" s="6">
        <f t="shared" si="421"/>
        <v>2830.6330902863951</v>
      </c>
      <c r="D1797" s="6">
        <f t="shared" si="429"/>
        <v>8012483.6918243077</v>
      </c>
      <c r="E1797" s="7">
        <f t="shared" si="430"/>
        <v>6248571.4285714282</v>
      </c>
      <c r="F1797" s="7">
        <f t="shared" si="431"/>
        <v>124.97142857142855</v>
      </c>
      <c r="G1797" s="7">
        <f t="shared" si="432"/>
        <v>1763912.2632528795</v>
      </c>
      <c r="H1797" s="6">
        <f t="shared" si="433"/>
        <v>1328.1235873415092</v>
      </c>
      <c r="I1797" s="7">
        <f t="shared" si="434"/>
        <v>-12.02282409763855</v>
      </c>
      <c r="J1797" s="7">
        <f t="shared" si="435"/>
        <v>-33.277659743250268</v>
      </c>
      <c r="K1797" s="8">
        <f t="shared" si="424"/>
        <v>463.73750090891548</v>
      </c>
      <c r="L1797" s="8">
        <f t="shared" si="425"/>
        <v>-19.476975038174448</v>
      </c>
      <c r="M1797" s="8">
        <f t="shared" si="422"/>
        <v>53.909808784065433</v>
      </c>
      <c r="N1797" s="8">
        <f t="shared" si="426"/>
        <v>25.000000000000004</v>
      </c>
      <c r="O1797" s="8">
        <f t="shared" si="427"/>
        <v>34.03220372946835</v>
      </c>
    </row>
    <row r="1798" spans="1:15" x14ac:dyDescent="0.3">
      <c r="A1798" s="5">
        <f t="shared" si="428"/>
        <v>17.899999999999999</v>
      </c>
      <c r="B1798" s="5">
        <f t="shared" si="423"/>
        <v>73.266555581263489</v>
      </c>
      <c r="C1798" s="6">
        <f t="shared" si="421"/>
        <v>2825.9957152773059</v>
      </c>
      <c r="D1798" s="6">
        <f t="shared" si="429"/>
        <v>7986251.7827656912</v>
      </c>
      <c r="E1798" s="7">
        <f t="shared" si="430"/>
        <v>6248571.4285714282</v>
      </c>
      <c r="F1798" s="7">
        <f t="shared" si="431"/>
        <v>124.97142857142855</v>
      </c>
      <c r="G1798" s="7">
        <f t="shared" si="432"/>
        <v>1737680.354194263</v>
      </c>
      <c r="H1798" s="6">
        <f t="shared" si="433"/>
        <v>1318.2110431164895</v>
      </c>
      <c r="I1798" s="7">
        <f t="shared" si="434"/>
        <v>-12.065035099595013</v>
      </c>
      <c r="J1798" s="7">
        <f t="shared" si="435"/>
        <v>-33.161233777728135</v>
      </c>
      <c r="K1798" s="8">
        <f t="shared" si="424"/>
        <v>465.3656395558076</v>
      </c>
      <c r="L1798" s="8">
        <f t="shared" si="425"/>
        <v>-19.545356861343919</v>
      </c>
      <c r="M1798" s="8">
        <f t="shared" si="422"/>
        <v>53.72119871991957</v>
      </c>
      <c r="N1798" s="8">
        <f t="shared" si="426"/>
        <v>25.000000000000004</v>
      </c>
      <c r="O1798" s="8">
        <f t="shared" si="427"/>
        <v>34.095737496125807</v>
      </c>
    </row>
    <row r="1799" spans="1:15" x14ac:dyDescent="0.3">
      <c r="A1799" s="5">
        <f t="shared" si="428"/>
        <v>17.91</v>
      </c>
      <c r="B1799" s="5">
        <f t="shared" si="423"/>
        <v>73.145905230267545</v>
      </c>
      <c r="C1799" s="6">
        <f t="shared" si="421"/>
        <v>2821.342058881748</v>
      </c>
      <c r="D1799" s="6">
        <f t="shared" si="429"/>
        <v>7959971.0132151013</v>
      </c>
      <c r="E1799" s="7">
        <f t="shared" si="430"/>
        <v>6248571.4285714282</v>
      </c>
      <c r="F1799" s="7">
        <f t="shared" si="431"/>
        <v>124.97142857142855</v>
      </c>
      <c r="G1799" s="7">
        <f t="shared" si="432"/>
        <v>1711399.5846436732</v>
      </c>
      <c r="H1799" s="6">
        <f t="shared" si="433"/>
        <v>1308.2047181705443</v>
      </c>
      <c r="I1799" s="7">
        <f t="shared" si="434"/>
        <v>-12.107866237972598</v>
      </c>
      <c r="J1799" s="7">
        <f t="shared" si="435"/>
        <v>-33.043927114044408</v>
      </c>
      <c r="K1799" s="8">
        <f t="shared" si="424"/>
        <v>467.01769775037161</v>
      </c>
      <c r="L1799" s="8">
        <f t="shared" si="425"/>
        <v>-19.614743305515606</v>
      </c>
      <c r="M1799" s="8">
        <f t="shared" si="422"/>
        <v>53.531161924751942</v>
      </c>
      <c r="N1799" s="8">
        <f t="shared" si="426"/>
        <v>25.000000000000004</v>
      </c>
      <c r="O1799" s="8">
        <f t="shared" si="427"/>
        <v>34.160432260506418</v>
      </c>
    </row>
    <row r="1800" spans="1:15" x14ac:dyDescent="0.3">
      <c r="A1800" s="5">
        <f t="shared" si="428"/>
        <v>17.920000000000002</v>
      </c>
      <c r="B1800" s="5">
        <f t="shared" si="423"/>
        <v>73.024826567887814</v>
      </c>
      <c r="C1800" s="6">
        <f t="shared" ref="C1800:C1808" si="436">$B$1*B1800</f>
        <v>2816.6718819042439</v>
      </c>
      <c r="D1800" s="6">
        <f t="shared" si="429"/>
        <v>7933640.4903099956</v>
      </c>
      <c r="E1800" s="7">
        <f t="shared" si="430"/>
        <v>6248571.4285714282</v>
      </c>
      <c r="F1800" s="7">
        <f t="shared" si="431"/>
        <v>124.97142857142855</v>
      </c>
      <c r="G1800" s="7">
        <f t="shared" si="432"/>
        <v>1685069.0617385674</v>
      </c>
      <c r="H1800" s="6">
        <f t="shared" si="433"/>
        <v>1298.1020998898998</v>
      </c>
      <c r="I1800" s="7">
        <f t="shared" si="434"/>
        <v>-12.151335704275732</v>
      </c>
      <c r="J1800" s="7">
        <f t="shared" si="435"/>
        <v>-32.925717732692057</v>
      </c>
      <c r="K1800" s="8">
        <f t="shared" si="424"/>
        <v>468.69437716492109</v>
      </c>
      <c r="L1800" s="8">
        <f t="shared" si="425"/>
        <v>-19.685163840926684</v>
      </c>
      <c r="M1800" s="8">
        <f t="shared" ref="M1800:M1808" si="437">B1800+L1800</f>
        <v>53.33966272696113</v>
      </c>
      <c r="N1800" s="8">
        <f t="shared" si="426"/>
        <v>25.000000000000004</v>
      </c>
      <c r="O1800" s="8">
        <f t="shared" si="427"/>
        <v>34.226325605812562</v>
      </c>
    </row>
    <row r="1801" spans="1:15" x14ac:dyDescent="0.3">
      <c r="A1801" s="5">
        <f t="shared" si="428"/>
        <v>17.930000000000003</v>
      </c>
      <c r="B1801" s="5">
        <f t="shared" ref="B1801:B1807" si="438">I1800*$B$5+B1800</f>
        <v>72.903313210845056</v>
      </c>
      <c r="C1801" s="6">
        <f t="shared" si="436"/>
        <v>2811.9849381325948</v>
      </c>
      <c r="D1801" s="6">
        <f t="shared" si="429"/>
        <v>7907259.2922845734</v>
      </c>
      <c r="E1801" s="7">
        <f t="shared" si="430"/>
        <v>6248571.4285714282</v>
      </c>
      <c r="F1801" s="7">
        <f t="shared" si="431"/>
        <v>124.97142857142855</v>
      </c>
      <c r="G1801" s="7">
        <f t="shared" si="432"/>
        <v>1658687.8637131453</v>
      </c>
      <c r="H1801" s="6">
        <f t="shared" si="433"/>
        <v>1287.9005643733312</v>
      </c>
      <c r="I1801" s="7">
        <f t="shared" si="434"/>
        <v>-12.195462524365395</v>
      </c>
      <c r="J1801" s="7">
        <f t="shared" si="435"/>
        <v>-32.80658266751427</v>
      </c>
      <c r="K1801" s="8">
        <f t="shared" ref="K1801:K1808" si="439">-$B$1*I1801</f>
        <v>470.39641165409375</v>
      </c>
      <c r="L1801" s="8">
        <f t="shared" ref="L1801:L1808" si="440">-$B$2*K1801</f>
        <v>-19.756649289471934</v>
      </c>
      <c r="M1801" s="8">
        <f t="shared" si="437"/>
        <v>53.146663921373118</v>
      </c>
      <c r="N1801" s="8">
        <f t="shared" ref="N1801:N1808" si="441">K1801*M1801/1000</f>
        <v>25.000000000000004</v>
      </c>
      <c r="O1801" s="8">
        <f t="shared" ref="O1801:O1808" si="442">B1801*K1801/1000</f>
        <v>34.293456932076005</v>
      </c>
    </row>
    <row r="1802" spans="1:15" x14ac:dyDescent="0.3">
      <c r="A1802" s="5">
        <f t="shared" si="428"/>
        <v>17.940000000000005</v>
      </c>
      <c r="B1802" s="5">
        <f t="shared" si="438"/>
        <v>72.781358585601396</v>
      </c>
      <c r="C1802" s="6">
        <f t="shared" si="436"/>
        <v>2807.2809740160537</v>
      </c>
      <c r="D1802" s="6">
        <f t="shared" si="429"/>
        <v>7880826.4670725232</v>
      </c>
      <c r="E1802" s="7">
        <f t="shared" si="430"/>
        <v>6248571.4285714282</v>
      </c>
      <c r="F1802" s="7">
        <f t="shared" si="431"/>
        <v>124.97142857142855</v>
      </c>
      <c r="G1802" s="7">
        <f t="shared" si="432"/>
        <v>1632255.038501095</v>
      </c>
      <c r="H1802" s="6">
        <f t="shared" si="433"/>
        <v>1277.5973694795614</v>
      </c>
      <c r="I1802" s="7">
        <f t="shared" si="434"/>
        <v>-12.240266611517431</v>
      </c>
      <c r="J1802" s="7">
        <f t="shared" si="435"/>
        <v>-32.686497947495781</v>
      </c>
      <c r="K1802" s="8">
        <f t="shared" si="439"/>
        <v>472.1245693013866</v>
      </c>
      <c r="L1802" s="8">
        <f t="shared" si="440"/>
        <v>-19.829231910658237</v>
      </c>
      <c r="M1802" s="8">
        <f t="shared" si="437"/>
        <v>52.952126674943159</v>
      </c>
      <c r="N1802" s="8">
        <f t="shared" si="441"/>
        <v>25.000000000000004</v>
      </c>
      <c r="O1802" s="8">
        <f t="shared" si="442"/>
        <v>34.361867575396836</v>
      </c>
    </row>
    <row r="1803" spans="1:15" x14ac:dyDescent="0.3">
      <c r="A1803" s="5">
        <f t="shared" si="428"/>
        <v>17.950000000000006</v>
      </c>
      <c r="B1803" s="5">
        <f t="shared" si="438"/>
        <v>72.658955919486218</v>
      </c>
      <c r="C1803" s="6">
        <f t="shared" si="436"/>
        <v>2802.5597283230395</v>
      </c>
      <c r="D1803" s="6">
        <f t="shared" si="429"/>
        <v>7854341.0308181094</v>
      </c>
      <c r="E1803" s="7">
        <f t="shared" si="430"/>
        <v>6248571.4285714282</v>
      </c>
      <c r="F1803" s="7">
        <f t="shared" si="431"/>
        <v>124.97142857142855</v>
      </c>
      <c r="G1803" s="7">
        <f t="shared" si="432"/>
        <v>1605769.6022466812</v>
      </c>
      <c r="H1803" s="6">
        <f t="shared" si="433"/>
        <v>1267.1896473088316</v>
      </c>
      <c r="I1803" s="7">
        <f t="shared" si="434"/>
        <v>-12.28576882384483</v>
      </c>
      <c r="J1803" s="7">
        <f t="shared" si="435"/>
        <v>-32.565438533862711</v>
      </c>
      <c r="K1803" s="8">
        <f t="shared" si="439"/>
        <v>473.87965463401486</v>
      </c>
      <c r="L1803" s="8">
        <f t="shared" si="440"/>
        <v>-19.902945494628622</v>
      </c>
      <c r="M1803" s="8">
        <f t="shared" si="437"/>
        <v>52.756010424857593</v>
      </c>
      <c r="N1803" s="8">
        <f t="shared" si="441"/>
        <v>25.000000000000004</v>
      </c>
      <c r="O1803" s="8">
        <f t="shared" si="442"/>
        <v>34.431600937194233</v>
      </c>
    </row>
    <row r="1804" spans="1:15" x14ac:dyDescent="0.3">
      <c r="A1804" s="5">
        <f t="shared" si="428"/>
        <v>17.960000000000008</v>
      </c>
      <c r="B1804" s="5">
        <f t="shared" si="438"/>
        <v>72.536098231247763</v>
      </c>
      <c r="C1804" s="6">
        <f t="shared" si="436"/>
        <v>2797.8209317766991</v>
      </c>
      <c r="D1804" s="6">
        <f t="shared" si="429"/>
        <v>7827801.9662878374</v>
      </c>
      <c r="E1804" s="7">
        <f t="shared" si="430"/>
        <v>6248571.4285714282</v>
      </c>
      <c r="F1804" s="7">
        <f t="shared" si="431"/>
        <v>124.97142857142855</v>
      </c>
      <c r="G1804" s="7">
        <f t="shared" si="432"/>
        <v>1579230.5377164092</v>
      </c>
      <c r="H1804" s="6">
        <f t="shared" si="433"/>
        <v>1256.6743960614497</v>
      </c>
      <c r="I1804" s="7">
        <f t="shared" si="434"/>
        <v>-12.331991026528062</v>
      </c>
      <c r="J1804" s="7">
        <f t="shared" si="435"/>
        <v>-32.443378252019947</v>
      </c>
      <c r="K1804" s="8">
        <f t="shared" si="439"/>
        <v>475.66251102322519</v>
      </c>
      <c r="L1804" s="8">
        <f t="shared" si="440"/>
        <v>-19.977825462975456</v>
      </c>
      <c r="M1804" s="8">
        <f t="shared" si="437"/>
        <v>52.558272768272303</v>
      </c>
      <c r="N1804" s="8">
        <f t="shared" si="441"/>
        <v>25</v>
      </c>
      <c r="O1804" s="8">
        <f t="shared" si="442"/>
        <v>34.502702624502632</v>
      </c>
    </row>
    <row r="1805" spans="1:15" x14ac:dyDescent="0.3">
      <c r="A1805" s="5">
        <f t="shared" si="428"/>
        <v>17.97000000000001</v>
      </c>
      <c r="B1805" s="5">
        <f t="shared" si="438"/>
        <v>72.412778320982483</v>
      </c>
      <c r="C1805" s="6">
        <f t="shared" si="436"/>
        <v>2793.064306666467</v>
      </c>
      <c r="D1805" s="6">
        <f t="shared" si="429"/>
        <v>7801208.2211742317</v>
      </c>
      <c r="E1805" s="7">
        <f t="shared" si="430"/>
        <v>6248571.4285714282</v>
      </c>
      <c r="F1805" s="7">
        <f t="shared" si="431"/>
        <v>124.97142857142855</v>
      </c>
      <c r="G1805" s="7">
        <f t="shared" si="432"/>
        <v>1552636.7926028036</v>
      </c>
      <c r="H1805" s="6">
        <f t="shared" si="433"/>
        <v>1246.0484712092077</v>
      </c>
      <c r="I1805" s="7">
        <f t="shared" si="434"/>
        <v>-12.378956159351644</v>
      </c>
      <c r="J1805" s="7">
        <f t="shared" si="435"/>
        <v>-32.32028971779804</v>
      </c>
      <c r="K1805" s="8">
        <f t="shared" si="439"/>
        <v>477.47402328927762</v>
      </c>
      <c r="L1805" s="8">
        <f t="shared" si="440"/>
        <v>-20.053908978149657</v>
      </c>
      <c r="M1805" s="8">
        <f t="shared" si="437"/>
        <v>52.358869342832826</v>
      </c>
      <c r="N1805" s="8">
        <f t="shared" si="441"/>
        <v>25.000000000000004</v>
      </c>
      <c r="O1805" s="8">
        <f t="shared" si="442"/>
        <v>34.57522060247409</v>
      </c>
    </row>
    <row r="1806" spans="1:15" x14ac:dyDescent="0.3">
      <c r="A1806" s="5">
        <f>A1805+$B$5</f>
        <v>17.980000000000011</v>
      </c>
      <c r="B1806" s="5">
        <f t="shared" si="438"/>
        <v>72.288988759388971</v>
      </c>
      <c r="C1806" s="6">
        <f t="shared" si="436"/>
        <v>2788.2895664335742</v>
      </c>
      <c r="D1806" s="6">
        <f t="shared" si="429"/>
        <v>7774558.7062823297</v>
      </c>
      <c r="E1806" s="7">
        <f t="shared" si="430"/>
        <v>6248571.4285714282</v>
      </c>
      <c r="F1806" s="7">
        <f t="shared" si="431"/>
        <v>124.97142857142855</v>
      </c>
      <c r="G1806" s="7">
        <f t="shared" si="432"/>
        <v>1525987.2777109016</v>
      </c>
      <c r="H1806" s="6">
        <f t="shared" si="433"/>
        <v>1235.3085759076157</v>
      </c>
      <c r="I1806" s="7">
        <f t="shared" si="434"/>
        <v>-12.426688310107124</v>
      </c>
      <c r="J1806" s="7">
        <f t="shared" si="435"/>
        <v>-32.196144257416933</v>
      </c>
      <c r="K1806" s="8">
        <f t="shared" si="439"/>
        <v>479.31512053270336</v>
      </c>
      <c r="L1806" s="8">
        <f t="shared" si="440"/>
        <v>-20.131235062373538</v>
      </c>
      <c r="M1806" s="8">
        <f t="shared" si="437"/>
        <v>52.157753697015437</v>
      </c>
      <c r="N1806" s="8">
        <f t="shared" si="441"/>
        <v>25.000000000000007</v>
      </c>
      <c r="O1806" s="8">
        <f t="shared" si="442"/>
        <v>34.649205360393758</v>
      </c>
    </row>
    <row r="1807" spans="1:15" x14ac:dyDescent="0.3">
      <c r="A1807" s="5">
        <f t="shared" si="428"/>
        <v>17.990000000000013</v>
      </c>
      <c r="B1807" s="5">
        <f t="shared" si="438"/>
        <v>72.164721876287899</v>
      </c>
      <c r="C1807" s="6">
        <f t="shared" si="436"/>
        <v>2783.4964152282473</v>
      </c>
      <c r="D1807" s="6">
        <f t="shared" si="429"/>
        <v>7747852.2935885033</v>
      </c>
      <c r="E1807" s="7">
        <f t="shared" si="430"/>
        <v>6248571.4285714282</v>
      </c>
      <c r="F1807" s="7">
        <f t="shared" si="431"/>
        <v>124.97142857142855</v>
      </c>
      <c r="G1807" s="7">
        <f t="shared" si="432"/>
        <v>1499280.8650170751</v>
      </c>
      <c r="H1807" s="6">
        <f t="shared" si="433"/>
        <v>1224.4512505678106</v>
      </c>
      <c r="I1807" s="7">
        <f t="shared" si="434"/>
        <v>-12.475212794493666</v>
      </c>
      <c r="J1807" s="7">
        <f t="shared" si="435"/>
        <v>-32.070911820498864</v>
      </c>
      <c r="K1807" s="8">
        <f t="shared" si="439"/>
        <v>481.18677921618428</v>
      </c>
      <c r="L1807" s="8">
        <f t="shared" si="440"/>
        <v>-20.209844727079737</v>
      </c>
      <c r="M1807" s="8">
        <f t="shared" si="437"/>
        <v>51.954877149208158</v>
      </c>
      <c r="N1807" s="8">
        <f t="shared" si="441"/>
        <v>25.000000000000004</v>
      </c>
      <c r="O1807" s="8">
        <f t="shared" si="442"/>
        <v>34.724710092682692</v>
      </c>
    </row>
    <row r="1808" spans="1:15" x14ac:dyDescent="0.3">
      <c r="A1808" s="5">
        <f t="shared" si="428"/>
        <v>18.000000000000014</v>
      </c>
      <c r="B1808" s="5">
        <f>I1807*$B$5+B1807</f>
        <v>72.039969748342969</v>
      </c>
      <c r="C1808" s="6">
        <f t="shared" si="436"/>
        <v>2778.6845474360857</v>
      </c>
      <c r="D1808" s="6">
        <f t="shared" si="429"/>
        <v>7721087.8141600844</v>
      </c>
      <c r="E1808" s="7">
        <f t="shared" si="430"/>
        <v>6248571.4285714282</v>
      </c>
      <c r="F1808" s="7">
        <f t="shared" si="431"/>
        <v>124.97142857142855</v>
      </c>
      <c r="G1808" s="7">
        <f t="shared" si="432"/>
        <v>1472516.3855886562</v>
      </c>
      <c r="H1808" s="6">
        <f t="shared" si="433"/>
        <v>1213.4728614965627</v>
      </c>
      <c r="I1808" s="7">
        <f t="shared" si="434"/>
        <v>-12.524556243228925</v>
      </c>
      <c r="J1808" s="7">
        <f t="shared" si="435"/>
        <v>-31.944560885377854</v>
      </c>
      <c r="K1808" s="8">
        <f t="shared" si="439"/>
        <v>483.09002652454421</v>
      </c>
      <c r="L1808" s="8">
        <f t="shared" si="440"/>
        <v>-20.289781114030855</v>
      </c>
      <c r="M1808" s="8">
        <f t="shared" si="437"/>
        <v>51.75018863431211</v>
      </c>
      <c r="N1808" s="8">
        <f t="shared" si="441"/>
        <v>25.000000000000004</v>
      </c>
      <c r="O1808" s="8">
        <f t="shared" si="442"/>
        <v>34.801790896554365</v>
      </c>
    </row>
    <row r="1809" spans="1:14" x14ac:dyDescent="0.3">
      <c r="A1809" s="9"/>
      <c r="B1809" s="9"/>
      <c r="E1809" s="2"/>
      <c r="F1809" s="2"/>
      <c r="G1809" s="2"/>
      <c r="I1809" s="2"/>
      <c r="J1809" s="2"/>
      <c r="K1809" s="2"/>
      <c r="L1809" s="2"/>
      <c r="M1809" s="2"/>
      <c r="N1809" s="2"/>
    </row>
    <row r="1810" spans="1:14" x14ac:dyDescent="0.3">
      <c r="A1810" s="9"/>
      <c r="B1810" s="9"/>
      <c r="E1810" s="2"/>
      <c r="F1810" s="2"/>
      <c r="G1810" s="2"/>
      <c r="I1810" s="2"/>
      <c r="J1810" s="2"/>
      <c r="K1810" s="2"/>
      <c r="L1810" s="2"/>
      <c r="M1810" s="2"/>
      <c r="N181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EDC6-E2F9-4399-9B9D-11992CD0E709}">
  <dimension ref="A1:Y135"/>
  <sheetViews>
    <sheetView topLeftCell="A19" workbookViewId="0">
      <selection activeCell="M65" sqref="M65"/>
    </sheetView>
  </sheetViews>
  <sheetFormatPr defaultRowHeight="14.4" x14ac:dyDescent="0.3"/>
  <cols>
    <col min="4" max="4" width="10.21875" customWidth="1"/>
  </cols>
  <sheetData>
    <row r="1" spans="1:25" ht="31.2" x14ac:dyDescent="0.6">
      <c r="A1" s="34" t="s">
        <v>46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5" ht="23.4" x14ac:dyDescent="0.45">
      <c r="A2" s="36" t="s">
        <v>42</v>
      </c>
      <c r="B2" s="37"/>
      <c r="C2" s="37"/>
      <c r="D2" s="37"/>
      <c r="E2" s="37"/>
      <c r="F2" s="37"/>
      <c r="G2" s="37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30" customHeight="1" x14ac:dyDescent="0.3">
      <c r="A3" s="39" t="s">
        <v>47</v>
      </c>
      <c r="B3" s="40"/>
      <c r="C3" s="41" t="s">
        <v>48</v>
      </c>
      <c r="D3" s="41"/>
      <c r="E3" s="42" t="s">
        <v>49</v>
      </c>
      <c r="F3" s="43"/>
      <c r="G3" s="43"/>
      <c r="H3" s="44"/>
      <c r="K3" t="s">
        <v>55</v>
      </c>
      <c r="M3" s="27" t="s">
        <v>41</v>
      </c>
      <c r="Q3" t="s">
        <v>59</v>
      </c>
    </row>
    <row r="4" spans="1:25" ht="30" customHeight="1" x14ac:dyDescent="0.3">
      <c r="A4" s="21" t="s">
        <v>50</v>
      </c>
      <c r="B4" s="22" t="s">
        <v>51</v>
      </c>
      <c r="C4" s="23" t="s">
        <v>50</v>
      </c>
      <c r="D4" s="23" t="s">
        <v>52</v>
      </c>
      <c r="E4" s="24" t="s">
        <v>50</v>
      </c>
      <c r="F4" s="22" t="s">
        <v>51</v>
      </c>
      <c r="G4" s="25" t="s">
        <v>53</v>
      </c>
      <c r="H4" s="25" t="s">
        <v>54</v>
      </c>
    </row>
    <row r="5" spans="1:25" x14ac:dyDescent="0.3">
      <c r="A5" s="17">
        <v>0.32</v>
      </c>
      <c r="B5" s="26">
        <v>2.65</v>
      </c>
      <c r="C5" s="17">
        <v>0.15</v>
      </c>
      <c r="D5" s="17">
        <v>2.64</v>
      </c>
      <c r="E5" s="29">
        <v>0.32</v>
      </c>
      <c r="F5" s="17">
        <v>2.65</v>
      </c>
      <c r="G5" s="17">
        <v>2.65</v>
      </c>
      <c r="H5" s="17">
        <f>((G5-F5)/F5)*100</f>
        <v>0</v>
      </c>
      <c r="T5" s="19"/>
      <c r="U5" s="19"/>
    </row>
    <row r="6" spans="1:25" x14ac:dyDescent="0.3">
      <c r="A6" s="17">
        <v>0.95</v>
      </c>
      <c r="B6" s="26">
        <v>2.63</v>
      </c>
      <c r="C6" s="17">
        <v>0.44</v>
      </c>
      <c r="D6" s="17">
        <v>2.63</v>
      </c>
      <c r="E6" s="26">
        <v>0.95</v>
      </c>
      <c r="F6" s="17">
        <v>2.63</v>
      </c>
      <c r="G6" s="17">
        <v>2.63</v>
      </c>
      <c r="H6" s="17">
        <f t="shared" ref="H6:H65" si="0">((G6-F6)/F6)*100</f>
        <v>0</v>
      </c>
      <c r="T6" s="19"/>
      <c r="U6" s="19"/>
    </row>
    <row r="7" spans="1:25" x14ac:dyDescent="0.3">
      <c r="A7" s="17">
        <v>1.48</v>
      </c>
      <c r="B7" s="26">
        <v>2.61</v>
      </c>
      <c r="C7" s="17">
        <v>0.74</v>
      </c>
      <c r="D7" s="17">
        <v>2.62</v>
      </c>
      <c r="E7" s="26">
        <v>1.48</v>
      </c>
      <c r="F7" s="17">
        <v>2.61</v>
      </c>
      <c r="G7" s="17">
        <v>2.62</v>
      </c>
      <c r="H7" s="17">
        <f t="shared" si="0"/>
        <v>0.38314176245211617</v>
      </c>
      <c r="T7" s="19"/>
      <c r="U7" s="19"/>
    </row>
    <row r="8" spans="1:25" x14ac:dyDescent="0.3">
      <c r="A8" s="17">
        <v>2.08</v>
      </c>
      <c r="B8" s="26">
        <v>2.59</v>
      </c>
      <c r="C8" s="17">
        <v>1.03</v>
      </c>
      <c r="D8" s="17">
        <v>2.61</v>
      </c>
      <c r="E8" s="26">
        <v>2.08</v>
      </c>
      <c r="F8" s="17">
        <v>2.59</v>
      </c>
      <c r="G8" s="17">
        <v>2.59</v>
      </c>
      <c r="H8" s="17">
        <f t="shared" si="0"/>
        <v>0</v>
      </c>
      <c r="T8" s="19"/>
      <c r="U8" s="19"/>
    </row>
    <row r="9" spans="1:25" x14ac:dyDescent="0.3">
      <c r="A9" s="17">
        <v>2.72</v>
      </c>
      <c r="B9" s="26">
        <v>2.57</v>
      </c>
      <c r="C9" s="17">
        <v>1.33</v>
      </c>
      <c r="D9" s="17">
        <v>2.6</v>
      </c>
      <c r="E9" s="26">
        <v>2.72</v>
      </c>
      <c r="F9" s="17">
        <v>2.57</v>
      </c>
      <c r="G9" s="17">
        <v>2.58</v>
      </c>
      <c r="H9" s="17">
        <f t="shared" si="0"/>
        <v>0.38910505836576781</v>
      </c>
      <c r="T9" s="19"/>
      <c r="U9" s="19"/>
    </row>
    <row r="10" spans="1:25" x14ac:dyDescent="0.3">
      <c r="A10" s="17">
        <v>3.39</v>
      </c>
      <c r="B10" s="26">
        <v>2.5499999999999998</v>
      </c>
      <c r="C10" s="17">
        <v>1.62</v>
      </c>
      <c r="D10" s="17">
        <v>2.59</v>
      </c>
      <c r="E10" s="26">
        <v>3.39</v>
      </c>
      <c r="F10" s="17">
        <v>2.5499999999999998</v>
      </c>
      <c r="G10" s="17">
        <v>2.52</v>
      </c>
      <c r="H10" s="17">
        <f t="shared" si="0"/>
        <v>-1.1764705882352864</v>
      </c>
      <c r="T10" s="19"/>
      <c r="U10" s="19"/>
    </row>
    <row r="11" spans="1:25" x14ac:dyDescent="0.3">
      <c r="A11" s="17">
        <v>4.03</v>
      </c>
      <c r="B11" s="26">
        <v>2.5299999999999998</v>
      </c>
      <c r="C11" s="17">
        <v>1.92</v>
      </c>
      <c r="D11" s="17">
        <v>2.57</v>
      </c>
      <c r="E11" s="26">
        <v>4.03</v>
      </c>
      <c r="F11" s="17">
        <v>2.5299999999999998</v>
      </c>
      <c r="G11" s="17">
        <v>2.4900000000000002</v>
      </c>
      <c r="H11" s="17">
        <f t="shared" si="0"/>
        <v>-1.5810276679841737</v>
      </c>
      <c r="T11" s="19"/>
      <c r="U11" s="19"/>
    </row>
    <row r="12" spans="1:25" x14ac:dyDescent="0.3">
      <c r="A12" s="17">
        <v>4.71</v>
      </c>
      <c r="B12" s="26">
        <v>2.5099999999999998</v>
      </c>
      <c r="C12" s="17">
        <v>2.21</v>
      </c>
      <c r="D12" s="17">
        <v>2.56</v>
      </c>
      <c r="E12" s="26">
        <v>4.71</v>
      </c>
      <c r="F12" s="17">
        <v>2.5099999999999998</v>
      </c>
      <c r="G12" s="17">
        <v>2.46</v>
      </c>
      <c r="H12" s="17">
        <f t="shared" si="0"/>
        <v>-1.9920318725099533</v>
      </c>
      <c r="T12" s="19"/>
      <c r="U12" s="19"/>
    </row>
    <row r="13" spans="1:25" x14ac:dyDescent="0.3">
      <c r="A13" s="17">
        <v>5.35</v>
      </c>
      <c r="B13" s="26">
        <v>2.4900000000000002</v>
      </c>
      <c r="C13" s="17">
        <v>2.5099999999999998</v>
      </c>
      <c r="D13" s="17">
        <v>2.5499999999999998</v>
      </c>
      <c r="E13" s="26">
        <v>5.35</v>
      </c>
      <c r="F13" s="17">
        <v>2.4900000000000002</v>
      </c>
      <c r="G13" s="17">
        <v>2.44</v>
      </c>
      <c r="H13" s="17">
        <f t="shared" si="0"/>
        <v>-2.0080321285140665</v>
      </c>
      <c r="T13" s="19"/>
      <c r="U13" s="19"/>
    </row>
    <row r="14" spans="1:25" x14ac:dyDescent="0.3">
      <c r="A14" s="17">
        <v>6.04</v>
      </c>
      <c r="B14" s="26">
        <v>2.46</v>
      </c>
      <c r="C14" s="17">
        <v>2.8</v>
      </c>
      <c r="D14" s="17">
        <v>2.54</v>
      </c>
      <c r="E14" s="26">
        <v>6.04</v>
      </c>
      <c r="F14" s="17">
        <v>2.46</v>
      </c>
      <c r="G14" s="17">
        <v>2.41</v>
      </c>
      <c r="H14" s="17">
        <f t="shared" si="0"/>
        <v>-2.0325203252032447</v>
      </c>
      <c r="T14" s="19"/>
      <c r="U14" s="19"/>
    </row>
    <row r="15" spans="1:25" x14ac:dyDescent="0.3">
      <c r="A15" s="17">
        <v>6.66</v>
      </c>
      <c r="B15" s="26">
        <v>2.44</v>
      </c>
      <c r="C15" s="17">
        <v>3.1</v>
      </c>
      <c r="D15" s="17">
        <v>2.5299999999999998</v>
      </c>
      <c r="E15" s="26">
        <v>6.66</v>
      </c>
      <c r="F15" s="17">
        <v>2.44</v>
      </c>
      <c r="G15" s="17">
        <v>2.39</v>
      </c>
      <c r="H15" s="17">
        <f t="shared" si="0"/>
        <v>-2.0491803278688452</v>
      </c>
      <c r="T15" s="19"/>
      <c r="U15" s="19"/>
    </row>
    <row r="16" spans="1:25" x14ac:dyDescent="0.3">
      <c r="A16" s="17">
        <v>7.29</v>
      </c>
      <c r="B16" s="26">
        <v>2.42</v>
      </c>
      <c r="C16" s="17">
        <v>3.39</v>
      </c>
      <c r="D16" s="17">
        <v>2.52</v>
      </c>
      <c r="E16" s="26">
        <v>7.29</v>
      </c>
      <c r="F16" s="17">
        <v>2.42</v>
      </c>
      <c r="G16" s="17">
        <v>2.36</v>
      </c>
      <c r="H16" s="17">
        <f t="shared" si="0"/>
        <v>-2.4793388429752086</v>
      </c>
      <c r="T16" s="19"/>
      <c r="U16" s="19"/>
    </row>
    <row r="17" spans="1:21" x14ac:dyDescent="0.3">
      <c r="A17" s="17">
        <v>7.91</v>
      </c>
      <c r="B17" s="26">
        <v>2.4</v>
      </c>
      <c r="C17" s="17">
        <v>3.69</v>
      </c>
      <c r="D17" s="17">
        <v>2.5099999999999998</v>
      </c>
      <c r="E17" s="26">
        <v>7.91</v>
      </c>
      <c r="F17" s="17">
        <v>2.4</v>
      </c>
      <c r="G17" s="17">
        <v>2.34</v>
      </c>
      <c r="H17" s="17">
        <f t="shared" si="0"/>
        <v>-2.5000000000000022</v>
      </c>
      <c r="T17" s="19"/>
      <c r="U17" s="19"/>
    </row>
    <row r="18" spans="1:21" x14ac:dyDescent="0.3">
      <c r="A18" s="17">
        <v>8.4499999999999993</v>
      </c>
      <c r="B18" s="26">
        <v>2.39</v>
      </c>
      <c r="C18" s="17">
        <v>3.98</v>
      </c>
      <c r="D18" s="17">
        <v>2.4900000000000002</v>
      </c>
      <c r="E18" s="26">
        <v>8.4499999999999993</v>
      </c>
      <c r="F18" s="17">
        <v>2.39</v>
      </c>
      <c r="G18" s="17">
        <v>2.31</v>
      </c>
      <c r="H18" s="17">
        <f t="shared" si="0"/>
        <v>-3.347280334728036</v>
      </c>
      <c r="T18" s="19"/>
      <c r="U18" s="19"/>
    </row>
    <row r="19" spans="1:21" x14ac:dyDescent="0.3">
      <c r="A19" s="17">
        <v>9.0500000000000007</v>
      </c>
      <c r="B19" s="26">
        <v>2.37</v>
      </c>
      <c r="C19" s="17">
        <v>4.28</v>
      </c>
      <c r="D19" s="17">
        <v>2.48</v>
      </c>
      <c r="E19" s="26">
        <v>9.0500000000000007</v>
      </c>
      <c r="F19" s="17">
        <v>2.37</v>
      </c>
      <c r="G19" s="17">
        <v>2.29</v>
      </c>
      <c r="H19" s="17">
        <f t="shared" si="0"/>
        <v>-3.3755274261603407</v>
      </c>
      <c r="T19" s="19"/>
      <c r="U19" s="19"/>
    </row>
    <row r="20" spans="1:21" x14ac:dyDescent="0.3">
      <c r="A20" s="17">
        <v>9.67</v>
      </c>
      <c r="B20" s="26">
        <v>2.35</v>
      </c>
      <c r="C20" s="17">
        <v>4.57</v>
      </c>
      <c r="D20" s="17">
        <v>2.4700000000000002</v>
      </c>
      <c r="E20" s="26">
        <v>9.67</v>
      </c>
      <c r="F20" s="17">
        <v>2.35</v>
      </c>
      <c r="G20" s="17">
        <v>2.2599999999999998</v>
      </c>
      <c r="H20" s="17">
        <f t="shared" si="0"/>
        <v>-3.8297872340425658</v>
      </c>
      <c r="T20" s="19"/>
      <c r="U20" s="19"/>
    </row>
    <row r="21" spans="1:21" x14ac:dyDescent="0.3">
      <c r="A21" s="17">
        <v>10.36</v>
      </c>
      <c r="B21" s="26">
        <v>2.3199999999999998</v>
      </c>
      <c r="C21" s="17">
        <v>4.87</v>
      </c>
      <c r="D21" s="17">
        <v>2.46</v>
      </c>
      <c r="E21" s="26">
        <v>10.36</v>
      </c>
      <c r="F21" s="17">
        <v>2.3199999999999998</v>
      </c>
      <c r="G21" s="17">
        <v>2.2200000000000002</v>
      </c>
      <c r="H21" s="17">
        <f t="shared" si="0"/>
        <v>-4.3103448275861922</v>
      </c>
      <c r="T21" s="19"/>
      <c r="U21" s="19"/>
    </row>
    <row r="22" spans="1:21" x14ac:dyDescent="0.3">
      <c r="A22" s="17">
        <v>11</v>
      </c>
      <c r="B22" s="26">
        <v>2.2999999999999998</v>
      </c>
      <c r="C22" s="17">
        <v>5.16</v>
      </c>
      <c r="D22" s="17">
        <v>2.4500000000000002</v>
      </c>
      <c r="E22" s="26">
        <v>11</v>
      </c>
      <c r="F22" s="17">
        <v>2.2999999999999998</v>
      </c>
      <c r="G22" s="17">
        <v>2.2200000000000002</v>
      </c>
      <c r="H22" s="17">
        <f t="shared" si="0"/>
        <v>-3.4782608695652013</v>
      </c>
      <c r="T22" s="19"/>
      <c r="U22" s="19"/>
    </row>
    <row r="23" spans="1:21" x14ac:dyDescent="0.3">
      <c r="A23" s="17">
        <v>11.63</v>
      </c>
      <c r="B23" s="26">
        <v>2.2799999999999998</v>
      </c>
      <c r="C23" s="17">
        <v>5.46</v>
      </c>
      <c r="D23" s="17">
        <v>2.44</v>
      </c>
      <c r="E23" s="26">
        <v>11.63</v>
      </c>
      <c r="F23" s="17">
        <v>2.2799999999999998</v>
      </c>
      <c r="G23" s="17">
        <v>2.17</v>
      </c>
      <c r="H23" s="17">
        <f t="shared" si="0"/>
        <v>-4.8245614035087669</v>
      </c>
      <c r="T23" s="19"/>
      <c r="U23" s="19"/>
    </row>
    <row r="24" spans="1:21" x14ac:dyDescent="0.3">
      <c r="A24" s="17">
        <v>12.24</v>
      </c>
      <c r="B24" s="26">
        <v>2.2599999999999998</v>
      </c>
      <c r="C24" s="17">
        <v>5.75</v>
      </c>
      <c r="D24" s="17">
        <v>2.42</v>
      </c>
      <c r="E24" s="26">
        <v>12.24</v>
      </c>
      <c r="F24" s="17">
        <v>2.2599999999999998</v>
      </c>
      <c r="G24" s="17">
        <v>2.14</v>
      </c>
      <c r="H24" s="17">
        <f t="shared" si="0"/>
        <v>-5.3097345132743214</v>
      </c>
      <c r="T24" s="19"/>
      <c r="U24" s="19"/>
    </row>
    <row r="25" spans="1:21" x14ac:dyDescent="0.3">
      <c r="A25" s="17">
        <v>12.81</v>
      </c>
      <c r="B25" s="26">
        <v>2.2400000000000002</v>
      </c>
      <c r="C25" s="17">
        <v>6.05</v>
      </c>
      <c r="D25" s="17">
        <v>2.41</v>
      </c>
      <c r="E25" s="26">
        <v>12.81</v>
      </c>
      <c r="F25" s="17">
        <v>2.2400000000000002</v>
      </c>
      <c r="G25" s="17">
        <v>2.11</v>
      </c>
      <c r="H25" s="17">
        <f t="shared" si="0"/>
        <v>-5.803571428571443</v>
      </c>
      <c r="T25" s="19"/>
      <c r="U25" s="19"/>
    </row>
    <row r="26" spans="1:21" x14ac:dyDescent="0.3">
      <c r="A26" s="17">
        <v>13.37</v>
      </c>
      <c r="B26" s="26">
        <v>2.23</v>
      </c>
      <c r="C26" s="17">
        <v>6.34</v>
      </c>
      <c r="D26" s="17">
        <v>2.4</v>
      </c>
      <c r="E26" s="26">
        <v>13.37</v>
      </c>
      <c r="F26" s="17">
        <v>2.23</v>
      </c>
      <c r="G26" s="17">
        <v>2.09</v>
      </c>
      <c r="H26" s="17">
        <f t="shared" si="0"/>
        <v>-6.2780269058296021</v>
      </c>
      <c r="T26" s="19"/>
      <c r="U26" s="19"/>
    </row>
    <row r="27" spans="1:21" x14ac:dyDescent="0.3">
      <c r="A27" s="17">
        <v>14.01</v>
      </c>
      <c r="B27" s="26">
        <v>2.2000000000000002</v>
      </c>
      <c r="C27" s="17">
        <v>6.64</v>
      </c>
      <c r="D27" s="17">
        <v>2.39</v>
      </c>
      <c r="E27" s="26">
        <v>14.01</v>
      </c>
      <c r="F27" s="17">
        <v>2.2000000000000002</v>
      </c>
      <c r="G27" s="17">
        <v>2.06</v>
      </c>
      <c r="H27" s="17">
        <f t="shared" si="0"/>
        <v>-6.3636363636363686</v>
      </c>
      <c r="T27" s="19"/>
      <c r="U27" s="19"/>
    </row>
    <row r="28" spans="1:21" x14ac:dyDescent="0.3">
      <c r="A28" s="17">
        <v>14.7</v>
      </c>
      <c r="B28" s="26">
        <v>2.1800000000000002</v>
      </c>
      <c r="C28" s="17">
        <v>6.93</v>
      </c>
      <c r="D28" s="17">
        <v>2.37</v>
      </c>
      <c r="E28" s="26">
        <v>14.7</v>
      </c>
      <c r="F28" s="17">
        <v>2.1800000000000002</v>
      </c>
      <c r="G28" s="17">
        <v>2.0299999999999998</v>
      </c>
      <c r="H28" s="17">
        <f t="shared" si="0"/>
        <v>-6.8807339449541445</v>
      </c>
      <c r="T28" s="19"/>
      <c r="U28" s="19"/>
    </row>
    <row r="29" spans="1:21" x14ac:dyDescent="0.3">
      <c r="A29" s="17">
        <v>15.32</v>
      </c>
      <c r="B29" s="26">
        <v>2.16</v>
      </c>
      <c r="C29" s="17">
        <v>7.23</v>
      </c>
      <c r="D29" s="17">
        <v>2.36</v>
      </c>
      <c r="E29" s="26">
        <v>15.32</v>
      </c>
      <c r="F29" s="17">
        <v>2.16</v>
      </c>
      <c r="G29" s="17">
        <v>1.99</v>
      </c>
      <c r="H29" s="17">
        <f t="shared" si="0"/>
        <v>-7.8703703703703765</v>
      </c>
      <c r="T29" s="19"/>
      <c r="U29" s="19"/>
    </row>
    <row r="30" spans="1:21" x14ac:dyDescent="0.3">
      <c r="A30" s="17">
        <v>15.96</v>
      </c>
      <c r="B30" s="26">
        <v>2.14</v>
      </c>
      <c r="C30" s="17">
        <v>7.52</v>
      </c>
      <c r="D30" s="17">
        <v>2.35</v>
      </c>
      <c r="E30" s="26">
        <v>15.96</v>
      </c>
      <c r="F30" s="17">
        <v>2.14</v>
      </c>
      <c r="G30" s="17">
        <v>1.97</v>
      </c>
      <c r="H30" s="17">
        <f t="shared" si="0"/>
        <v>-7.9439252336448662</v>
      </c>
      <c r="T30" s="19"/>
      <c r="U30" s="19"/>
    </row>
    <row r="31" spans="1:21" x14ac:dyDescent="0.3">
      <c r="A31" s="17">
        <v>16.579999999999998</v>
      </c>
      <c r="B31" s="26">
        <v>2.12</v>
      </c>
      <c r="C31" s="17">
        <v>7.82</v>
      </c>
      <c r="D31" s="17">
        <v>2.34</v>
      </c>
      <c r="E31" s="26">
        <v>16.579999999999998</v>
      </c>
      <c r="F31" s="17">
        <v>2.12</v>
      </c>
      <c r="G31" s="17">
        <v>1.93</v>
      </c>
      <c r="H31" s="17">
        <f t="shared" si="0"/>
        <v>-8.9622641509434047</v>
      </c>
      <c r="T31" s="19"/>
      <c r="U31" s="19"/>
    </row>
    <row r="32" spans="1:21" x14ac:dyDescent="0.3">
      <c r="A32" s="17">
        <v>17.27</v>
      </c>
      <c r="B32" s="26">
        <v>2.1</v>
      </c>
      <c r="C32" s="17">
        <v>8.11</v>
      </c>
      <c r="D32" s="17">
        <v>2.33</v>
      </c>
      <c r="E32" s="26">
        <v>17.27</v>
      </c>
      <c r="F32" s="17">
        <v>2.1</v>
      </c>
      <c r="G32" s="17">
        <v>1.9</v>
      </c>
      <c r="H32" s="17">
        <f t="shared" si="0"/>
        <v>-9.5238095238095308</v>
      </c>
      <c r="T32" s="19"/>
      <c r="U32" s="19"/>
    </row>
    <row r="33" spans="1:21" x14ac:dyDescent="0.3">
      <c r="A33" s="17">
        <v>17.899999999999999</v>
      </c>
      <c r="B33" s="26">
        <v>2.08</v>
      </c>
      <c r="C33" s="17">
        <v>8.41</v>
      </c>
      <c r="D33" s="17">
        <v>2.31</v>
      </c>
      <c r="E33" s="26">
        <v>17.899999999999999</v>
      </c>
      <c r="F33" s="17">
        <v>2.08</v>
      </c>
      <c r="G33" s="17">
        <v>1.86</v>
      </c>
      <c r="H33" s="17">
        <f t="shared" si="0"/>
        <v>-10.576923076923075</v>
      </c>
      <c r="T33" s="19"/>
      <c r="U33" s="19"/>
    </row>
    <row r="34" spans="1:21" x14ac:dyDescent="0.3">
      <c r="A34" s="17">
        <v>18.53</v>
      </c>
      <c r="B34" s="26">
        <v>2.06</v>
      </c>
      <c r="C34" s="17">
        <v>8.6999999999999993</v>
      </c>
      <c r="D34" s="17">
        <v>2.2999999999999998</v>
      </c>
      <c r="E34" s="26">
        <v>18.53</v>
      </c>
      <c r="F34" s="17">
        <v>2.06</v>
      </c>
      <c r="G34" s="17">
        <v>1.83</v>
      </c>
      <c r="H34" s="17">
        <f t="shared" si="0"/>
        <v>-11.16504854368932</v>
      </c>
      <c r="T34" s="19"/>
      <c r="U34" s="19"/>
    </row>
    <row r="35" spans="1:21" x14ac:dyDescent="0.3">
      <c r="A35" s="17">
        <v>19.149999999999999</v>
      </c>
      <c r="B35" s="26">
        <v>2.04</v>
      </c>
      <c r="C35" s="17">
        <v>9</v>
      </c>
      <c r="D35" s="17">
        <v>2.29</v>
      </c>
      <c r="E35" s="26">
        <v>19.149999999999999</v>
      </c>
      <c r="F35" s="17">
        <v>2.04</v>
      </c>
      <c r="G35" s="17">
        <v>1.79</v>
      </c>
      <c r="H35" s="17">
        <f t="shared" si="0"/>
        <v>-12.254901960784313</v>
      </c>
      <c r="T35" s="19"/>
      <c r="U35" s="19"/>
    </row>
    <row r="36" spans="1:21" x14ac:dyDescent="0.3">
      <c r="A36" s="17">
        <v>19.84</v>
      </c>
      <c r="B36" s="26">
        <v>2.0099999999999998</v>
      </c>
      <c r="C36" s="17">
        <v>9.2899999999999991</v>
      </c>
      <c r="D36" s="17">
        <v>2.27</v>
      </c>
      <c r="E36" s="26">
        <v>19.84</v>
      </c>
      <c r="F36" s="17">
        <v>2.0099999999999998</v>
      </c>
      <c r="G36" s="17">
        <v>1.75</v>
      </c>
      <c r="H36" s="17">
        <f t="shared" si="0"/>
        <v>-12.935323383084569</v>
      </c>
      <c r="T36" s="19"/>
      <c r="U36" s="19"/>
    </row>
    <row r="37" spans="1:21" x14ac:dyDescent="0.3">
      <c r="A37" s="17">
        <v>20.48</v>
      </c>
      <c r="B37" s="26">
        <v>1.99</v>
      </c>
      <c r="C37" s="17">
        <v>9.59</v>
      </c>
      <c r="D37" s="17">
        <v>2.2599999999999998</v>
      </c>
      <c r="E37" s="26">
        <v>20.48</v>
      </c>
      <c r="F37" s="17">
        <v>1.99</v>
      </c>
      <c r="G37" s="17">
        <v>1.71</v>
      </c>
      <c r="H37" s="17">
        <f t="shared" si="0"/>
        <v>-14.070351758793972</v>
      </c>
      <c r="T37" s="19"/>
      <c r="U37" s="19"/>
    </row>
    <row r="38" spans="1:21" x14ac:dyDescent="0.3">
      <c r="A38" s="17">
        <v>21.11</v>
      </c>
      <c r="B38" s="26">
        <v>1.97</v>
      </c>
      <c r="C38" s="17">
        <v>9.8800000000000008</v>
      </c>
      <c r="D38" s="17">
        <v>2.25</v>
      </c>
      <c r="E38" s="26">
        <v>21.11</v>
      </c>
      <c r="F38" s="17">
        <v>1.97</v>
      </c>
      <c r="G38" s="17">
        <v>1.68</v>
      </c>
      <c r="H38" s="17">
        <f t="shared" si="0"/>
        <v>-14.720812182741119</v>
      </c>
      <c r="T38" s="19"/>
      <c r="U38" s="19"/>
    </row>
    <row r="39" spans="1:21" x14ac:dyDescent="0.3">
      <c r="A39" s="17">
        <v>21.73</v>
      </c>
      <c r="B39" s="26">
        <v>1.95</v>
      </c>
      <c r="C39" s="17">
        <v>10.18</v>
      </c>
      <c r="D39" s="17">
        <v>2.2400000000000002</v>
      </c>
      <c r="E39" s="26">
        <v>21.73</v>
      </c>
      <c r="F39" s="17">
        <v>1.95</v>
      </c>
      <c r="G39" s="17">
        <v>1.64</v>
      </c>
      <c r="H39" s="17">
        <f t="shared" si="0"/>
        <v>-15.8974358974359</v>
      </c>
      <c r="T39" s="19"/>
      <c r="U39" s="19"/>
    </row>
    <row r="40" spans="1:21" x14ac:dyDescent="0.3">
      <c r="A40" s="17">
        <v>22.43</v>
      </c>
      <c r="B40" s="26">
        <v>1.93</v>
      </c>
      <c r="C40" s="17">
        <v>10.47</v>
      </c>
      <c r="D40" s="17">
        <v>2.2200000000000002</v>
      </c>
      <c r="E40" s="26">
        <v>22.43</v>
      </c>
      <c r="F40" s="17">
        <v>1.93</v>
      </c>
      <c r="G40" s="17">
        <v>1.59</v>
      </c>
      <c r="H40" s="17">
        <f t="shared" si="0"/>
        <v>-17.616580310880821</v>
      </c>
      <c r="T40" s="19"/>
      <c r="U40" s="19"/>
    </row>
    <row r="41" spans="1:21" x14ac:dyDescent="0.3">
      <c r="A41" s="17">
        <v>23.05</v>
      </c>
      <c r="B41" s="26">
        <v>1.91</v>
      </c>
      <c r="C41" s="17">
        <v>10.77</v>
      </c>
      <c r="D41" s="17">
        <v>2.21</v>
      </c>
      <c r="E41" s="26">
        <v>23.05</v>
      </c>
      <c r="F41" s="17">
        <v>1.91</v>
      </c>
      <c r="G41" s="17">
        <v>1.56</v>
      </c>
      <c r="H41" s="17">
        <f t="shared" si="0"/>
        <v>-18.324607329842927</v>
      </c>
      <c r="T41" s="19"/>
      <c r="U41" s="19"/>
    </row>
    <row r="42" spans="1:21" x14ac:dyDescent="0.3">
      <c r="A42" s="17">
        <v>23.69</v>
      </c>
      <c r="B42" s="26">
        <v>1.89</v>
      </c>
      <c r="C42" s="17">
        <v>11.06</v>
      </c>
      <c r="D42" s="17">
        <v>2.2000000000000002</v>
      </c>
      <c r="E42" s="26">
        <v>23.69</v>
      </c>
      <c r="F42" s="17">
        <v>1.89</v>
      </c>
      <c r="G42" s="17">
        <v>1.53</v>
      </c>
      <c r="H42" s="17">
        <f t="shared" si="0"/>
        <v>-19.04761904761904</v>
      </c>
      <c r="T42" s="19"/>
      <c r="U42" s="19"/>
    </row>
    <row r="43" spans="1:21" x14ac:dyDescent="0.3">
      <c r="A43" s="17">
        <v>24.32</v>
      </c>
      <c r="B43" s="26">
        <v>1.87</v>
      </c>
      <c r="C43" s="17">
        <v>11.36</v>
      </c>
      <c r="D43" s="17">
        <v>2.1800000000000002</v>
      </c>
      <c r="E43" s="26">
        <v>24.32</v>
      </c>
      <c r="F43" s="17">
        <v>1.87</v>
      </c>
      <c r="G43" s="17">
        <v>1.47</v>
      </c>
      <c r="H43" s="17">
        <f t="shared" si="0"/>
        <v>-21.390374331550806</v>
      </c>
      <c r="T43" s="19"/>
      <c r="U43" s="19"/>
    </row>
    <row r="44" spans="1:21" x14ac:dyDescent="0.3">
      <c r="A44" s="17">
        <v>24.61</v>
      </c>
      <c r="B44" s="26">
        <v>1.86</v>
      </c>
      <c r="C44" s="17">
        <v>11.65</v>
      </c>
      <c r="D44" s="17">
        <v>2.17</v>
      </c>
      <c r="E44" s="26">
        <v>24.61</v>
      </c>
      <c r="F44" s="17">
        <v>1.86</v>
      </c>
      <c r="G44" s="17">
        <v>1.45</v>
      </c>
      <c r="H44" s="17">
        <f t="shared" si="0"/>
        <v>-22.043010752688179</v>
      </c>
      <c r="T44" s="19"/>
      <c r="U44" s="19"/>
    </row>
    <row r="45" spans="1:21" x14ac:dyDescent="0.3">
      <c r="A45" s="17">
        <v>25.01</v>
      </c>
      <c r="B45" s="26">
        <v>1.84</v>
      </c>
      <c r="C45" s="17">
        <v>11.95</v>
      </c>
      <c r="D45" s="17">
        <v>2.16</v>
      </c>
      <c r="E45" s="26">
        <v>25.01</v>
      </c>
      <c r="F45" s="17">
        <v>1.84</v>
      </c>
      <c r="G45" s="17">
        <v>1.41</v>
      </c>
      <c r="H45" s="17">
        <f t="shared" si="0"/>
        <v>-23.369565217391312</v>
      </c>
      <c r="T45" s="19"/>
      <c r="U45" s="19"/>
    </row>
    <row r="46" spans="1:21" x14ac:dyDescent="0.3">
      <c r="A46" s="17">
        <v>25.21</v>
      </c>
      <c r="B46" s="26">
        <v>1.83</v>
      </c>
      <c r="C46" s="17">
        <v>12.24</v>
      </c>
      <c r="D46" s="17">
        <v>2.14</v>
      </c>
      <c r="E46" s="26">
        <v>25.21</v>
      </c>
      <c r="F46" s="17">
        <v>1.83</v>
      </c>
      <c r="G46" s="17">
        <v>1.39</v>
      </c>
      <c r="H46" s="17">
        <f t="shared" si="0"/>
        <v>-24.043715846994544</v>
      </c>
      <c r="T46" s="19"/>
      <c r="U46" s="19"/>
    </row>
    <row r="47" spans="1:21" x14ac:dyDescent="0.3">
      <c r="A47" s="17">
        <v>25.6</v>
      </c>
      <c r="B47" s="26">
        <v>1.82</v>
      </c>
      <c r="C47" s="17">
        <v>12.54</v>
      </c>
      <c r="D47" s="17">
        <v>2.13</v>
      </c>
      <c r="E47" s="26">
        <v>25.6</v>
      </c>
      <c r="F47" s="17">
        <v>1.82</v>
      </c>
      <c r="G47" s="17">
        <v>1.36</v>
      </c>
      <c r="H47" s="17">
        <f t="shared" si="0"/>
        <v>-25.274725274725274</v>
      </c>
      <c r="T47" s="19"/>
      <c r="U47" s="19"/>
    </row>
    <row r="48" spans="1:21" x14ac:dyDescent="0.3">
      <c r="A48" s="17">
        <v>25.81</v>
      </c>
      <c r="B48" s="26">
        <v>1.8</v>
      </c>
      <c r="C48" s="17">
        <v>12.83</v>
      </c>
      <c r="D48" s="17">
        <v>2.11</v>
      </c>
      <c r="E48" s="26">
        <v>25.81</v>
      </c>
      <c r="F48" s="17">
        <v>1.8</v>
      </c>
      <c r="G48" s="17">
        <v>1.36</v>
      </c>
      <c r="H48" s="17">
        <f t="shared" si="0"/>
        <v>-24.444444444444439</v>
      </c>
      <c r="T48" s="19"/>
      <c r="U48" s="19"/>
    </row>
    <row r="49" spans="1:21" x14ac:dyDescent="0.3">
      <c r="A49" s="17">
        <v>26.27</v>
      </c>
      <c r="B49" s="26">
        <v>1.8</v>
      </c>
      <c r="C49" s="17">
        <v>13.13</v>
      </c>
      <c r="D49" s="17">
        <v>2.1</v>
      </c>
      <c r="E49" s="26">
        <v>26.27</v>
      </c>
      <c r="F49" s="17">
        <v>1.8</v>
      </c>
      <c r="G49" s="17">
        <v>1.32</v>
      </c>
      <c r="H49" s="17">
        <f t="shared" si="0"/>
        <v>-26.666666666666668</v>
      </c>
      <c r="T49" s="19"/>
      <c r="U49" s="19"/>
    </row>
    <row r="50" spans="1:21" x14ac:dyDescent="0.3">
      <c r="A50" s="17">
        <v>26.42</v>
      </c>
      <c r="B50" s="26">
        <v>1.79</v>
      </c>
      <c r="C50" s="17">
        <v>13.42</v>
      </c>
      <c r="D50" s="17">
        <v>2.09</v>
      </c>
      <c r="E50" s="26">
        <v>26.42</v>
      </c>
      <c r="F50" s="17">
        <v>1.79</v>
      </c>
      <c r="G50" s="17">
        <v>1.32</v>
      </c>
      <c r="H50" s="17">
        <f t="shared" si="0"/>
        <v>-26.256983240223462</v>
      </c>
      <c r="T50" s="19"/>
      <c r="U50" s="19"/>
    </row>
    <row r="51" spans="1:21" x14ac:dyDescent="0.3">
      <c r="A51" s="17">
        <v>26.89</v>
      </c>
      <c r="B51" s="26">
        <v>1.78</v>
      </c>
      <c r="C51" s="17">
        <v>13.72</v>
      </c>
      <c r="D51" s="17">
        <v>2.0699999999999998</v>
      </c>
      <c r="E51" s="26">
        <v>26.89</v>
      </c>
      <c r="F51" s="17">
        <v>1.78</v>
      </c>
      <c r="G51" s="17">
        <v>1.28</v>
      </c>
      <c r="H51" s="17">
        <f t="shared" si="0"/>
        <v>-28.08988764044944</v>
      </c>
      <c r="T51" s="19"/>
      <c r="U51" s="19"/>
    </row>
    <row r="52" spans="1:21" x14ac:dyDescent="0.3">
      <c r="A52" s="17">
        <v>27.52</v>
      </c>
      <c r="B52" s="26">
        <v>1.76</v>
      </c>
      <c r="C52" s="17">
        <v>14.01</v>
      </c>
      <c r="D52" s="17">
        <v>2.06</v>
      </c>
      <c r="E52" s="26">
        <v>27.52</v>
      </c>
      <c r="F52" s="17">
        <v>1.76</v>
      </c>
      <c r="G52" s="17">
        <v>1.22</v>
      </c>
      <c r="H52" s="17">
        <f t="shared" si="0"/>
        <v>-30.681818181818183</v>
      </c>
      <c r="T52" s="19"/>
      <c r="U52" s="19"/>
    </row>
    <row r="53" spans="1:21" x14ac:dyDescent="0.3">
      <c r="A53" s="17">
        <v>28.16</v>
      </c>
      <c r="B53" s="26">
        <v>1.74</v>
      </c>
      <c r="C53" s="17">
        <v>14.31</v>
      </c>
      <c r="D53" s="17">
        <v>2.04</v>
      </c>
      <c r="E53" s="26">
        <v>28.16</v>
      </c>
      <c r="F53" s="17">
        <v>1.74</v>
      </c>
      <c r="G53" s="17">
        <v>1.17</v>
      </c>
      <c r="H53" s="17">
        <f t="shared" si="0"/>
        <v>-32.758620689655174</v>
      </c>
      <c r="T53" s="19"/>
      <c r="U53" s="19"/>
    </row>
    <row r="54" spans="1:21" x14ac:dyDescent="0.3">
      <c r="A54" s="17">
        <v>28.79</v>
      </c>
      <c r="B54" s="26">
        <v>1.72</v>
      </c>
      <c r="C54" s="17">
        <v>14.6</v>
      </c>
      <c r="D54" s="17">
        <v>2.0299999999999998</v>
      </c>
      <c r="E54" s="26">
        <v>28.79</v>
      </c>
      <c r="F54" s="17">
        <v>1.72</v>
      </c>
      <c r="G54" s="17">
        <v>1.1100000000000001</v>
      </c>
      <c r="H54" s="17">
        <f t="shared" si="0"/>
        <v>-35.465116279069761</v>
      </c>
      <c r="T54" s="19"/>
      <c r="U54" s="19"/>
    </row>
    <row r="55" spans="1:21" x14ac:dyDescent="0.3">
      <c r="A55" s="17">
        <v>29.41</v>
      </c>
      <c r="B55" s="26">
        <v>1.69</v>
      </c>
      <c r="C55" s="17">
        <v>14.9</v>
      </c>
      <c r="D55" s="17">
        <v>2.02</v>
      </c>
      <c r="E55" s="26">
        <v>29.41</v>
      </c>
      <c r="F55" s="17">
        <v>1.69</v>
      </c>
      <c r="G55" s="17">
        <v>1.05</v>
      </c>
      <c r="H55" s="17">
        <f t="shared" si="0"/>
        <v>-37.869822485207095</v>
      </c>
      <c r="T55" s="19"/>
      <c r="U55" s="19"/>
    </row>
    <row r="56" spans="1:21" x14ac:dyDescent="0.3">
      <c r="A56" s="17">
        <v>30.11</v>
      </c>
      <c r="B56" s="26">
        <v>1.67</v>
      </c>
      <c r="C56" s="17">
        <v>15.19</v>
      </c>
      <c r="D56" s="17">
        <v>2</v>
      </c>
      <c r="E56" s="26">
        <v>30.11</v>
      </c>
      <c r="F56" s="17">
        <v>1.67</v>
      </c>
      <c r="G56" s="17">
        <v>0.96</v>
      </c>
      <c r="H56" s="17">
        <f t="shared" si="0"/>
        <v>-42.514970059880241</v>
      </c>
      <c r="T56" s="19"/>
      <c r="U56" s="19"/>
    </row>
    <row r="57" spans="1:21" x14ac:dyDescent="0.3">
      <c r="A57" s="17">
        <v>30.73</v>
      </c>
      <c r="B57" s="26">
        <v>1.65</v>
      </c>
      <c r="C57" s="17">
        <v>15.49</v>
      </c>
      <c r="D57" s="17">
        <v>1.99</v>
      </c>
      <c r="E57" s="26">
        <v>30.73</v>
      </c>
      <c r="F57" s="17">
        <v>1.65</v>
      </c>
      <c r="G57" s="17">
        <v>0.88</v>
      </c>
      <c r="H57" s="17">
        <f t="shared" si="0"/>
        <v>-46.666666666666664</v>
      </c>
      <c r="T57" s="19"/>
      <c r="U57" s="19"/>
    </row>
    <row r="58" spans="1:21" x14ac:dyDescent="0.3">
      <c r="A58" s="17">
        <v>31.36</v>
      </c>
      <c r="B58" s="26">
        <v>1.63</v>
      </c>
      <c r="C58" s="17">
        <v>15.78</v>
      </c>
      <c r="D58" s="17">
        <v>1.97</v>
      </c>
      <c r="E58" s="26">
        <v>31.36</v>
      </c>
      <c r="F58" s="17">
        <v>1.63</v>
      </c>
      <c r="G58" s="17">
        <v>0.85</v>
      </c>
      <c r="H58" s="17">
        <f t="shared" si="0"/>
        <v>-47.852760736196316</v>
      </c>
      <c r="T58" s="19"/>
      <c r="U58" s="19"/>
    </row>
    <row r="59" spans="1:21" x14ac:dyDescent="0.3">
      <c r="A59" s="17">
        <v>31.99</v>
      </c>
      <c r="B59" s="26">
        <v>1.61</v>
      </c>
      <c r="C59" s="17">
        <v>16.079999999999998</v>
      </c>
      <c r="D59" s="17">
        <v>1.96</v>
      </c>
      <c r="E59" s="26">
        <v>31.99</v>
      </c>
      <c r="F59" s="17">
        <v>1.61</v>
      </c>
      <c r="G59" s="17">
        <v>0.81</v>
      </c>
      <c r="H59" s="17">
        <f t="shared" si="0"/>
        <v>-49.689440993788821</v>
      </c>
      <c r="T59" s="19"/>
      <c r="U59" s="19"/>
    </row>
    <row r="60" spans="1:21" x14ac:dyDescent="0.3">
      <c r="A60" s="17">
        <v>32.619999999999997</v>
      </c>
      <c r="B60" s="26">
        <v>1.59</v>
      </c>
      <c r="C60" s="17">
        <v>16.37</v>
      </c>
      <c r="D60" s="17">
        <v>1.94</v>
      </c>
      <c r="E60" s="26">
        <v>32.619999999999997</v>
      </c>
      <c r="F60" s="17">
        <v>1.59</v>
      </c>
      <c r="G60" s="17">
        <v>0.6</v>
      </c>
      <c r="H60" s="17">
        <f t="shared" si="0"/>
        <v>-62.264150943396231</v>
      </c>
      <c r="T60" s="19"/>
      <c r="U60" s="19"/>
    </row>
    <row r="61" spans="1:21" x14ac:dyDescent="0.3">
      <c r="A61" s="17">
        <v>33.25</v>
      </c>
      <c r="B61" s="26">
        <v>1.56</v>
      </c>
      <c r="C61" s="17">
        <v>16.66</v>
      </c>
      <c r="D61" s="17">
        <v>1.93</v>
      </c>
      <c r="E61" s="26">
        <v>33.25</v>
      </c>
      <c r="F61" s="17">
        <v>1.56</v>
      </c>
      <c r="G61" s="17">
        <v>0.34</v>
      </c>
      <c r="H61" s="17">
        <f t="shared" si="0"/>
        <v>-78.205128205128204</v>
      </c>
      <c r="T61" s="19"/>
      <c r="U61" s="19"/>
    </row>
    <row r="62" spans="1:21" x14ac:dyDescent="0.3">
      <c r="A62" s="17">
        <v>33.89</v>
      </c>
      <c r="B62" s="26">
        <v>1.54</v>
      </c>
      <c r="C62" s="17">
        <v>16.96</v>
      </c>
      <c r="D62" s="17">
        <v>1.91</v>
      </c>
      <c r="E62" s="26">
        <v>33.89</v>
      </c>
      <c r="F62" s="17">
        <v>1.54</v>
      </c>
      <c r="G62" s="17">
        <v>0.34</v>
      </c>
      <c r="H62" s="17">
        <f t="shared" si="0"/>
        <v>-77.922077922077918</v>
      </c>
      <c r="T62" s="19"/>
      <c r="U62" s="19"/>
    </row>
    <row r="63" spans="1:21" x14ac:dyDescent="0.3">
      <c r="A63" s="17">
        <v>34.520000000000003</v>
      </c>
      <c r="B63" s="26">
        <v>1.52</v>
      </c>
      <c r="C63" s="17">
        <v>17.25</v>
      </c>
      <c r="D63" s="17">
        <v>1.9</v>
      </c>
      <c r="E63" s="26">
        <v>34.520000000000003</v>
      </c>
      <c r="F63" s="17">
        <v>1.52</v>
      </c>
      <c r="G63" s="17">
        <v>0.31</v>
      </c>
      <c r="H63" s="17">
        <f t="shared" si="0"/>
        <v>-79.60526315789474</v>
      </c>
      <c r="T63" s="19"/>
      <c r="U63" s="19"/>
    </row>
    <row r="64" spans="1:21" x14ac:dyDescent="0.3">
      <c r="A64" s="17">
        <v>35.15</v>
      </c>
      <c r="B64" s="26">
        <v>1.5</v>
      </c>
      <c r="C64" s="17">
        <v>17.55</v>
      </c>
      <c r="D64" s="17">
        <v>1.88</v>
      </c>
      <c r="E64" s="26">
        <v>35.15</v>
      </c>
      <c r="F64" s="17">
        <v>1.5</v>
      </c>
      <c r="G64" s="17">
        <v>0.28000000000000003</v>
      </c>
      <c r="H64" s="17">
        <f t="shared" si="0"/>
        <v>-81.333333333333329</v>
      </c>
      <c r="T64" s="19"/>
      <c r="U64" s="19"/>
    </row>
    <row r="65" spans="1:21" x14ac:dyDescent="0.3">
      <c r="A65" s="17">
        <v>35.72</v>
      </c>
      <c r="B65" s="26">
        <v>1.48</v>
      </c>
      <c r="C65" s="17">
        <v>17.84</v>
      </c>
      <c r="D65" s="17">
        <v>1.86</v>
      </c>
      <c r="E65" s="26">
        <v>35.72</v>
      </c>
      <c r="F65" s="17">
        <v>1.48</v>
      </c>
      <c r="G65" s="17">
        <v>0.26</v>
      </c>
      <c r="H65" s="17">
        <f t="shared" si="0"/>
        <v>-82.432432432432435</v>
      </c>
      <c r="T65" s="19"/>
      <c r="U65" s="19"/>
    </row>
    <row r="66" spans="1:21" x14ac:dyDescent="0.3">
      <c r="C66" s="17">
        <v>18.14</v>
      </c>
      <c r="D66" s="17">
        <v>1.85</v>
      </c>
      <c r="T66" s="19"/>
      <c r="U66" s="19"/>
    </row>
    <row r="67" spans="1:21" x14ac:dyDescent="0.3">
      <c r="C67" s="17">
        <v>18.43</v>
      </c>
      <c r="D67" s="17">
        <v>1.83</v>
      </c>
      <c r="T67" s="19"/>
      <c r="U67" s="19"/>
    </row>
    <row r="68" spans="1:21" x14ac:dyDescent="0.3">
      <c r="C68" s="17">
        <v>18.73</v>
      </c>
      <c r="D68" s="17">
        <v>1.82</v>
      </c>
      <c r="T68" s="19"/>
      <c r="U68" s="19"/>
    </row>
    <row r="69" spans="1:21" x14ac:dyDescent="0.3">
      <c r="C69" s="17">
        <v>19.02</v>
      </c>
      <c r="D69" s="17">
        <v>1.8</v>
      </c>
      <c r="T69" s="19"/>
      <c r="U69" s="19"/>
    </row>
    <row r="70" spans="1:21" x14ac:dyDescent="0.3">
      <c r="C70" s="17">
        <v>19.32</v>
      </c>
      <c r="D70" s="17">
        <v>1.78</v>
      </c>
      <c r="T70" s="19"/>
      <c r="U70" s="19"/>
    </row>
    <row r="71" spans="1:21" x14ac:dyDescent="0.3">
      <c r="C71" s="17">
        <v>19.61</v>
      </c>
      <c r="D71" s="17">
        <v>1.77</v>
      </c>
      <c r="T71" s="19"/>
      <c r="U71" s="19"/>
    </row>
    <row r="72" spans="1:21" x14ac:dyDescent="0.3">
      <c r="C72" s="17">
        <v>19.91</v>
      </c>
      <c r="D72" s="17">
        <v>1.75</v>
      </c>
      <c r="T72" s="19"/>
      <c r="U72" s="19"/>
    </row>
    <row r="73" spans="1:21" x14ac:dyDescent="0.3">
      <c r="C73" s="17">
        <v>20.2</v>
      </c>
      <c r="D73" s="17">
        <v>1.73</v>
      </c>
      <c r="T73" s="19"/>
      <c r="U73" s="19"/>
    </row>
    <row r="74" spans="1:21" x14ac:dyDescent="0.3">
      <c r="C74" s="17">
        <v>20.5</v>
      </c>
      <c r="D74" s="17">
        <v>1.71</v>
      </c>
      <c r="T74" s="19"/>
      <c r="U74" s="19"/>
    </row>
    <row r="75" spans="1:21" x14ac:dyDescent="0.3">
      <c r="C75" s="17">
        <v>20.79</v>
      </c>
      <c r="D75" s="17">
        <v>1.7</v>
      </c>
      <c r="T75" s="19"/>
      <c r="U75" s="19"/>
    </row>
    <row r="76" spans="1:21" x14ac:dyDescent="0.3">
      <c r="C76" s="17">
        <v>21.09</v>
      </c>
      <c r="D76" s="17">
        <v>1.68</v>
      </c>
      <c r="T76" s="19"/>
      <c r="U76" s="19"/>
    </row>
    <row r="77" spans="1:21" x14ac:dyDescent="0.3">
      <c r="C77" s="17">
        <v>21.38</v>
      </c>
      <c r="D77" s="17">
        <v>1.66</v>
      </c>
      <c r="T77" s="19"/>
      <c r="U77" s="19"/>
    </row>
    <row r="78" spans="1:21" x14ac:dyDescent="0.3">
      <c r="C78" s="17">
        <v>21.68</v>
      </c>
      <c r="D78" s="17">
        <v>1.64</v>
      </c>
      <c r="T78" s="19"/>
      <c r="U78" s="19"/>
    </row>
    <row r="79" spans="1:21" x14ac:dyDescent="0.3">
      <c r="C79" s="17">
        <v>21.97</v>
      </c>
      <c r="D79" s="17">
        <v>1.63</v>
      </c>
      <c r="T79" s="19"/>
      <c r="U79" s="19"/>
    </row>
    <row r="80" spans="1:21" x14ac:dyDescent="0.3">
      <c r="C80" s="17">
        <v>22.27</v>
      </c>
      <c r="D80" s="17">
        <v>1.61</v>
      </c>
      <c r="T80" s="19"/>
      <c r="U80" s="19"/>
    </row>
    <row r="81" spans="3:21" x14ac:dyDescent="0.3">
      <c r="C81" s="17">
        <v>22.56</v>
      </c>
      <c r="D81" s="17">
        <v>1.59</v>
      </c>
      <c r="T81" s="19"/>
      <c r="U81" s="19"/>
    </row>
    <row r="82" spans="3:21" x14ac:dyDescent="0.3">
      <c r="C82" s="17">
        <v>22.86</v>
      </c>
      <c r="D82" s="17">
        <v>1.57</v>
      </c>
      <c r="T82" s="19"/>
      <c r="U82" s="19"/>
    </row>
    <row r="83" spans="3:21" x14ac:dyDescent="0.3">
      <c r="C83" s="17">
        <v>23.15</v>
      </c>
      <c r="D83" s="17">
        <v>1.55</v>
      </c>
      <c r="T83" s="19"/>
      <c r="U83" s="19"/>
    </row>
    <row r="84" spans="3:21" x14ac:dyDescent="0.3">
      <c r="C84" s="17">
        <v>23.45</v>
      </c>
      <c r="D84" s="17">
        <v>1.53</v>
      </c>
      <c r="T84" s="19"/>
      <c r="U84" s="19"/>
    </row>
    <row r="85" spans="3:21" x14ac:dyDescent="0.3">
      <c r="C85" s="17">
        <v>23.74</v>
      </c>
      <c r="D85" s="17">
        <v>1.51</v>
      </c>
      <c r="T85" s="19"/>
      <c r="U85" s="19"/>
    </row>
    <row r="86" spans="3:21" x14ac:dyDescent="0.3">
      <c r="C86" s="17">
        <v>24.04</v>
      </c>
      <c r="D86" s="17">
        <v>1.49</v>
      </c>
      <c r="T86" s="19"/>
      <c r="U86" s="19"/>
    </row>
    <row r="87" spans="3:21" x14ac:dyDescent="0.3">
      <c r="C87" s="17">
        <v>24.33</v>
      </c>
      <c r="D87" s="17">
        <v>1.47</v>
      </c>
      <c r="T87" s="19"/>
      <c r="U87" s="19"/>
    </row>
    <row r="88" spans="3:21" x14ac:dyDescent="0.3">
      <c r="C88" s="17">
        <v>24.63</v>
      </c>
      <c r="D88" s="17">
        <v>1.45</v>
      </c>
      <c r="T88" s="19"/>
      <c r="U88" s="19"/>
    </row>
    <row r="89" spans="3:21" x14ac:dyDescent="0.3">
      <c r="C89" s="17">
        <v>24.92</v>
      </c>
      <c r="D89" s="17">
        <v>1.43</v>
      </c>
      <c r="T89" s="19"/>
      <c r="U89" s="19"/>
    </row>
    <row r="90" spans="3:21" x14ac:dyDescent="0.3">
      <c r="C90" s="17">
        <v>25.22</v>
      </c>
      <c r="D90" s="17">
        <v>1.41</v>
      </c>
      <c r="T90" s="19"/>
      <c r="U90" s="19"/>
    </row>
    <row r="91" spans="3:21" x14ac:dyDescent="0.3">
      <c r="C91" s="17">
        <v>25.51</v>
      </c>
      <c r="D91" s="17">
        <v>1.39</v>
      </c>
      <c r="T91" s="19"/>
      <c r="U91" s="19"/>
    </row>
    <row r="92" spans="3:21" x14ac:dyDescent="0.3">
      <c r="C92" s="17">
        <v>25.8</v>
      </c>
      <c r="D92" s="17">
        <v>1.36</v>
      </c>
      <c r="T92" s="19"/>
      <c r="U92" s="19"/>
    </row>
    <row r="93" spans="3:21" x14ac:dyDescent="0.3">
      <c r="C93" s="17">
        <v>26.1</v>
      </c>
      <c r="D93" s="17">
        <v>1.34</v>
      </c>
      <c r="T93" s="19"/>
      <c r="U93" s="19"/>
    </row>
    <row r="94" spans="3:21" x14ac:dyDescent="0.3">
      <c r="C94" s="17">
        <v>26.39</v>
      </c>
      <c r="D94" s="17">
        <v>1.32</v>
      </c>
      <c r="T94" s="19"/>
      <c r="U94" s="19"/>
    </row>
    <row r="95" spans="3:21" x14ac:dyDescent="0.3">
      <c r="C95" s="17">
        <v>26.69</v>
      </c>
      <c r="D95" s="17">
        <v>1.3</v>
      </c>
      <c r="T95" s="19"/>
      <c r="U95" s="19"/>
    </row>
    <row r="96" spans="3:21" x14ac:dyDescent="0.3">
      <c r="C96" s="17">
        <v>26.98</v>
      </c>
      <c r="D96" s="17">
        <v>1.27</v>
      </c>
      <c r="T96" s="19"/>
      <c r="U96" s="19"/>
    </row>
    <row r="97" spans="3:21" x14ac:dyDescent="0.3">
      <c r="C97" s="17">
        <v>27.28</v>
      </c>
      <c r="D97" s="17">
        <v>1.25</v>
      </c>
      <c r="T97" s="19"/>
      <c r="U97" s="19"/>
    </row>
    <row r="98" spans="3:21" x14ac:dyDescent="0.3">
      <c r="C98" s="17">
        <v>27.57</v>
      </c>
      <c r="D98" s="17">
        <v>1.22</v>
      </c>
      <c r="T98" s="19"/>
      <c r="U98" s="19"/>
    </row>
    <row r="99" spans="3:21" x14ac:dyDescent="0.3">
      <c r="C99" s="17">
        <v>27.87</v>
      </c>
      <c r="D99" s="17">
        <v>1.2</v>
      </c>
      <c r="T99" s="19"/>
      <c r="U99" s="19"/>
    </row>
    <row r="100" spans="3:21" x14ac:dyDescent="0.3">
      <c r="C100" s="17">
        <v>28.16</v>
      </c>
      <c r="D100" s="17">
        <v>1.17</v>
      </c>
      <c r="T100" s="19"/>
      <c r="U100" s="19"/>
    </row>
    <row r="101" spans="3:21" x14ac:dyDescent="0.3">
      <c r="C101" s="17">
        <v>28.46</v>
      </c>
      <c r="D101" s="17">
        <v>1.1399999999999999</v>
      </c>
      <c r="T101" s="19"/>
      <c r="U101" s="19"/>
    </row>
    <row r="102" spans="3:21" x14ac:dyDescent="0.3">
      <c r="C102" s="17">
        <v>28.75</v>
      </c>
      <c r="D102" s="17">
        <v>1.1100000000000001</v>
      </c>
      <c r="T102" s="19"/>
      <c r="U102" s="19"/>
    </row>
    <row r="103" spans="3:21" x14ac:dyDescent="0.3">
      <c r="C103" s="17">
        <v>29.05</v>
      </c>
      <c r="D103" s="17">
        <v>1.08</v>
      </c>
      <c r="T103" s="19"/>
      <c r="U103" s="19"/>
    </row>
    <row r="104" spans="3:21" x14ac:dyDescent="0.3">
      <c r="C104" s="17">
        <v>29.34</v>
      </c>
      <c r="D104" s="17">
        <v>1.05</v>
      </c>
      <c r="T104" s="19"/>
      <c r="U104" s="19"/>
    </row>
    <row r="105" spans="3:21" x14ac:dyDescent="0.3">
      <c r="C105" s="17">
        <v>29.64</v>
      </c>
      <c r="D105" s="17">
        <v>1.02</v>
      </c>
      <c r="T105" s="19"/>
      <c r="U105" s="19"/>
    </row>
    <row r="106" spans="3:21" x14ac:dyDescent="0.3">
      <c r="C106" s="17">
        <v>29.93</v>
      </c>
      <c r="D106" s="17">
        <v>0.99</v>
      </c>
      <c r="T106" s="19"/>
      <c r="U106" s="19"/>
    </row>
    <row r="107" spans="3:21" x14ac:dyDescent="0.3">
      <c r="C107" s="17">
        <v>30.23</v>
      </c>
      <c r="D107" s="17">
        <v>0.96</v>
      </c>
      <c r="T107" s="19"/>
      <c r="U107" s="19"/>
    </row>
    <row r="108" spans="3:21" x14ac:dyDescent="0.3">
      <c r="C108" s="17">
        <v>30.52</v>
      </c>
      <c r="D108" s="17">
        <v>0.92</v>
      </c>
      <c r="T108" s="19"/>
      <c r="U108" s="19"/>
    </row>
    <row r="109" spans="3:21" x14ac:dyDescent="0.3">
      <c r="C109" s="17">
        <v>30.81</v>
      </c>
      <c r="D109" s="17">
        <v>0.88</v>
      </c>
      <c r="T109" s="19"/>
      <c r="U109" s="19"/>
    </row>
    <row r="110" spans="3:21" x14ac:dyDescent="0.3">
      <c r="C110" s="17">
        <v>31.11</v>
      </c>
      <c r="D110" s="17">
        <v>0.84</v>
      </c>
      <c r="T110" s="19"/>
      <c r="U110" s="19"/>
    </row>
    <row r="111" spans="3:21" x14ac:dyDescent="0.3">
      <c r="C111" s="17">
        <v>31.39</v>
      </c>
      <c r="D111" s="17">
        <v>0.81</v>
      </c>
      <c r="T111" s="19"/>
      <c r="U111" s="19"/>
    </row>
    <row r="112" spans="3:21" x14ac:dyDescent="0.3">
      <c r="C112" s="17">
        <v>31.66</v>
      </c>
      <c r="D112" s="17">
        <v>0.77</v>
      </c>
      <c r="T112" s="19"/>
      <c r="U112" s="19"/>
    </row>
    <row r="113" spans="3:21" x14ac:dyDescent="0.3">
      <c r="C113" s="17">
        <v>31.93</v>
      </c>
      <c r="D113" s="17">
        <v>0.73</v>
      </c>
      <c r="T113" s="19"/>
      <c r="U113" s="19"/>
    </row>
    <row r="114" spans="3:21" x14ac:dyDescent="0.3">
      <c r="C114" s="17">
        <v>32.18</v>
      </c>
      <c r="D114" s="17">
        <v>0.69</v>
      </c>
      <c r="T114" s="19"/>
      <c r="U114" s="19"/>
    </row>
    <row r="115" spans="3:21" x14ac:dyDescent="0.3">
      <c r="C115" s="17">
        <v>32.369999999999997</v>
      </c>
      <c r="D115" s="17">
        <v>0.65</v>
      </c>
      <c r="T115" s="19"/>
      <c r="U115" s="19"/>
    </row>
    <row r="116" spans="3:21" x14ac:dyDescent="0.3">
      <c r="C116" s="17">
        <v>32.51</v>
      </c>
      <c r="D116" s="17">
        <v>0.6</v>
      </c>
      <c r="T116" s="19"/>
      <c r="U116" s="19"/>
    </row>
    <row r="117" spans="3:21" x14ac:dyDescent="0.3">
      <c r="C117" s="17">
        <v>32.659999999999997</v>
      </c>
      <c r="D117" s="17">
        <v>0.56000000000000005</v>
      </c>
      <c r="T117" s="19"/>
      <c r="U117" s="19"/>
    </row>
    <row r="118" spans="3:21" x14ac:dyDescent="0.3">
      <c r="C118" s="17">
        <v>32.79</v>
      </c>
      <c r="D118" s="17">
        <v>0.52</v>
      </c>
      <c r="T118" s="19"/>
      <c r="U118" s="19"/>
    </row>
    <row r="119" spans="3:21" x14ac:dyDescent="0.3">
      <c r="C119" s="17">
        <v>32.9</v>
      </c>
      <c r="D119" s="17">
        <v>0.48</v>
      </c>
      <c r="T119" s="19"/>
      <c r="U119" s="19"/>
    </row>
    <row r="120" spans="3:21" x14ac:dyDescent="0.3">
      <c r="C120" s="17">
        <v>32.979999999999997</v>
      </c>
      <c r="D120" s="17">
        <v>0.44</v>
      </c>
      <c r="T120" s="19"/>
      <c r="U120" s="19"/>
    </row>
    <row r="121" spans="3:21" x14ac:dyDescent="0.3">
      <c r="C121" s="17">
        <v>33.15</v>
      </c>
      <c r="D121" s="17">
        <v>0.36</v>
      </c>
      <c r="T121" s="19"/>
      <c r="U121" s="19"/>
    </row>
    <row r="122" spans="3:21" x14ac:dyDescent="0.3">
      <c r="C122" s="17">
        <v>33.44</v>
      </c>
      <c r="D122" s="17">
        <v>0.34</v>
      </c>
      <c r="T122" s="19"/>
      <c r="U122" s="19"/>
    </row>
    <row r="123" spans="3:21" x14ac:dyDescent="0.3">
      <c r="C123" s="17">
        <v>33.729999999999997</v>
      </c>
      <c r="D123" s="17">
        <v>0.34</v>
      </c>
      <c r="T123" s="19"/>
      <c r="U123" s="19"/>
    </row>
    <row r="124" spans="3:21" x14ac:dyDescent="0.3">
      <c r="C124" s="17">
        <v>34.03</v>
      </c>
      <c r="D124" s="17">
        <v>0.32</v>
      </c>
      <c r="T124" s="19"/>
      <c r="U124" s="19"/>
    </row>
    <row r="125" spans="3:21" x14ac:dyDescent="0.3">
      <c r="C125" s="17">
        <v>34.32</v>
      </c>
      <c r="D125" s="17">
        <v>0.31</v>
      </c>
      <c r="T125" s="19"/>
      <c r="U125" s="19"/>
    </row>
    <row r="126" spans="3:21" x14ac:dyDescent="0.3">
      <c r="C126" s="17">
        <v>34.549999999999997</v>
      </c>
      <c r="D126" s="17">
        <v>0.31</v>
      </c>
      <c r="T126" s="19"/>
      <c r="U126" s="19"/>
    </row>
    <row r="127" spans="3:21" x14ac:dyDescent="0.3">
      <c r="C127" s="17">
        <v>34.61</v>
      </c>
      <c r="D127" s="17">
        <v>0.3</v>
      </c>
      <c r="T127" s="19"/>
      <c r="U127" s="19"/>
    </row>
    <row r="128" spans="3:21" x14ac:dyDescent="0.3">
      <c r="C128" s="17">
        <v>34.840000000000003</v>
      </c>
      <c r="D128" s="17">
        <v>0.28999999999999998</v>
      </c>
      <c r="T128" s="19"/>
      <c r="U128" s="19"/>
    </row>
    <row r="129" spans="3:21" x14ac:dyDescent="0.3">
      <c r="C129" s="17">
        <v>34.909999999999997</v>
      </c>
      <c r="D129" s="17">
        <v>0.28000000000000003</v>
      </c>
      <c r="T129" s="19"/>
      <c r="U129" s="19"/>
    </row>
    <row r="130" spans="3:21" x14ac:dyDescent="0.3">
      <c r="C130" s="17">
        <v>35.14</v>
      </c>
      <c r="D130" s="17">
        <v>0.28000000000000003</v>
      </c>
      <c r="T130" s="19"/>
      <c r="U130" s="19"/>
    </row>
    <row r="131" spans="3:21" x14ac:dyDescent="0.3">
      <c r="C131" s="17">
        <v>35.200000000000003</v>
      </c>
      <c r="D131" s="17">
        <v>0.27</v>
      </c>
      <c r="T131" s="19"/>
      <c r="U131" s="19"/>
    </row>
    <row r="132" spans="3:21" x14ac:dyDescent="0.3">
      <c r="C132" s="17">
        <v>35.43</v>
      </c>
      <c r="D132" s="17">
        <v>0.27</v>
      </c>
      <c r="T132" s="19"/>
      <c r="U132" s="19"/>
    </row>
    <row r="133" spans="3:21" x14ac:dyDescent="0.3">
      <c r="C133" s="17">
        <v>35.5</v>
      </c>
      <c r="D133" s="17">
        <v>0.27</v>
      </c>
      <c r="T133" s="19"/>
      <c r="U133" s="19"/>
    </row>
    <row r="134" spans="3:21" x14ac:dyDescent="0.3">
      <c r="C134" s="17">
        <v>35.68</v>
      </c>
      <c r="D134" s="17">
        <v>0.26</v>
      </c>
      <c r="T134" s="19"/>
      <c r="U134" s="19"/>
    </row>
    <row r="135" spans="3:21" x14ac:dyDescent="0.3">
      <c r="C135" s="17">
        <v>35.770000000000003</v>
      </c>
      <c r="D135" s="17">
        <v>0.26</v>
      </c>
    </row>
  </sheetData>
  <mergeCells count="5">
    <mergeCell ref="A1:X1"/>
    <mergeCell ref="A2:Y2"/>
    <mergeCell ref="A3:B3"/>
    <mergeCell ref="C3:D3"/>
    <mergeCell ref="E3:H3"/>
  </mergeCells>
  <hyperlinks>
    <hyperlink ref="M3" r:id="rId1" xr:uid="{3B439C8B-DED6-41F3-827B-E47EC7A3F95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761A-9C26-4D55-9B0C-8C6F93FE4368}">
  <dimension ref="A1:Y125"/>
  <sheetViews>
    <sheetView topLeftCell="C1" zoomScale="117" zoomScaleNormal="117" workbookViewId="0">
      <selection activeCell="S9" sqref="S9"/>
    </sheetView>
  </sheetViews>
  <sheetFormatPr defaultRowHeight="14.4" x14ac:dyDescent="0.3"/>
  <cols>
    <col min="3" max="3" width="11.88671875" customWidth="1"/>
    <col min="9" max="9" width="8.88671875" customWidth="1"/>
    <col min="12" max="12" width="12.44140625" customWidth="1"/>
    <col min="14" max="14" width="9" customWidth="1"/>
    <col min="15" max="15" width="6.21875" bestFit="1" customWidth="1"/>
    <col min="16" max="16" width="7.44140625" customWidth="1"/>
    <col min="19" max="20" width="10.6640625" customWidth="1"/>
    <col min="22" max="22" width="1.77734375" customWidth="1"/>
    <col min="23" max="23" width="15.77734375" customWidth="1"/>
    <col min="24" max="24" width="11.109375" customWidth="1"/>
  </cols>
  <sheetData>
    <row r="1" spans="1:25" ht="31.2" x14ac:dyDescent="0.6">
      <c r="A1" s="34" t="s">
        <v>43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5" ht="32.4" customHeight="1" x14ac:dyDescent="0.45">
      <c r="A2" s="36" t="s">
        <v>42</v>
      </c>
      <c r="B2" s="37"/>
      <c r="C2" s="37"/>
      <c r="D2" s="37"/>
      <c r="E2" s="37"/>
      <c r="F2" s="37"/>
      <c r="G2" s="37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31.8" customHeight="1" x14ac:dyDescent="0.3">
      <c r="A3" s="45" t="s">
        <v>44</v>
      </c>
      <c r="B3" s="45"/>
      <c r="C3" s="46" t="s">
        <v>45</v>
      </c>
      <c r="D3" s="46"/>
      <c r="E3" s="20" t="s">
        <v>2</v>
      </c>
      <c r="F3" s="20" t="s">
        <v>37</v>
      </c>
      <c r="G3" s="20" t="s">
        <v>38</v>
      </c>
      <c r="H3" s="20" t="s">
        <v>40</v>
      </c>
      <c r="I3" s="28"/>
      <c r="J3" s="47" t="s">
        <v>41</v>
      </c>
      <c r="K3" s="48"/>
      <c r="L3" s="48"/>
      <c r="M3" s="48"/>
      <c r="N3" s="48"/>
      <c r="O3" s="48"/>
      <c r="P3" s="48"/>
      <c r="Q3" s="48"/>
      <c r="R3" s="48"/>
      <c r="S3" s="48"/>
      <c r="T3" s="31" t="s">
        <v>59</v>
      </c>
    </row>
    <row r="4" spans="1:25" x14ac:dyDescent="0.3">
      <c r="A4" s="11">
        <v>0.32</v>
      </c>
      <c r="B4" s="11">
        <v>2.65</v>
      </c>
      <c r="C4" s="11">
        <v>0.06</v>
      </c>
      <c r="D4" s="11">
        <v>2.65</v>
      </c>
      <c r="E4" s="11">
        <v>0.32</v>
      </c>
      <c r="F4" s="11">
        <v>2.65</v>
      </c>
      <c r="G4" s="11">
        <v>2.65</v>
      </c>
      <c r="H4" s="11">
        <f>((G4-F4)/F4)*100</f>
        <v>0</v>
      </c>
      <c r="O4" s="19"/>
      <c r="P4" s="19"/>
    </row>
    <row r="5" spans="1:25" x14ac:dyDescent="0.3">
      <c r="A5" s="11">
        <v>0.95</v>
      </c>
      <c r="B5" s="11">
        <v>2.63</v>
      </c>
      <c r="C5" s="11">
        <v>0.36</v>
      </c>
      <c r="D5" s="11">
        <v>2.65</v>
      </c>
      <c r="E5" s="11">
        <v>0.95</v>
      </c>
      <c r="F5" s="11">
        <v>2.63</v>
      </c>
      <c r="G5" s="11">
        <v>2.63</v>
      </c>
      <c r="H5" s="11">
        <f t="shared" ref="H5:H64" si="0">((G5-F5)/F5)*100</f>
        <v>0</v>
      </c>
      <c r="O5" s="19"/>
      <c r="P5" s="19"/>
    </row>
    <row r="6" spans="1:25" x14ac:dyDescent="0.3">
      <c r="A6" s="11">
        <v>1.48</v>
      </c>
      <c r="B6" s="11">
        <v>2.61</v>
      </c>
      <c r="C6" s="11">
        <v>0.66</v>
      </c>
      <c r="D6" s="11">
        <v>2.64</v>
      </c>
      <c r="E6" s="11">
        <v>1.48</v>
      </c>
      <c r="F6" s="11">
        <v>2.61</v>
      </c>
      <c r="G6" s="11">
        <v>2.62</v>
      </c>
      <c r="H6" s="11">
        <f t="shared" si="0"/>
        <v>0.38314176245211617</v>
      </c>
      <c r="O6" s="19"/>
      <c r="P6" s="19"/>
    </row>
    <row r="7" spans="1:25" x14ac:dyDescent="0.3">
      <c r="A7" s="11">
        <v>2.08</v>
      </c>
      <c r="B7" s="11">
        <v>2.59</v>
      </c>
      <c r="C7" s="11">
        <v>0.95</v>
      </c>
      <c r="D7" s="11">
        <v>2.63</v>
      </c>
      <c r="E7" s="11">
        <v>2.08</v>
      </c>
      <c r="F7" s="11">
        <v>2.59</v>
      </c>
      <c r="G7" s="11">
        <v>2.61</v>
      </c>
      <c r="H7" s="11">
        <f t="shared" si="0"/>
        <v>0.77220077220077288</v>
      </c>
      <c r="O7" s="19"/>
      <c r="P7" s="19"/>
    </row>
    <row r="8" spans="1:25" x14ac:dyDescent="0.3">
      <c r="A8" s="11">
        <v>2.72</v>
      </c>
      <c r="B8" s="11">
        <v>2.57</v>
      </c>
      <c r="C8" s="11">
        <v>1.25</v>
      </c>
      <c r="D8" s="11">
        <v>2.63</v>
      </c>
      <c r="E8" s="11">
        <v>2.72</v>
      </c>
      <c r="F8" s="11">
        <v>2.57</v>
      </c>
      <c r="G8" s="11">
        <v>2.59</v>
      </c>
      <c r="H8" s="11">
        <f t="shared" si="0"/>
        <v>0.77821011673151819</v>
      </c>
      <c r="O8" s="19"/>
      <c r="P8" s="19"/>
    </row>
    <row r="9" spans="1:25" x14ac:dyDescent="0.3">
      <c r="A9" s="11">
        <v>3.39</v>
      </c>
      <c r="B9" s="11">
        <v>2.5499999999999998</v>
      </c>
      <c r="C9" s="11">
        <v>1.55</v>
      </c>
      <c r="D9" s="11">
        <v>2.62</v>
      </c>
      <c r="E9" s="11">
        <v>3.39</v>
      </c>
      <c r="F9" s="11">
        <v>2.5499999999999998</v>
      </c>
      <c r="G9" s="11">
        <v>2.58</v>
      </c>
      <c r="H9" s="11">
        <f t="shared" si="0"/>
        <v>1.1764705882353039</v>
      </c>
      <c r="O9" s="19"/>
      <c r="P9" s="19"/>
    </row>
    <row r="10" spans="1:25" x14ac:dyDescent="0.3">
      <c r="A10" s="11">
        <v>4.03</v>
      </c>
      <c r="B10" s="11">
        <v>2.5299999999999998</v>
      </c>
      <c r="C10" s="11">
        <v>1.84</v>
      </c>
      <c r="D10" s="11">
        <v>2.61</v>
      </c>
      <c r="E10" s="11">
        <v>4.03</v>
      </c>
      <c r="F10" s="11">
        <v>2.5299999999999998</v>
      </c>
      <c r="G10" s="11">
        <v>2.56</v>
      </c>
      <c r="H10" s="11">
        <f t="shared" si="0"/>
        <v>1.1857707509881523</v>
      </c>
      <c r="O10" s="19"/>
      <c r="P10" s="19"/>
    </row>
    <row r="11" spans="1:25" x14ac:dyDescent="0.3">
      <c r="A11" s="11">
        <v>4.71</v>
      </c>
      <c r="B11" s="11">
        <v>2.5099999999999998</v>
      </c>
      <c r="C11" s="11">
        <v>2.14</v>
      </c>
      <c r="D11" s="11">
        <v>2.61</v>
      </c>
      <c r="E11" s="11">
        <v>4.71</v>
      </c>
      <c r="F11" s="11">
        <v>2.5099999999999998</v>
      </c>
      <c r="G11" s="11">
        <v>2.54</v>
      </c>
      <c r="H11" s="11">
        <f t="shared" si="0"/>
        <v>1.1952191235059861</v>
      </c>
      <c r="O11" s="19"/>
      <c r="P11" s="19"/>
    </row>
    <row r="12" spans="1:25" x14ac:dyDescent="0.3">
      <c r="A12" s="11">
        <v>5.35</v>
      </c>
      <c r="B12" s="11">
        <v>2.4900000000000002</v>
      </c>
      <c r="C12" s="11">
        <v>2.4300000000000002</v>
      </c>
      <c r="D12" s="11">
        <v>2.6</v>
      </c>
      <c r="E12" s="11">
        <v>5.35</v>
      </c>
      <c r="F12" s="11">
        <v>2.4900000000000002</v>
      </c>
      <c r="G12" s="11">
        <v>2.5299999999999998</v>
      </c>
      <c r="H12" s="11">
        <f t="shared" si="0"/>
        <v>1.6064257028112285</v>
      </c>
      <c r="O12" s="19"/>
      <c r="P12" s="19"/>
    </row>
    <row r="13" spans="1:25" x14ac:dyDescent="0.3">
      <c r="A13" s="11">
        <v>6.04</v>
      </c>
      <c r="B13" s="11">
        <v>2.46</v>
      </c>
      <c r="C13" s="11">
        <v>2.73</v>
      </c>
      <c r="D13" s="11">
        <v>2.59</v>
      </c>
      <c r="E13" s="11">
        <v>6.04</v>
      </c>
      <c r="F13" s="11">
        <v>2.46</v>
      </c>
      <c r="G13" s="11">
        <v>2.5099999999999998</v>
      </c>
      <c r="H13" s="11">
        <f t="shared" si="0"/>
        <v>2.0325203252032447</v>
      </c>
      <c r="O13" s="19"/>
      <c r="P13" s="19"/>
    </row>
    <row r="14" spans="1:25" x14ac:dyDescent="0.3">
      <c r="A14" s="11">
        <v>6.66</v>
      </c>
      <c r="B14" s="11">
        <v>2.44</v>
      </c>
      <c r="C14" s="11">
        <v>3.03</v>
      </c>
      <c r="D14" s="11">
        <v>2.58</v>
      </c>
      <c r="E14" s="11">
        <v>6.66</v>
      </c>
      <c r="F14" s="11">
        <v>2.44</v>
      </c>
      <c r="G14" s="11">
        <v>2.5</v>
      </c>
      <c r="H14" s="11">
        <f t="shared" si="0"/>
        <v>2.4590163934426252</v>
      </c>
      <c r="O14" s="19"/>
      <c r="P14" s="19"/>
    </row>
    <row r="15" spans="1:25" x14ac:dyDescent="0.3">
      <c r="A15" s="11">
        <v>7.29</v>
      </c>
      <c r="B15" s="11">
        <v>2.42</v>
      </c>
      <c r="C15" s="11">
        <v>3.32</v>
      </c>
      <c r="D15" s="11">
        <v>2.58</v>
      </c>
      <c r="E15" s="11">
        <v>7.29</v>
      </c>
      <c r="F15" s="11">
        <v>2.42</v>
      </c>
      <c r="G15" s="11">
        <v>2.48</v>
      </c>
      <c r="H15" s="11">
        <f t="shared" si="0"/>
        <v>2.4793388429752086</v>
      </c>
      <c r="O15" s="19"/>
      <c r="P15" s="19"/>
    </row>
    <row r="16" spans="1:25" x14ac:dyDescent="0.3">
      <c r="A16" s="11">
        <v>7.91</v>
      </c>
      <c r="B16" s="11">
        <v>2.4</v>
      </c>
      <c r="C16" s="11">
        <v>3.62</v>
      </c>
      <c r="D16" s="11">
        <v>2.57</v>
      </c>
      <c r="E16" s="11">
        <v>7.91</v>
      </c>
      <c r="F16" s="11">
        <v>2.4</v>
      </c>
      <c r="G16" s="11">
        <v>2.4700000000000002</v>
      </c>
      <c r="H16" s="11">
        <f t="shared" si="0"/>
        <v>2.9166666666666785</v>
      </c>
      <c r="O16" s="19"/>
      <c r="P16" s="19"/>
    </row>
    <row r="17" spans="1:16" x14ac:dyDescent="0.3">
      <c r="A17" s="11">
        <v>8.4499999999999993</v>
      </c>
      <c r="B17" s="11">
        <v>2.39</v>
      </c>
      <c r="C17" s="11">
        <v>3.91</v>
      </c>
      <c r="D17" s="11">
        <v>2.56</v>
      </c>
      <c r="E17" s="11">
        <v>8.4499999999999993</v>
      </c>
      <c r="F17" s="11">
        <v>2.39</v>
      </c>
      <c r="G17" s="11">
        <v>2.4500000000000002</v>
      </c>
      <c r="H17" s="11">
        <f t="shared" si="0"/>
        <v>2.5104602510460272</v>
      </c>
      <c r="O17" s="19"/>
      <c r="P17" s="19"/>
    </row>
    <row r="18" spans="1:16" x14ac:dyDescent="0.3">
      <c r="A18" s="11">
        <v>9.0500000000000007</v>
      </c>
      <c r="B18" s="11">
        <v>2.37</v>
      </c>
      <c r="C18" s="11">
        <v>4.21</v>
      </c>
      <c r="D18" s="11">
        <v>2.56</v>
      </c>
      <c r="E18" s="11">
        <v>9.0500000000000007</v>
      </c>
      <c r="F18" s="11">
        <v>2.37</v>
      </c>
      <c r="G18" s="11">
        <v>2.44</v>
      </c>
      <c r="H18" s="11">
        <f t="shared" si="0"/>
        <v>2.9535864978902886</v>
      </c>
      <c r="O18" s="19"/>
      <c r="P18" s="19"/>
    </row>
    <row r="19" spans="1:16" x14ac:dyDescent="0.3">
      <c r="A19" s="11">
        <v>9.67</v>
      </c>
      <c r="B19" s="11">
        <v>2.35</v>
      </c>
      <c r="C19" s="11">
        <v>4.51</v>
      </c>
      <c r="D19" s="11">
        <v>2.5499999999999998</v>
      </c>
      <c r="E19" s="11">
        <v>9.67</v>
      </c>
      <c r="F19" s="11">
        <v>2.35</v>
      </c>
      <c r="G19" s="11">
        <v>2.42</v>
      </c>
      <c r="H19" s="11">
        <f t="shared" si="0"/>
        <v>2.9787234042553123</v>
      </c>
      <c r="O19" s="19"/>
      <c r="P19" s="19"/>
    </row>
    <row r="20" spans="1:16" x14ac:dyDescent="0.3">
      <c r="A20" s="11">
        <v>10.36</v>
      </c>
      <c r="B20" s="11">
        <v>2.3199999999999998</v>
      </c>
      <c r="C20" s="11">
        <v>4.8</v>
      </c>
      <c r="D20" s="11">
        <v>2.54</v>
      </c>
      <c r="E20" s="11">
        <v>10.36</v>
      </c>
      <c r="F20" s="11">
        <v>2.3199999999999998</v>
      </c>
      <c r="G20" s="11">
        <v>2.4</v>
      </c>
      <c r="H20" s="11">
        <f t="shared" si="0"/>
        <v>3.4482758620689689</v>
      </c>
      <c r="O20" s="19"/>
      <c r="P20" s="19"/>
    </row>
    <row r="21" spans="1:16" x14ac:dyDescent="0.3">
      <c r="A21" s="11">
        <v>11</v>
      </c>
      <c r="B21" s="11">
        <v>2.2999999999999998</v>
      </c>
      <c r="C21" s="11">
        <v>5.0999999999999996</v>
      </c>
      <c r="D21" s="11">
        <v>2.54</v>
      </c>
      <c r="E21" s="11">
        <v>11</v>
      </c>
      <c r="F21" s="11">
        <v>2.2999999999999998</v>
      </c>
      <c r="G21" s="11">
        <v>2.39</v>
      </c>
      <c r="H21" s="11">
        <f t="shared" si="0"/>
        <v>3.9130434782608829</v>
      </c>
      <c r="O21" s="19"/>
      <c r="P21" s="19"/>
    </row>
    <row r="22" spans="1:16" x14ac:dyDescent="0.3">
      <c r="A22" s="11">
        <v>11.63</v>
      </c>
      <c r="B22" s="11">
        <v>2.2799999999999998</v>
      </c>
      <c r="C22" s="11">
        <v>5.4</v>
      </c>
      <c r="D22" s="11">
        <v>2.5299999999999998</v>
      </c>
      <c r="E22" s="11">
        <v>11.63</v>
      </c>
      <c r="F22" s="11">
        <v>2.2799999999999998</v>
      </c>
      <c r="G22" s="11">
        <v>2.37</v>
      </c>
      <c r="H22" s="11">
        <f t="shared" si="0"/>
        <v>3.9473684210526452</v>
      </c>
      <c r="O22" s="19"/>
      <c r="P22" s="19"/>
    </row>
    <row r="23" spans="1:16" x14ac:dyDescent="0.3">
      <c r="A23" s="11">
        <v>12.24</v>
      </c>
      <c r="B23" s="11">
        <v>2.2599999999999998</v>
      </c>
      <c r="C23" s="11">
        <v>5.69</v>
      </c>
      <c r="D23" s="11">
        <v>2.52</v>
      </c>
      <c r="E23" s="11">
        <v>12.24</v>
      </c>
      <c r="F23" s="11">
        <v>2.2599999999999998</v>
      </c>
      <c r="G23" s="11">
        <v>2.35</v>
      </c>
      <c r="H23" s="11">
        <f t="shared" si="0"/>
        <v>3.982300884955766</v>
      </c>
      <c r="O23" s="19"/>
      <c r="P23" s="19"/>
    </row>
    <row r="24" spans="1:16" x14ac:dyDescent="0.3">
      <c r="A24" s="11">
        <v>12.81</v>
      </c>
      <c r="B24" s="11">
        <v>2.2400000000000002</v>
      </c>
      <c r="C24" s="11">
        <v>5.99</v>
      </c>
      <c r="D24" s="11">
        <v>2.5099999999999998</v>
      </c>
      <c r="E24" s="11">
        <v>12.81</v>
      </c>
      <c r="F24" s="11">
        <v>2.2400000000000002</v>
      </c>
      <c r="G24" s="11">
        <v>2.34</v>
      </c>
      <c r="H24" s="11">
        <f t="shared" si="0"/>
        <v>4.4642857142856975</v>
      </c>
      <c r="O24" s="19"/>
      <c r="P24" s="19"/>
    </row>
    <row r="25" spans="1:16" x14ac:dyDescent="0.3">
      <c r="A25" s="11">
        <v>13.37</v>
      </c>
      <c r="B25" s="11">
        <v>2.23</v>
      </c>
      <c r="C25" s="11">
        <v>6.28</v>
      </c>
      <c r="D25" s="11">
        <v>2.5099999999999998</v>
      </c>
      <c r="E25" s="11">
        <v>13.37</v>
      </c>
      <c r="F25" s="11">
        <v>2.23</v>
      </c>
      <c r="G25" s="11">
        <v>2.3199999999999998</v>
      </c>
      <c r="H25" s="11">
        <f t="shared" si="0"/>
        <v>4.0358744394618773</v>
      </c>
      <c r="O25" s="19"/>
      <c r="P25" s="19"/>
    </row>
    <row r="26" spans="1:16" x14ac:dyDescent="0.3">
      <c r="A26" s="11">
        <v>14.01</v>
      </c>
      <c r="B26" s="11">
        <v>2.2000000000000002</v>
      </c>
      <c r="C26" s="11">
        <v>6.58</v>
      </c>
      <c r="D26" s="11">
        <v>2.5</v>
      </c>
      <c r="E26" s="11">
        <v>14.01</v>
      </c>
      <c r="F26" s="11">
        <v>2.2000000000000002</v>
      </c>
      <c r="G26" s="11">
        <v>2.31</v>
      </c>
      <c r="H26" s="11">
        <f t="shared" si="0"/>
        <v>4.9999999999999938</v>
      </c>
      <c r="O26" s="19"/>
      <c r="P26" s="19"/>
    </row>
    <row r="27" spans="1:16" x14ac:dyDescent="0.3">
      <c r="A27" s="11">
        <v>14.7</v>
      </c>
      <c r="B27" s="11">
        <v>2.1800000000000002</v>
      </c>
      <c r="C27" s="11">
        <v>6.88</v>
      </c>
      <c r="D27" s="11">
        <v>2.4900000000000002</v>
      </c>
      <c r="E27" s="11">
        <v>14.7</v>
      </c>
      <c r="F27" s="11">
        <v>2.1800000000000002</v>
      </c>
      <c r="G27" s="11">
        <v>2.29</v>
      </c>
      <c r="H27" s="11">
        <f t="shared" si="0"/>
        <v>5.0458715596330217</v>
      </c>
      <c r="O27" s="19"/>
      <c r="P27" s="19"/>
    </row>
    <row r="28" spans="1:16" x14ac:dyDescent="0.3">
      <c r="A28" s="11">
        <v>15.32</v>
      </c>
      <c r="B28" s="11">
        <v>2.16</v>
      </c>
      <c r="C28" s="11">
        <v>7.17</v>
      </c>
      <c r="D28" s="11">
        <v>2.48</v>
      </c>
      <c r="E28" s="11">
        <v>15.32</v>
      </c>
      <c r="F28" s="11">
        <v>2.16</v>
      </c>
      <c r="G28" s="11">
        <v>2.2599999999999998</v>
      </c>
      <c r="H28" s="11">
        <f t="shared" si="0"/>
        <v>4.6296296296296129</v>
      </c>
      <c r="O28" s="19"/>
      <c r="P28" s="19"/>
    </row>
    <row r="29" spans="1:16" x14ac:dyDescent="0.3">
      <c r="A29" s="11">
        <v>15.96</v>
      </c>
      <c r="B29" s="11">
        <v>2.14</v>
      </c>
      <c r="C29" s="11">
        <v>7.47</v>
      </c>
      <c r="D29" s="11">
        <v>2.48</v>
      </c>
      <c r="E29" s="11">
        <v>15.96</v>
      </c>
      <c r="F29" s="11">
        <v>2.14</v>
      </c>
      <c r="G29" s="11">
        <v>2.25</v>
      </c>
      <c r="H29" s="11">
        <f t="shared" si="0"/>
        <v>5.1401869158878437</v>
      </c>
      <c r="O29" s="19"/>
      <c r="P29" s="19"/>
    </row>
    <row r="30" spans="1:16" x14ac:dyDescent="0.3">
      <c r="A30" s="11">
        <v>16.579999999999998</v>
      </c>
      <c r="B30" s="11">
        <v>2.12</v>
      </c>
      <c r="C30" s="11">
        <v>7.76</v>
      </c>
      <c r="D30" s="11">
        <v>2.4700000000000002</v>
      </c>
      <c r="E30" s="11">
        <v>16.579999999999998</v>
      </c>
      <c r="F30" s="11">
        <v>2.12</v>
      </c>
      <c r="G30" s="11">
        <v>2.23</v>
      </c>
      <c r="H30" s="11">
        <f t="shared" si="0"/>
        <v>5.1886792452830131</v>
      </c>
      <c r="O30" s="19"/>
      <c r="P30" s="19"/>
    </row>
    <row r="31" spans="1:16" x14ac:dyDescent="0.3">
      <c r="A31" s="11">
        <v>17.27</v>
      </c>
      <c r="B31" s="11">
        <v>2.1</v>
      </c>
      <c r="C31" s="11">
        <v>8.06</v>
      </c>
      <c r="D31" s="11">
        <v>2.46</v>
      </c>
      <c r="E31" s="11">
        <v>17.27</v>
      </c>
      <c r="F31" s="11">
        <v>2.1</v>
      </c>
      <c r="G31" s="11">
        <v>2.21</v>
      </c>
      <c r="H31" s="11">
        <f t="shared" si="0"/>
        <v>5.2380952380952319</v>
      </c>
      <c r="O31" s="19"/>
      <c r="P31" s="19"/>
    </row>
    <row r="32" spans="1:16" x14ac:dyDescent="0.3">
      <c r="A32" s="11">
        <v>17.899999999999999</v>
      </c>
      <c r="B32" s="11">
        <v>2.08</v>
      </c>
      <c r="C32" s="11">
        <v>8.36</v>
      </c>
      <c r="D32" s="11">
        <v>2.4500000000000002</v>
      </c>
      <c r="E32" s="11">
        <v>17.899999999999999</v>
      </c>
      <c r="F32" s="11">
        <v>2.08</v>
      </c>
      <c r="G32" s="11">
        <v>2.19</v>
      </c>
      <c r="H32" s="11">
        <f t="shared" si="0"/>
        <v>5.2884615384615321</v>
      </c>
      <c r="O32" s="19"/>
      <c r="P32" s="19"/>
    </row>
    <row r="33" spans="1:16" x14ac:dyDescent="0.3">
      <c r="A33" s="11">
        <v>18.53</v>
      </c>
      <c r="B33" s="11">
        <v>2.06</v>
      </c>
      <c r="C33" s="11">
        <v>8.65</v>
      </c>
      <c r="D33" s="11">
        <v>2.4500000000000002</v>
      </c>
      <c r="E33" s="11">
        <v>18.53</v>
      </c>
      <c r="F33" s="11">
        <v>2.06</v>
      </c>
      <c r="G33" s="11">
        <v>2.1800000000000002</v>
      </c>
      <c r="H33" s="11">
        <f t="shared" si="0"/>
        <v>5.8252427184466073</v>
      </c>
      <c r="O33" s="19"/>
      <c r="P33" s="19"/>
    </row>
    <row r="34" spans="1:16" x14ac:dyDescent="0.3">
      <c r="A34" s="11">
        <v>19.149999999999999</v>
      </c>
      <c r="B34" s="11">
        <v>2.04</v>
      </c>
      <c r="C34" s="11">
        <v>8.9499999999999993</v>
      </c>
      <c r="D34" s="11">
        <v>2.44</v>
      </c>
      <c r="E34" s="11">
        <v>19.149999999999999</v>
      </c>
      <c r="F34" s="11">
        <v>2.04</v>
      </c>
      <c r="G34" s="11">
        <v>2.15</v>
      </c>
      <c r="H34" s="11">
        <f t="shared" si="0"/>
        <v>5.3921568627450922</v>
      </c>
      <c r="O34" s="19"/>
      <c r="P34" s="19"/>
    </row>
    <row r="35" spans="1:16" x14ac:dyDescent="0.3">
      <c r="A35" s="11">
        <v>19.84</v>
      </c>
      <c r="B35" s="11">
        <v>2.0099999999999998</v>
      </c>
      <c r="C35" s="11">
        <v>9.25</v>
      </c>
      <c r="D35" s="11">
        <v>2.4300000000000002</v>
      </c>
      <c r="E35" s="11">
        <v>19.84</v>
      </c>
      <c r="F35" s="11">
        <v>2.0099999999999998</v>
      </c>
      <c r="G35" s="11">
        <v>2.13</v>
      </c>
      <c r="H35" s="11">
        <f t="shared" si="0"/>
        <v>5.9701492537313499</v>
      </c>
      <c r="O35" s="19"/>
      <c r="P35" s="19"/>
    </row>
    <row r="36" spans="1:16" x14ac:dyDescent="0.3">
      <c r="A36" s="11">
        <v>20.48</v>
      </c>
      <c r="B36" s="11">
        <v>1.99</v>
      </c>
      <c r="C36" s="11">
        <v>9.5399999999999991</v>
      </c>
      <c r="D36" s="11">
        <v>2.42</v>
      </c>
      <c r="E36" s="11">
        <v>20.48</v>
      </c>
      <c r="F36" s="11">
        <v>1.99</v>
      </c>
      <c r="G36" s="11">
        <v>2.11</v>
      </c>
      <c r="H36" s="11">
        <f t="shared" si="0"/>
        <v>6.0301507537688384</v>
      </c>
      <c r="O36" s="19"/>
      <c r="P36" s="19"/>
    </row>
    <row r="37" spans="1:16" x14ac:dyDescent="0.3">
      <c r="A37" s="11">
        <v>21.11</v>
      </c>
      <c r="B37" s="11">
        <v>1.97</v>
      </c>
      <c r="C37" s="11">
        <v>9.84</v>
      </c>
      <c r="D37" s="11">
        <v>2.42</v>
      </c>
      <c r="E37" s="11">
        <v>21.11</v>
      </c>
      <c r="F37" s="11">
        <v>1.97</v>
      </c>
      <c r="G37" s="11">
        <v>2.09</v>
      </c>
      <c r="H37" s="11">
        <f t="shared" si="0"/>
        <v>6.0913705583756288</v>
      </c>
      <c r="O37" s="19"/>
      <c r="P37" s="19"/>
    </row>
    <row r="38" spans="1:16" x14ac:dyDescent="0.3">
      <c r="A38" s="11">
        <v>21.73</v>
      </c>
      <c r="B38" s="11">
        <v>1.95</v>
      </c>
      <c r="C38" s="11">
        <v>10.130000000000001</v>
      </c>
      <c r="D38" s="11">
        <v>2.41</v>
      </c>
      <c r="E38" s="11">
        <v>21.73</v>
      </c>
      <c r="F38" s="11">
        <v>1.95</v>
      </c>
      <c r="G38" s="11">
        <v>2.08</v>
      </c>
      <c r="H38" s="11">
        <f t="shared" si="0"/>
        <v>6.6666666666666723</v>
      </c>
      <c r="O38" s="19"/>
      <c r="P38" s="19"/>
    </row>
    <row r="39" spans="1:16" x14ac:dyDescent="0.3">
      <c r="A39" s="11">
        <v>22.43</v>
      </c>
      <c r="B39" s="11">
        <v>1.93</v>
      </c>
      <c r="C39" s="11">
        <v>10.43</v>
      </c>
      <c r="D39" s="11">
        <v>2.4</v>
      </c>
      <c r="E39" s="11">
        <v>22.43</v>
      </c>
      <c r="F39" s="11">
        <v>1.93</v>
      </c>
      <c r="G39" s="11">
        <v>2.0499999999999998</v>
      </c>
      <c r="H39" s="11">
        <f t="shared" si="0"/>
        <v>6.2176165803108754</v>
      </c>
      <c r="O39" s="19"/>
      <c r="P39" s="19"/>
    </row>
    <row r="40" spans="1:16" x14ac:dyDescent="0.3">
      <c r="A40" s="11">
        <v>23.05</v>
      </c>
      <c r="B40" s="11">
        <v>1.91</v>
      </c>
      <c r="C40" s="11">
        <v>10.73</v>
      </c>
      <c r="D40" s="11">
        <v>2.39</v>
      </c>
      <c r="E40" s="11">
        <v>23.05</v>
      </c>
      <c r="F40" s="11">
        <v>1.91</v>
      </c>
      <c r="G40" s="11">
        <v>2.0299999999999998</v>
      </c>
      <c r="H40" s="11">
        <f t="shared" si="0"/>
        <v>6.2827225130889994</v>
      </c>
      <c r="O40" s="19"/>
      <c r="P40" s="19"/>
    </row>
    <row r="41" spans="1:16" x14ac:dyDescent="0.3">
      <c r="A41" s="11">
        <v>23.69</v>
      </c>
      <c r="B41" s="11">
        <v>1.89</v>
      </c>
      <c r="C41" s="11">
        <v>11.02</v>
      </c>
      <c r="D41" s="11">
        <v>2.39</v>
      </c>
      <c r="E41" s="11">
        <v>23.69</v>
      </c>
      <c r="F41" s="11">
        <v>1.89</v>
      </c>
      <c r="G41" s="11">
        <v>2.0099999999999998</v>
      </c>
      <c r="H41" s="11">
        <f t="shared" si="0"/>
        <v>6.3492063492063435</v>
      </c>
      <c r="O41" s="19"/>
      <c r="P41" s="19"/>
    </row>
    <row r="42" spans="1:16" x14ac:dyDescent="0.3">
      <c r="A42" s="11">
        <v>24.32</v>
      </c>
      <c r="B42" s="11">
        <v>1.87</v>
      </c>
      <c r="C42" s="11">
        <v>11.32</v>
      </c>
      <c r="D42" s="11">
        <v>2.38</v>
      </c>
      <c r="E42" s="11">
        <v>24.32</v>
      </c>
      <c r="F42" s="11">
        <v>1.87</v>
      </c>
      <c r="G42" s="11">
        <v>1.99</v>
      </c>
      <c r="H42" s="11">
        <f t="shared" si="0"/>
        <v>6.4171122994652343</v>
      </c>
      <c r="O42" s="19"/>
      <c r="P42" s="19"/>
    </row>
    <row r="43" spans="1:16" x14ac:dyDescent="0.3">
      <c r="A43" s="11">
        <v>24.61</v>
      </c>
      <c r="B43" s="11">
        <v>1.86</v>
      </c>
      <c r="C43" s="11">
        <v>11.62</v>
      </c>
      <c r="D43" s="11">
        <v>2.37</v>
      </c>
      <c r="E43" s="11">
        <v>24.61</v>
      </c>
      <c r="F43" s="11">
        <v>1.86</v>
      </c>
      <c r="G43" s="11">
        <v>1.98</v>
      </c>
      <c r="H43" s="11">
        <f t="shared" si="0"/>
        <v>6.4516129032257989</v>
      </c>
      <c r="O43" s="19"/>
      <c r="P43" s="19"/>
    </row>
    <row r="44" spans="1:16" x14ac:dyDescent="0.3">
      <c r="A44" s="11">
        <v>25.01</v>
      </c>
      <c r="B44" s="11">
        <v>1.84</v>
      </c>
      <c r="C44" s="11">
        <v>11.91</v>
      </c>
      <c r="D44" s="11">
        <v>2.36</v>
      </c>
      <c r="E44" s="11">
        <v>25.01</v>
      </c>
      <c r="F44" s="11">
        <v>1.84</v>
      </c>
      <c r="G44" s="11">
        <v>1.97</v>
      </c>
      <c r="H44" s="11">
        <f t="shared" si="0"/>
        <v>7.0652173913043415</v>
      </c>
      <c r="O44" s="19"/>
      <c r="P44" s="19"/>
    </row>
    <row r="45" spans="1:16" x14ac:dyDescent="0.3">
      <c r="A45" s="11">
        <v>25.21</v>
      </c>
      <c r="B45" s="11">
        <v>1.83</v>
      </c>
      <c r="C45" s="11">
        <v>12.21</v>
      </c>
      <c r="D45" s="11">
        <v>2.35</v>
      </c>
      <c r="E45" s="11">
        <v>25.21</v>
      </c>
      <c r="F45" s="11">
        <v>1.83</v>
      </c>
      <c r="G45" s="11">
        <v>1.96</v>
      </c>
      <c r="H45" s="11">
        <f t="shared" si="0"/>
        <v>7.1038251366120155</v>
      </c>
      <c r="O45" s="19"/>
      <c r="P45" s="19"/>
    </row>
    <row r="46" spans="1:16" x14ac:dyDescent="0.3">
      <c r="A46" s="11">
        <v>25.6</v>
      </c>
      <c r="B46" s="11">
        <v>1.82</v>
      </c>
      <c r="C46" s="11">
        <v>12.5</v>
      </c>
      <c r="D46" s="11">
        <v>2.35</v>
      </c>
      <c r="E46" s="11">
        <v>25.6</v>
      </c>
      <c r="F46" s="11">
        <v>1.82</v>
      </c>
      <c r="G46" s="11">
        <v>1.95</v>
      </c>
      <c r="H46" s="11">
        <f t="shared" si="0"/>
        <v>7.142857142857137</v>
      </c>
      <c r="O46" s="19"/>
      <c r="P46" s="19"/>
    </row>
    <row r="47" spans="1:16" x14ac:dyDescent="0.3">
      <c r="A47" s="11">
        <v>25.81</v>
      </c>
      <c r="B47" s="11">
        <v>1.8</v>
      </c>
      <c r="C47" s="11">
        <v>12.8</v>
      </c>
      <c r="D47" s="11">
        <v>2.34</v>
      </c>
      <c r="E47" s="11">
        <v>25.81</v>
      </c>
      <c r="F47" s="11">
        <v>1.8</v>
      </c>
      <c r="G47" s="11">
        <v>1.94</v>
      </c>
      <c r="H47" s="11">
        <f t="shared" si="0"/>
        <v>7.7777777777777724</v>
      </c>
      <c r="O47" s="19"/>
      <c r="P47" s="19"/>
    </row>
    <row r="48" spans="1:16" x14ac:dyDescent="0.3">
      <c r="A48" s="11">
        <v>26.27</v>
      </c>
      <c r="B48" s="11">
        <v>1.8</v>
      </c>
      <c r="C48" s="11">
        <v>13.1</v>
      </c>
      <c r="D48" s="11">
        <v>2.33</v>
      </c>
      <c r="E48" s="11">
        <v>26.27</v>
      </c>
      <c r="F48" s="11">
        <v>1.8</v>
      </c>
      <c r="G48" s="11">
        <v>1.93</v>
      </c>
      <c r="H48" s="11">
        <f t="shared" si="0"/>
        <v>7.2222222222222161</v>
      </c>
      <c r="O48" s="19"/>
      <c r="P48" s="19"/>
    </row>
    <row r="49" spans="1:16" x14ac:dyDescent="0.3">
      <c r="A49" s="11">
        <v>26.42</v>
      </c>
      <c r="B49" s="11">
        <v>1.79</v>
      </c>
      <c r="C49" s="11">
        <v>13.39</v>
      </c>
      <c r="D49" s="11">
        <v>2.3199999999999998</v>
      </c>
      <c r="E49" s="11">
        <v>26.42</v>
      </c>
      <c r="F49" s="11">
        <v>1.79</v>
      </c>
      <c r="G49" s="11">
        <v>1.91</v>
      </c>
      <c r="H49" s="11">
        <f t="shared" si="0"/>
        <v>6.7039106145251326</v>
      </c>
      <c r="O49" s="19"/>
      <c r="P49" s="19"/>
    </row>
    <row r="50" spans="1:16" x14ac:dyDescent="0.3">
      <c r="A50" s="11">
        <v>26.89</v>
      </c>
      <c r="B50" s="11">
        <v>1.78</v>
      </c>
      <c r="C50" s="11">
        <v>13.69</v>
      </c>
      <c r="D50" s="11">
        <v>2.31</v>
      </c>
      <c r="E50" s="11">
        <v>26.89</v>
      </c>
      <c r="F50" s="11">
        <v>1.78</v>
      </c>
      <c r="G50" s="11">
        <v>1.9</v>
      </c>
      <c r="H50" s="11">
        <f t="shared" si="0"/>
        <v>6.7415730337078577</v>
      </c>
      <c r="O50" s="19"/>
      <c r="P50" s="19"/>
    </row>
    <row r="51" spans="1:16" x14ac:dyDescent="0.3">
      <c r="A51" s="11">
        <v>27.52</v>
      </c>
      <c r="B51" s="11">
        <v>1.76</v>
      </c>
      <c r="C51" s="11">
        <v>13.99</v>
      </c>
      <c r="D51" s="11">
        <v>2.31</v>
      </c>
      <c r="E51" s="11">
        <v>27.52</v>
      </c>
      <c r="F51" s="11">
        <v>1.76</v>
      </c>
      <c r="G51" s="11">
        <v>1.87</v>
      </c>
      <c r="H51" s="11">
        <f t="shared" si="0"/>
        <v>6.2500000000000053</v>
      </c>
      <c r="O51" s="19"/>
      <c r="P51" s="19"/>
    </row>
    <row r="52" spans="1:16" x14ac:dyDescent="0.3">
      <c r="A52" s="11">
        <v>28.16</v>
      </c>
      <c r="B52" s="11">
        <v>1.74</v>
      </c>
      <c r="C52" s="11">
        <v>14.28</v>
      </c>
      <c r="D52" s="11">
        <v>2.2999999999999998</v>
      </c>
      <c r="E52" s="11">
        <v>28.16</v>
      </c>
      <c r="F52" s="11">
        <v>1.74</v>
      </c>
      <c r="G52" s="11">
        <v>1.85</v>
      </c>
      <c r="H52" s="11">
        <f t="shared" si="0"/>
        <v>6.3218390804597764</v>
      </c>
      <c r="O52" s="19"/>
      <c r="P52" s="19"/>
    </row>
    <row r="53" spans="1:16" x14ac:dyDescent="0.3">
      <c r="A53" s="11">
        <v>28.79</v>
      </c>
      <c r="B53" s="11">
        <v>1.72</v>
      </c>
      <c r="C53" s="11">
        <v>14.58</v>
      </c>
      <c r="D53" s="11">
        <v>2.29</v>
      </c>
      <c r="E53" s="11">
        <v>28.79</v>
      </c>
      <c r="F53" s="11">
        <v>1.72</v>
      </c>
      <c r="G53" s="11">
        <v>1.83</v>
      </c>
      <c r="H53" s="11">
        <f t="shared" si="0"/>
        <v>6.3953488372093084</v>
      </c>
      <c r="O53" s="19"/>
      <c r="P53" s="19"/>
    </row>
    <row r="54" spans="1:16" x14ac:dyDescent="0.3">
      <c r="A54" s="11">
        <v>29.41</v>
      </c>
      <c r="B54" s="11">
        <v>1.69</v>
      </c>
      <c r="C54" s="11">
        <v>14.87</v>
      </c>
      <c r="D54" s="11">
        <v>2.2799999999999998</v>
      </c>
      <c r="E54" s="11">
        <v>29.41</v>
      </c>
      <c r="F54" s="11">
        <v>1.69</v>
      </c>
      <c r="G54" s="11">
        <v>1.8</v>
      </c>
      <c r="H54" s="11">
        <f t="shared" si="0"/>
        <v>6.5088757396449761</v>
      </c>
      <c r="O54" s="19"/>
      <c r="P54" s="19"/>
    </row>
    <row r="55" spans="1:16" x14ac:dyDescent="0.3">
      <c r="A55" s="11">
        <v>30.11</v>
      </c>
      <c r="B55" s="11">
        <v>1.67</v>
      </c>
      <c r="C55" s="11">
        <v>15.17</v>
      </c>
      <c r="D55" s="11">
        <v>2.27</v>
      </c>
      <c r="E55" s="11">
        <v>30.11</v>
      </c>
      <c r="F55" s="11">
        <v>1.67</v>
      </c>
      <c r="G55" s="11">
        <v>1.77</v>
      </c>
      <c r="H55" s="11">
        <f t="shared" si="0"/>
        <v>5.9880239520958138</v>
      </c>
      <c r="O55" s="19"/>
      <c r="P55" s="19"/>
    </row>
    <row r="56" spans="1:16" x14ac:dyDescent="0.3">
      <c r="A56" s="11">
        <v>30.73</v>
      </c>
      <c r="B56" s="11">
        <v>1.65</v>
      </c>
      <c r="C56" s="11">
        <v>15.47</v>
      </c>
      <c r="D56" s="11">
        <v>2.2599999999999998</v>
      </c>
      <c r="E56" s="11">
        <v>30.73</v>
      </c>
      <c r="F56" s="11">
        <v>1.65</v>
      </c>
      <c r="G56" s="11">
        <v>1.74</v>
      </c>
      <c r="H56" s="11">
        <f t="shared" si="0"/>
        <v>5.4545454545454595</v>
      </c>
      <c r="O56" s="19"/>
      <c r="P56" s="19"/>
    </row>
    <row r="57" spans="1:16" x14ac:dyDescent="0.3">
      <c r="A57" s="11">
        <v>31.36</v>
      </c>
      <c r="B57" s="11">
        <v>1.63</v>
      </c>
      <c r="C57" s="11">
        <v>15.76</v>
      </c>
      <c r="D57" s="11">
        <v>2.2599999999999998</v>
      </c>
      <c r="E57" s="11">
        <v>31.36</v>
      </c>
      <c r="F57" s="11">
        <v>1.63</v>
      </c>
      <c r="G57" s="11">
        <v>1.72</v>
      </c>
      <c r="H57" s="11">
        <f t="shared" si="0"/>
        <v>5.5214723926380422</v>
      </c>
      <c r="O57" s="19"/>
      <c r="P57" s="19"/>
    </row>
    <row r="58" spans="1:16" x14ac:dyDescent="0.3">
      <c r="A58" s="11">
        <v>31.99</v>
      </c>
      <c r="B58" s="11">
        <v>1.61</v>
      </c>
      <c r="C58" s="11">
        <v>16.059999999999999</v>
      </c>
      <c r="D58" s="11">
        <v>2.25</v>
      </c>
      <c r="E58" s="11">
        <v>31.99</v>
      </c>
      <c r="F58" s="11">
        <v>1.61</v>
      </c>
      <c r="G58" s="11">
        <v>1.71</v>
      </c>
      <c r="H58" s="11">
        <f t="shared" si="0"/>
        <v>6.2111801242235938</v>
      </c>
      <c r="O58" s="19"/>
      <c r="P58" s="19"/>
    </row>
    <row r="59" spans="1:16" x14ac:dyDescent="0.3">
      <c r="A59" s="11">
        <v>32.619999999999997</v>
      </c>
      <c r="B59" s="11">
        <v>1.59</v>
      </c>
      <c r="C59" s="11">
        <v>16.350000000000001</v>
      </c>
      <c r="D59" s="11">
        <v>2.2400000000000002</v>
      </c>
      <c r="E59" s="11">
        <v>32.619999999999997</v>
      </c>
      <c r="F59" s="11">
        <v>1.59</v>
      </c>
      <c r="G59" s="11">
        <v>1.67</v>
      </c>
      <c r="H59" s="11">
        <f t="shared" si="0"/>
        <v>5.031446540880494</v>
      </c>
      <c r="O59" s="19"/>
      <c r="P59" s="19"/>
    </row>
    <row r="60" spans="1:16" x14ac:dyDescent="0.3">
      <c r="A60" s="11">
        <v>33.25</v>
      </c>
      <c r="B60" s="11">
        <v>1.56</v>
      </c>
      <c r="C60" s="11">
        <v>16.649999999999999</v>
      </c>
      <c r="D60" s="11">
        <v>2.23</v>
      </c>
      <c r="E60" s="11">
        <v>33.25</v>
      </c>
      <c r="F60" s="11">
        <v>1.56</v>
      </c>
      <c r="G60" s="11">
        <v>1.64</v>
      </c>
      <c r="H60" s="11">
        <f t="shared" si="0"/>
        <v>5.128205128205118</v>
      </c>
      <c r="O60" s="19"/>
      <c r="P60" s="19"/>
    </row>
    <row r="61" spans="1:16" x14ac:dyDescent="0.3">
      <c r="A61" s="11">
        <v>33.89</v>
      </c>
      <c r="B61" s="11">
        <v>1.54</v>
      </c>
      <c r="C61" s="11">
        <v>16.95</v>
      </c>
      <c r="D61" s="11">
        <v>2.2200000000000002</v>
      </c>
      <c r="E61" s="11">
        <v>33.89</v>
      </c>
      <c r="F61" s="11">
        <v>1.54</v>
      </c>
      <c r="G61" s="11">
        <v>1.62</v>
      </c>
      <c r="H61" s="11">
        <f t="shared" si="0"/>
        <v>5.1948051948051992</v>
      </c>
      <c r="O61" s="19"/>
      <c r="P61" s="19"/>
    </row>
    <row r="62" spans="1:16" x14ac:dyDescent="0.3">
      <c r="A62" s="11">
        <v>34.520000000000003</v>
      </c>
      <c r="B62" s="11">
        <v>1.52</v>
      </c>
      <c r="C62" s="11">
        <v>17.239999999999998</v>
      </c>
      <c r="D62" s="11">
        <v>2.21</v>
      </c>
      <c r="E62" s="11">
        <v>34.520000000000003</v>
      </c>
      <c r="F62" s="11">
        <v>1.52</v>
      </c>
      <c r="G62" s="11">
        <v>1.59</v>
      </c>
      <c r="H62" s="11">
        <f t="shared" si="0"/>
        <v>4.6052631578947407</v>
      </c>
      <c r="O62" s="19"/>
      <c r="P62" s="19"/>
    </row>
    <row r="63" spans="1:16" x14ac:dyDescent="0.3">
      <c r="A63" s="11">
        <v>35.15</v>
      </c>
      <c r="B63" s="11">
        <v>1.5</v>
      </c>
      <c r="C63" s="11">
        <v>17.54</v>
      </c>
      <c r="D63" s="11">
        <v>2.2000000000000002</v>
      </c>
      <c r="E63" s="11">
        <v>35.15</v>
      </c>
      <c r="F63" s="11">
        <v>1.5</v>
      </c>
      <c r="G63" s="11">
        <v>1.55</v>
      </c>
      <c r="H63" s="11">
        <f t="shared" si="0"/>
        <v>3.3333333333333361</v>
      </c>
      <c r="O63" s="19"/>
      <c r="P63" s="19"/>
    </row>
    <row r="64" spans="1:16" x14ac:dyDescent="0.3">
      <c r="A64" s="11">
        <v>35.72</v>
      </c>
      <c r="B64" s="11">
        <v>1.48</v>
      </c>
      <c r="C64" s="11">
        <v>17.84</v>
      </c>
      <c r="D64" s="11">
        <v>2.19</v>
      </c>
      <c r="E64" s="11">
        <v>35.72</v>
      </c>
      <c r="F64" s="11">
        <v>1.48</v>
      </c>
      <c r="G64" s="11">
        <v>1.53</v>
      </c>
      <c r="H64" s="11">
        <f t="shared" si="0"/>
        <v>3.3783783783783812</v>
      </c>
      <c r="O64" s="19"/>
      <c r="P64" s="19"/>
    </row>
    <row r="65" spans="3:16" x14ac:dyDescent="0.3">
      <c r="C65" s="11">
        <v>18.13</v>
      </c>
      <c r="D65" s="11">
        <v>2.19</v>
      </c>
      <c r="O65" s="19"/>
      <c r="P65" s="19"/>
    </row>
    <row r="66" spans="3:16" x14ac:dyDescent="0.3">
      <c r="C66" s="11">
        <v>18.43</v>
      </c>
      <c r="D66" s="11">
        <v>2.1800000000000002</v>
      </c>
      <c r="O66" s="19"/>
      <c r="P66" s="19"/>
    </row>
    <row r="67" spans="3:16" x14ac:dyDescent="0.3">
      <c r="C67" s="11">
        <v>18.72</v>
      </c>
      <c r="D67" s="11">
        <v>2.17</v>
      </c>
      <c r="O67" s="19"/>
      <c r="P67" s="19"/>
    </row>
    <row r="68" spans="3:16" x14ac:dyDescent="0.3">
      <c r="C68" s="11">
        <v>19.02</v>
      </c>
      <c r="D68" s="11">
        <v>2.16</v>
      </c>
      <c r="O68" s="19"/>
      <c r="P68" s="19"/>
    </row>
    <row r="69" spans="3:16" x14ac:dyDescent="0.3">
      <c r="C69" s="11">
        <v>19.32</v>
      </c>
      <c r="D69" s="11">
        <v>2.15</v>
      </c>
      <c r="O69" s="19"/>
      <c r="P69" s="19"/>
    </row>
    <row r="70" spans="3:16" x14ac:dyDescent="0.3">
      <c r="C70" s="11">
        <v>19.61</v>
      </c>
      <c r="D70" s="11">
        <v>2.14</v>
      </c>
      <c r="O70" s="19"/>
      <c r="P70" s="19"/>
    </row>
    <row r="71" spans="3:16" x14ac:dyDescent="0.3">
      <c r="C71" s="11">
        <v>19.91</v>
      </c>
      <c r="D71" s="11">
        <v>2.13</v>
      </c>
      <c r="O71" s="19"/>
      <c r="P71" s="19"/>
    </row>
    <row r="72" spans="3:16" x14ac:dyDescent="0.3">
      <c r="C72" s="11">
        <v>20.21</v>
      </c>
      <c r="D72" s="11">
        <v>2.12</v>
      </c>
      <c r="O72" s="19"/>
      <c r="P72" s="19"/>
    </row>
    <row r="73" spans="3:16" x14ac:dyDescent="0.3">
      <c r="C73" s="11">
        <v>20.5</v>
      </c>
      <c r="D73" s="11">
        <v>2.11</v>
      </c>
      <c r="O73" s="19"/>
      <c r="P73" s="19"/>
    </row>
    <row r="74" spans="3:16" x14ac:dyDescent="0.3">
      <c r="C74" s="11">
        <v>20.8</v>
      </c>
      <c r="D74" s="11">
        <v>2.1</v>
      </c>
      <c r="O74" s="19"/>
      <c r="P74" s="19"/>
    </row>
    <row r="75" spans="3:16" x14ac:dyDescent="0.3">
      <c r="C75" s="11">
        <v>21.09</v>
      </c>
      <c r="D75" s="11">
        <v>2.09</v>
      </c>
      <c r="O75" s="19"/>
      <c r="P75" s="19"/>
    </row>
    <row r="76" spans="3:16" x14ac:dyDescent="0.3">
      <c r="C76" s="11">
        <v>21.39</v>
      </c>
      <c r="D76" s="11">
        <v>2.09</v>
      </c>
      <c r="O76" s="19"/>
      <c r="P76" s="19"/>
    </row>
    <row r="77" spans="3:16" x14ac:dyDescent="0.3">
      <c r="C77" s="11">
        <v>21.69</v>
      </c>
      <c r="D77" s="11">
        <v>2.08</v>
      </c>
      <c r="O77" s="19"/>
      <c r="P77" s="19"/>
    </row>
    <row r="78" spans="3:16" x14ac:dyDescent="0.3">
      <c r="C78" s="11">
        <v>21.98</v>
      </c>
      <c r="D78" s="11">
        <v>2.0699999999999998</v>
      </c>
      <c r="O78" s="19"/>
      <c r="P78" s="19"/>
    </row>
    <row r="79" spans="3:16" x14ac:dyDescent="0.3">
      <c r="C79" s="11">
        <v>22.28</v>
      </c>
      <c r="D79" s="11">
        <v>2.06</v>
      </c>
      <c r="O79" s="19"/>
      <c r="P79" s="19"/>
    </row>
    <row r="80" spans="3:16" x14ac:dyDescent="0.3">
      <c r="C80" s="11">
        <v>22.58</v>
      </c>
      <c r="D80" s="11">
        <v>2.0499999999999998</v>
      </c>
      <c r="O80" s="19"/>
      <c r="P80" s="19"/>
    </row>
    <row r="81" spans="3:16" x14ac:dyDescent="0.3">
      <c r="C81" s="11">
        <v>22.87</v>
      </c>
      <c r="D81" s="11">
        <v>2.04</v>
      </c>
      <c r="O81" s="19"/>
      <c r="P81" s="19"/>
    </row>
    <row r="82" spans="3:16" x14ac:dyDescent="0.3">
      <c r="C82" s="11">
        <v>23.17</v>
      </c>
      <c r="D82" s="11">
        <v>2.0299999999999998</v>
      </c>
      <c r="O82" s="19"/>
      <c r="P82" s="19"/>
    </row>
    <row r="83" spans="3:16" x14ac:dyDescent="0.3">
      <c r="C83" s="11">
        <v>23.46</v>
      </c>
      <c r="D83" s="11">
        <v>2.02</v>
      </c>
      <c r="O83" s="19"/>
      <c r="P83" s="19"/>
    </row>
    <row r="84" spans="3:16" x14ac:dyDescent="0.3">
      <c r="C84" s="11">
        <v>23.76</v>
      </c>
      <c r="D84" s="11">
        <v>2.0099999999999998</v>
      </c>
      <c r="O84" s="19"/>
      <c r="P84" s="19"/>
    </row>
    <row r="85" spans="3:16" x14ac:dyDescent="0.3">
      <c r="C85" s="11">
        <v>24.06</v>
      </c>
      <c r="D85" s="11">
        <v>2</v>
      </c>
      <c r="O85" s="19"/>
      <c r="P85" s="19"/>
    </row>
    <row r="86" spans="3:16" x14ac:dyDescent="0.3">
      <c r="C86" s="11">
        <v>24.35</v>
      </c>
      <c r="D86" s="11">
        <v>1.99</v>
      </c>
      <c r="O86" s="19"/>
      <c r="P86" s="19"/>
    </row>
    <row r="87" spans="3:16" x14ac:dyDescent="0.3">
      <c r="C87" s="11">
        <v>24.65</v>
      </c>
      <c r="D87" s="11">
        <v>1.98</v>
      </c>
      <c r="O87" s="19"/>
      <c r="P87" s="19"/>
    </row>
    <row r="88" spans="3:16" x14ac:dyDescent="0.3">
      <c r="C88" s="11">
        <v>24.95</v>
      </c>
      <c r="D88" s="11">
        <v>1.97</v>
      </c>
      <c r="O88" s="19"/>
      <c r="P88" s="19"/>
    </row>
    <row r="89" spans="3:16" x14ac:dyDescent="0.3">
      <c r="C89" s="11">
        <v>25.24</v>
      </c>
      <c r="D89" s="11">
        <v>1.96</v>
      </c>
      <c r="O89" s="19"/>
      <c r="P89" s="19"/>
    </row>
    <row r="90" spans="3:16" x14ac:dyDescent="0.3">
      <c r="C90" s="11">
        <v>25.54</v>
      </c>
      <c r="D90" s="11">
        <v>1.95</v>
      </c>
      <c r="O90" s="19"/>
      <c r="P90" s="19"/>
    </row>
    <row r="91" spans="3:16" x14ac:dyDescent="0.3">
      <c r="C91" s="11">
        <v>25.84</v>
      </c>
      <c r="D91" s="11">
        <v>1.94</v>
      </c>
      <c r="O91" s="19"/>
      <c r="P91" s="19"/>
    </row>
    <row r="92" spans="3:16" x14ac:dyDescent="0.3">
      <c r="C92" s="11">
        <v>26.13</v>
      </c>
      <c r="D92" s="11">
        <v>1.93</v>
      </c>
      <c r="O92" s="19"/>
      <c r="P92" s="19"/>
    </row>
    <row r="93" spans="3:16" x14ac:dyDescent="0.3">
      <c r="C93" s="11">
        <v>26.43</v>
      </c>
      <c r="D93" s="11">
        <v>1.91</v>
      </c>
      <c r="O93" s="19"/>
      <c r="P93" s="19"/>
    </row>
    <row r="94" spans="3:16" x14ac:dyDescent="0.3">
      <c r="C94" s="11">
        <v>26.72</v>
      </c>
      <c r="D94" s="11">
        <v>1.9</v>
      </c>
      <c r="O94" s="19"/>
      <c r="P94" s="19"/>
    </row>
    <row r="95" spans="3:16" x14ac:dyDescent="0.3">
      <c r="C95" s="11">
        <v>27.02</v>
      </c>
      <c r="D95" s="11">
        <v>1.89</v>
      </c>
      <c r="O95" s="19"/>
      <c r="P95" s="19"/>
    </row>
    <row r="96" spans="3:16" x14ac:dyDescent="0.3">
      <c r="C96" s="11">
        <v>27.32</v>
      </c>
      <c r="D96" s="11">
        <v>1.88</v>
      </c>
      <c r="O96" s="19"/>
      <c r="P96" s="19"/>
    </row>
    <row r="97" spans="3:16" x14ac:dyDescent="0.3">
      <c r="C97" s="11">
        <v>27.61</v>
      </c>
      <c r="D97" s="11">
        <v>1.87</v>
      </c>
      <c r="O97" s="19"/>
      <c r="P97" s="19"/>
    </row>
    <row r="98" spans="3:16" x14ac:dyDescent="0.3">
      <c r="C98" s="11">
        <v>27.91</v>
      </c>
      <c r="D98" s="11">
        <v>1.86</v>
      </c>
      <c r="O98" s="19"/>
      <c r="P98" s="19"/>
    </row>
    <row r="99" spans="3:16" x14ac:dyDescent="0.3">
      <c r="C99" s="11">
        <v>28.21</v>
      </c>
      <c r="D99" s="11">
        <v>1.85</v>
      </c>
      <c r="O99" s="19"/>
      <c r="P99" s="19"/>
    </row>
    <row r="100" spans="3:16" x14ac:dyDescent="0.3">
      <c r="C100" s="11">
        <v>28.5</v>
      </c>
      <c r="D100" s="11">
        <v>1.84</v>
      </c>
      <c r="O100" s="19"/>
      <c r="P100" s="19"/>
    </row>
    <row r="101" spans="3:16" x14ac:dyDescent="0.3">
      <c r="C101" s="11">
        <v>28.8</v>
      </c>
      <c r="D101" s="11">
        <v>1.83</v>
      </c>
      <c r="O101" s="19"/>
      <c r="P101" s="19"/>
    </row>
    <row r="102" spans="3:16" x14ac:dyDescent="0.3">
      <c r="C102" s="11">
        <v>29.09</v>
      </c>
      <c r="D102" s="11">
        <v>1.82</v>
      </c>
      <c r="O102" s="19"/>
      <c r="P102" s="19"/>
    </row>
    <row r="103" spans="3:16" x14ac:dyDescent="0.3">
      <c r="C103" s="11">
        <v>29.39</v>
      </c>
      <c r="D103" s="11">
        <v>1.8</v>
      </c>
      <c r="O103" s="19"/>
      <c r="P103" s="19"/>
    </row>
    <row r="104" spans="3:16" x14ac:dyDescent="0.3">
      <c r="C104" s="11">
        <v>29.69</v>
      </c>
      <c r="D104" s="11">
        <v>1.79</v>
      </c>
      <c r="O104" s="19"/>
      <c r="P104" s="19"/>
    </row>
    <row r="105" spans="3:16" x14ac:dyDescent="0.3">
      <c r="C105" s="11">
        <v>29.98</v>
      </c>
      <c r="D105" s="11">
        <v>1.78</v>
      </c>
      <c r="O105" s="19"/>
      <c r="P105" s="19"/>
    </row>
    <row r="106" spans="3:16" x14ac:dyDescent="0.3">
      <c r="C106" s="11">
        <v>30.28</v>
      </c>
      <c r="D106" s="11">
        <v>1.77</v>
      </c>
      <c r="O106" s="19"/>
      <c r="P106" s="19"/>
    </row>
    <row r="107" spans="3:16" x14ac:dyDescent="0.3">
      <c r="C107" s="11">
        <v>30.58</v>
      </c>
      <c r="D107" s="11">
        <v>1.76</v>
      </c>
      <c r="O107" s="19"/>
      <c r="P107" s="19"/>
    </row>
    <row r="108" spans="3:16" x14ac:dyDescent="0.3">
      <c r="C108" s="11">
        <v>30.87</v>
      </c>
      <c r="D108" s="11">
        <v>1.74</v>
      </c>
      <c r="O108" s="19"/>
      <c r="P108" s="19"/>
    </row>
    <row r="109" spans="3:16" x14ac:dyDescent="0.3">
      <c r="C109" s="11">
        <v>31.17</v>
      </c>
      <c r="D109" s="11">
        <v>1.73</v>
      </c>
      <c r="O109" s="19"/>
      <c r="P109" s="19"/>
    </row>
    <row r="110" spans="3:16" x14ac:dyDescent="0.3">
      <c r="C110" s="11">
        <v>31.47</v>
      </c>
      <c r="D110" s="11">
        <v>1.72</v>
      </c>
      <c r="O110" s="19"/>
      <c r="P110" s="19"/>
    </row>
    <row r="111" spans="3:16" x14ac:dyDescent="0.3">
      <c r="C111" s="11">
        <v>31.76</v>
      </c>
      <c r="D111" s="11">
        <v>1.71</v>
      </c>
      <c r="O111" s="19"/>
      <c r="P111" s="19"/>
    </row>
    <row r="112" spans="3:16" x14ac:dyDescent="0.3">
      <c r="C112" s="11">
        <v>32.06</v>
      </c>
      <c r="D112" s="11">
        <v>1.7</v>
      </c>
      <c r="O112" s="19"/>
      <c r="P112" s="19"/>
    </row>
    <row r="113" spans="3:16" x14ac:dyDescent="0.3">
      <c r="C113" s="11">
        <v>32.35</v>
      </c>
      <c r="D113" s="11">
        <v>1.68</v>
      </c>
      <c r="O113" s="19"/>
      <c r="P113" s="19"/>
    </row>
    <row r="114" spans="3:16" x14ac:dyDescent="0.3">
      <c r="C114" s="11">
        <v>32.65</v>
      </c>
      <c r="D114" s="11">
        <v>1.67</v>
      </c>
      <c r="O114" s="19"/>
      <c r="P114" s="19"/>
    </row>
    <row r="115" spans="3:16" x14ac:dyDescent="0.3">
      <c r="C115" s="11">
        <v>32.950000000000003</v>
      </c>
      <c r="D115" s="11">
        <v>1.66</v>
      </c>
      <c r="O115" s="19"/>
      <c r="P115" s="19"/>
    </row>
    <row r="116" spans="3:16" x14ac:dyDescent="0.3">
      <c r="C116" s="11">
        <v>33.24</v>
      </c>
      <c r="D116" s="11">
        <v>1.64</v>
      </c>
      <c r="O116" s="19"/>
      <c r="P116" s="19"/>
    </row>
    <row r="117" spans="3:16" x14ac:dyDescent="0.3">
      <c r="C117" s="11">
        <v>33.54</v>
      </c>
      <c r="D117" s="11">
        <v>1.63</v>
      </c>
      <c r="O117" s="19"/>
      <c r="P117" s="19"/>
    </row>
    <row r="118" spans="3:16" x14ac:dyDescent="0.3">
      <c r="C118" s="11">
        <v>33.840000000000003</v>
      </c>
      <c r="D118" s="11">
        <v>1.62</v>
      </c>
      <c r="O118" s="19"/>
      <c r="P118" s="19"/>
    </row>
    <row r="119" spans="3:16" x14ac:dyDescent="0.3">
      <c r="C119" s="11">
        <v>34.130000000000003</v>
      </c>
      <c r="D119" s="11">
        <v>1.6</v>
      </c>
      <c r="O119" s="19"/>
      <c r="P119" s="19"/>
    </row>
    <row r="120" spans="3:16" x14ac:dyDescent="0.3">
      <c r="C120" s="11">
        <v>34.43</v>
      </c>
      <c r="D120" s="11">
        <v>1.59</v>
      </c>
      <c r="O120" s="19"/>
      <c r="P120" s="19"/>
    </row>
    <row r="121" spans="3:16" x14ac:dyDescent="0.3">
      <c r="C121" s="11">
        <v>34.729999999999997</v>
      </c>
      <c r="D121" s="11">
        <v>1.58</v>
      </c>
      <c r="O121" s="19"/>
      <c r="P121" s="19"/>
    </row>
    <row r="122" spans="3:16" x14ac:dyDescent="0.3">
      <c r="C122" s="11">
        <v>35.020000000000003</v>
      </c>
      <c r="D122" s="11">
        <v>1.56</v>
      </c>
      <c r="O122" s="19"/>
      <c r="P122" s="19"/>
    </row>
    <row r="123" spans="3:16" x14ac:dyDescent="0.3">
      <c r="C123" s="11">
        <v>35.32</v>
      </c>
      <c r="D123" s="11">
        <v>1.55</v>
      </c>
      <c r="O123" s="19"/>
      <c r="P123" s="19"/>
    </row>
    <row r="124" spans="3:16" x14ac:dyDescent="0.3">
      <c r="C124" s="11">
        <v>35.619999999999997</v>
      </c>
      <c r="D124" s="11">
        <v>1.53</v>
      </c>
      <c r="O124" s="19"/>
      <c r="P124" s="19"/>
    </row>
    <row r="125" spans="3:16" x14ac:dyDescent="0.3">
      <c r="C125" s="11">
        <v>35.78</v>
      </c>
      <c r="D125" s="11">
        <v>1.53</v>
      </c>
      <c r="O125" s="19"/>
      <c r="P125" s="19"/>
    </row>
  </sheetData>
  <mergeCells count="5">
    <mergeCell ref="A1:X1"/>
    <mergeCell ref="A3:B3"/>
    <mergeCell ref="C3:D3"/>
    <mergeCell ref="J3:S3"/>
    <mergeCell ref="A2:Y2"/>
  </mergeCells>
  <hyperlinks>
    <hyperlink ref="J3" r:id="rId1" xr:uid="{15066582-EC12-42EA-ADB3-41CF4E900FC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BE50-ACEE-401C-845B-CE36A9067614}">
  <dimension ref="A1:X134"/>
  <sheetViews>
    <sheetView workbookViewId="0">
      <selection activeCell="U15" sqref="U15"/>
    </sheetView>
  </sheetViews>
  <sheetFormatPr defaultRowHeight="14.4" x14ac:dyDescent="0.3"/>
  <cols>
    <col min="2" max="2" width="11.33203125" customWidth="1"/>
    <col min="6" max="6" width="12.6640625" customWidth="1"/>
  </cols>
  <sheetData>
    <row r="1" spans="1:24" ht="23.4" x14ac:dyDescent="0.45">
      <c r="A1" s="49" t="s">
        <v>60</v>
      </c>
      <c r="B1" s="49"/>
      <c r="C1" s="49"/>
      <c r="D1" s="49"/>
      <c r="E1" s="49"/>
      <c r="F1" s="49"/>
      <c r="G1" s="49"/>
      <c r="H1" s="49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3" spans="1:24" x14ac:dyDescent="0.3">
      <c r="A3" s="25" t="s">
        <v>50</v>
      </c>
      <c r="B3" s="25" t="s">
        <v>56</v>
      </c>
      <c r="C3" s="25" t="s">
        <v>50</v>
      </c>
      <c r="D3" s="25" t="s">
        <v>57</v>
      </c>
      <c r="E3" s="25" t="s">
        <v>50</v>
      </c>
      <c r="F3" s="25" t="s">
        <v>58</v>
      </c>
    </row>
    <row r="4" spans="1:24" x14ac:dyDescent="0.3">
      <c r="A4" s="11">
        <v>0.32</v>
      </c>
      <c r="B4" s="30">
        <v>2.65</v>
      </c>
      <c r="C4" s="11">
        <v>0.15</v>
      </c>
      <c r="D4" s="11">
        <v>2.64</v>
      </c>
      <c r="E4" s="11">
        <v>0.06</v>
      </c>
      <c r="F4" s="11">
        <v>2.65</v>
      </c>
    </row>
    <row r="5" spans="1:24" x14ac:dyDescent="0.3">
      <c r="A5" s="11">
        <v>0.95</v>
      </c>
      <c r="B5" s="30">
        <v>2.63</v>
      </c>
      <c r="C5" s="11">
        <v>0.44</v>
      </c>
      <c r="D5" s="11">
        <v>2.63</v>
      </c>
      <c r="E5" s="11">
        <v>0.36</v>
      </c>
      <c r="F5" s="11">
        <v>2.65</v>
      </c>
    </row>
    <row r="6" spans="1:24" x14ac:dyDescent="0.3">
      <c r="A6" s="11">
        <v>1.48</v>
      </c>
      <c r="B6" s="30">
        <v>2.61</v>
      </c>
      <c r="C6" s="11">
        <v>0.74</v>
      </c>
      <c r="D6" s="11">
        <v>2.62</v>
      </c>
      <c r="E6" s="11">
        <v>0.66</v>
      </c>
      <c r="F6" s="11">
        <v>2.64</v>
      </c>
    </row>
    <row r="7" spans="1:24" x14ac:dyDescent="0.3">
      <c r="A7" s="11">
        <v>2.08</v>
      </c>
      <c r="B7" s="30">
        <v>2.59</v>
      </c>
      <c r="C7" s="11">
        <v>1.03</v>
      </c>
      <c r="D7" s="11">
        <v>2.61</v>
      </c>
      <c r="E7" s="11">
        <v>0.95</v>
      </c>
      <c r="F7" s="11">
        <v>2.63</v>
      </c>
    </row>
    <row r="8" spans="1:24" x14ac:dyDescent="0.3">
      <c r="A8" s="11">
        <v>2.72</v>
      </c>
      <c r="B8" s="30">
        <v>2.57</v>
      </c>
      <c r="C8" s="11">
        <v>1.33</v>
      </c>
      <c r="D8" s="11">
        <v>2.6</v>
      </c>
      <c r="E8" s="11">
        <v>1.25</v>
      </c>
      <c r="F8" s="11">
        <v>2.63</v>
      </c>
    </row>
    <row r="9" spans="1:24" x14ac:dyDescent="0.3">
      <c r="A9" s="11">
        <v>3.39</v>
      </c>
      <c r="B9" s="30">
        <v>2.5499999999999998</v>
      </c>
      <c r="C9" s="11">
        <v>1.62</v>
      </c>
      <c r="D9" s="11">
        <v>2.59</v>
      </c>
      <c r="E9" s="11">
        <v>1.55</v>
      </c>
      <c r="F9" s="11">
        <v>2.62</v>
      </c>
    </row>
    <row r="10" spans="1:24" x14ac:dyDescent="0.3">
      <c r="A10" s="11">
        <v>4.03</v>
      </c>
      <c r="B10" s="30">
        <v>2.5299999999999998</v>
      </c>
      <c r="C10" s="11">
        <v>1.92</v>
      </c>
      <c r="D10" s="11">
        <v>2.57</v>
      </c>
      <c r="E10" s="11">
        <v>1.84</v>
      </c>
      <c r="F10" s="11">
        <v>2.61</v>
      </c>
    </row>
    <row r="11" spans="1:24" x14ac:dyDescent="0.3">
      <c r="A11" s="11">
        <v>4.71</v>
      </c>
      <c r="B11" s="30">
        <v>2.5099999999999998</v>
      </c>
      <c r="C11" s="11">
        <v>2.21</v>
      </c>
      <c r="D11" s="11">
        <v>2.56</v>
      </c>
      <c r="E11" s="11">
        <v>2.14</v>
      </c>
      <c r="F11" s="11">
        <v>2.61</v>
      </c>
    </row>
    <row r="12" spans="1:24" x14ac:dyDescent="0.3">
      <c r="A12" s="11">
        <v>5.35</v>
      </c>
      <c r="B12" s="30">
        <v>2.4900000000000002</v>
      </c>
      <c r="C12" s="11">
        <v>2.5099999999999998</v>
      </c>
      <c r="D12" s="11">
        <v>2.5499999999999998</v>
      </c>
      <c r="E12" s="11">
        <v>2.4300000000000002</v>
      </c>
      <c r="F12" s="11">
        <v>2.6</v>
      </c>
    </row>
    <row r="13" spans="1:24" x14ac:dyDescent="0.3">
      <c r="A13" s="11">
        <v>6.04</v>
      </c>
      <c r="B13" s="30">
        <v>2.46</v>
      </c>
      <c r="C13" s="11">
        <v>2.8</v>
      </c>
      <c r="D13" s="11">
        <v>2.54</v>
      </c>
      <c r="E13" s="11">
        <v>2.73</v>
      </c>
      <c r="F13" s="11">
        <v>2.59</v>
      </c>
    </row>
    <row r="14" spans="1:24" x14ac:dyDescent="0.3">
      <c r="A14" s="11">
        <v>6.66</v>
      </c>
      <c r="B14" s="30">
        <v>2.44</v>
      </c>
      <c r="C14" s="11">
        <v>3.1</v>
      </c>
      <c r="D14" s="11">
        <v>2.5299999999999998</v>
      </c>
      <c r="E14" s="11">
        <v>3.03</v>
      </c>
      <c r="F14" s="11">
        <v>2.58</v>
      </c>
    </row>
    <row r="15" spans="1:24" x14ac:dyDescent="0.3">
      <c r="A15" s="11">
        <v>7.29</v>
      </c>
      <c r="B15" s="30">
        <v>2.42</v>
      </c>
      <c r="C15" s="11">
        <v>3.39</v>
      </c>
      <c r="D15" s="11">
        <v>2.52</v>
      </c>
      <c r="E15" s="11">
        <v>3.32</v>
      </c>
      <c r="F15" s="11">
        <v>2.58</v>
      </c>
    </row>
    <row r="16" spans="1:24" x14ac:dyDescent="0.3">
      <c r="A16" s="11">
        <v>7.91</v>
      </c>
      <c r="B16" s="30">
        <v>2.4</v>
      </c>
      <c r="C16" s="11">
        <v>3.69</v>
      </c>
      <c r="D16" s="11">
        <v>2.5099999999999998</v>
      </c>
      <c r="E16" s="11">
        <v>3.62</v>
      </c>
      <c r="F16" s="11">
        <v>2.57</v>
      </c>
    </row>
    <row r="17" spans="1:6" x14ac:dyDescent="0.3">
      <c r="A17" s="11">
        <v>8.4499999999999993</v>
      </c>
      <c r="B17" s="30">
        <v>2.39</v>
      </c>
      <c r="C17" s="11">
        <v>3.98</v>
      </c>
      <c r="D17" s="11">
        <v>2.4900000000000002</v>
      </c>
      <c r="E17" s="11">
        <v>3.91</v>
      </c>
      <c r="F17" s="11">
        <v>2.56</v>
      </c>
    </row>
    <row r="18" spans="1:6" x14ac:dyDescent="0.3">
      <c r="A18" s="11">
        <v>9.0500000000000007</v>
      </c>
      <c r="B18" s="30">
        <v>2.37</v>
      </c>
      <c r="C18" s="11">
        <v>4.28</v>
      </c>
      <c r="D18" s="11">
        <v>2.48</v>
      </c>
      <c r="E18" s="11">
        <v>4.21</v>
      </c>
      <c r="F18" s="11">
        <v>2.56</v>
      </c>
    </row>
    <row r="19" spans="1:6" x14ac:dyDescent="0.3">
      <c r="A19" s="11">
        <v>9.67</v>
      </c>
      <c r="B19" s="30">
        <v>2.35</v>
      </c>
      <c r="C19" s="11">
        <v>4.57</v>
      </c>
      <c r="D19" s="11">
        <v>2.4700000000000002</v>
      </c>
      <c r="E19" s="11">
        <v>4.51</v>
      </c>
      <c r="F19" s="11">
        <v>2.5499999999999998</v>
      </c>
    </row>
    <row r="20" spans="1:6" x14ac:dyDescent="0.3">
      <c r="A20" s="11">
        <v>10.36</v>
      </c>
      <c r="B20" s="30">
        <v>2.3199999999999998</v>
      </c>
      <c r="C20" s="11">
        <v>4.87</v>
      </c>
      <c r="D20" s="11">
        <v>2.46</v>
      </c>
      <c r="E20" s="11">
        <v>4.8</v>
      </c>
      <c r="F20" s="11">
        <v>2.54</v>
      </c>
    </row>
    <row r="21" spans="1:6" x14ac:dyDescent="0.3">
      <c r="A21" s="11">
        <v>11</v>
      </c>
      <c r="B21" s="30">
        <v>2.2999999999999998</v>
      </c>
      <c r="C21" s="11">
        <v>5.16</v>
      </c>
      <c r="D21" s="11">
        <v>2.4500000000000002</v>
      </c>
      <c r="E21" s="11">
        <v>5.0999999999999996</v>
      </c>
      <c r="F21" s="11">
        <v>2.54</v>
      </c>
    </row>
    <row r="22" spans="1:6" x14ac:dyDescent="0.3">
      <c r="A22" s="11">
        <v>11.63</v>
      </c>
      <c r="B22" s="30">
        <v>2.2799999999999998</v>
      </c>
      <c r="C22" s="11">
        <v>5.46</v>
      </c>
      <c r="D22" s="11">
        <v>2.44</v>
      </c>
      <c r="E22" s="11">
        <v>5.4</v>
      </c>
      <c r="F22" s="11">
        <v>2.5299999999999998</v>
      </c>
    </row>
    <row r="23" spans="1:6" x14ac:dyDescent="0.3">
      <c r="A23" s="11">
        <v>12.24</v>
      </c>
      <c r="B23" s="30">
        <v>2.2599999999999998</v>
      </c>
      <c r="C23" s="11">
        <v>5.75</v>
      </c>
      <c r="D23" s="11">
        <v>2.42</v>
      </c>
      <c r="E23" s="11">
        <v>5.69</v>
      </c>
      <c r="F23" s="11">
        <v>2.52</v>
      </c>
    </row>
    <row r="24" spans="1:6" x14ac:dyDescent="0.3">
      <c r="A24" s="11">
        <v>12.81</v>
      </c>
      <c r="B24" s="30">
        <v>2.2400000000000002</v>
      </c>
      <c r="C24" s="11">
        <v>6.05</v>
      </c>
      <c r="D24" s="11">
        <v>2.41</v>
      </c>
      <c r="E24" s="11">
        <v>5.99</v>
      </c>
      <c r="F24" s="11">
        <v>2.5099999999999998</v>
      </c>
    </row>
    <row r="25" spans="1:6" x14ac:dyDescent="0.3">
      <c r="A25" s="11">
        <v>13.37</v>
      </c>
      <c r="B25" s="30">
        <v>2.23</v>
      </c>
      <c r="C25" s="11">
        <v>6.34</v>
      </c>
      <c r="D25" s="11">
        <v>2.4</v>
      </c>
      <c r="E25" s="11">
        <v>6.28</v>
      </c>
      <c r="F25" s="11">
        <v>2.5099999999999998</v>
      </c>
    </row>
    <row r="26" spans="1:6" x14ac:dyDescent="0.3">
      <c r="A26" s="11">
        <v>14.01</v>
      </c>
      <c r="B26" s="30">
        <v>2.2000000000000002</v>
      </c>
      <c r="C26" s="11">
        <v>6.64</v>
      </c>
      <c r="D26" s="11">
        <v>2.39</v>
      </c>
      <c r="E26" s="11">
        <v>6.58</v>
      </c>
      <c r="F26" s="11">
        <v>2.5</v>
      </c>
    </row>
    <row r="27" spans="1:6" x14ac:dyDescent="0.3">
      <c r="A27" s="11">
        <v>14.7</v>
      </c>
      <c r="B27" s="30">
        <v>2.1800000000000002</v>
      </c>
      <c r="C27" s="11">
        <v>6.93</v>
      </c>
      <c r="D27" s="11">
        <v>2.37</v>
      </c>
      <c r="E27" s="11">
        <v>6.88</v>
      </c>
      <c r="F27" s="11">
        <v>2.4900000000000002</v>
      </c>
    </row>
    <row r="28" spans="1:6" x14ac:dyDescent="0.3">
      <c r="A28" s="11">
        <v>15.32</v>
      </c>
      <c r="B28" s="30">
        <v>2.16</v>
      </c>
      <c r="C28" s="11">
        <v>7.23</v>
      </c>
      <c r="D28" s="11">
        <v>2.36</v>
      </c>
      <c r="E28" s="11">
        <v>7.17</v>
      </c>
      <c r="F28" s="11">
        <v>2.48</v>
      </c>
    </row>
    <row r="29" spans="1:6" x14ac:dyDescent="0.3">
      <c r="A29" s="11">
        <v>15.96</v>
      </c>
      <c r="B29" s="30">
        <v>2.14</v>
      </c>
      <c r="C29" s="11">
        <v>7.52</v>
      </c>
      <c r="D29" s="11">
        <v>2.35</v>
      </c>
      <c r="E29" s="11">
        <v>7.47</v>
      </c>
      <c r="F29" s="11">
        <v>2.48</v>
      </c>
    </row>
    <row r="30" spans="1:6" x14ac:dyDescent="0.3">
      <c r="A30" s="11">
        <v>16.579999999999998</v>
      </c>
      <c r="B30" s="30">
        <v>2.12</v>
      </c>
      <c r="C30" s="11">
        <v>7.82</v>
      </c>
      <c r="D30" s="11">
        <v>2.34</v>
      </c>
      <c r="E30" s="11">
        <v>7.76</v>
      </c>
      <c r="F30" s="11">
        <v>2.4700000000000002</v>
      </c>
    </row>
    <row r="31" spans="1:6" x14ac:dyDescent="0.3">
      <c r="A31" s="11">
        <v>17.27</v>
      </c>
      <c r="B31" s="30">
        <v>2.1</v>
      </c>
      <c r="C31" s="11">
        <v>8.11</v>
      </c>
      <c r="D31" s="11">
        <v>2.33</v>
      </c>
      <c r="E31" s="11">
        <v>8.06</v>
      </c>
      <c r="F31" s="11">
        <v>2.46</v>
      </c>
    </row>
    <row r="32" spans="1:6" x14ac:dyDescent="0.3">
      <c r="A32" s="11">
        <v>17.899999999999999</v>
      </c>
      <c r="B32" s="30">
        <v>2.08</v>
      </c>
      <c r="C32" s="11">
        <v>8.41</v>
      </c>
      <c r="D32" s="11">
        <v>2.31</v>
      </c>
      <c r="E32" s="11">
        <v>8.36</v>
      </c>
      <c r="F32" s="11">
        <v>2.4500000000000002</v>
      </c>
    </row>
    <row r="33" spans="1:6" x14ac:dyDescent="0.3">
      <c r="A33" s="11">
        <v>18.53</v>
      </c>
      <c r="B33" s="30">
        <v>2.06</v>
      </c>
      <c r="C33" s="11">
        <v>8.6999999999999993</v>
      </c>
      <c r="D33" s="11">
        <v>2.2999999999999998</v>
      </c>
      <c r="E33" s="11">
        <v>8.65</v>
      </c>
      <c r="F33" s="11">
        <v>2.4500000000000002</v>
      </c>
    </row>
    <row r="34" spans="1:6" x14ac:dyDescent="0.3">
      <c r="A34" s="11">
        <v>19.149999999999999</v>
      </c>
      <c r="B34" s="30">
        <v>2.04</v>
      </c>
      <c r="C34" s="11">
        <v>9</v>
      </c>
      <c r="D34" s="11">
        <v>2.29</v>
      </c>
      <c r="E34" s="11">
        <v>8.9499999999999993</v>
      </c>
      <c r="F34" s="11">
        <v>2.44</v>
      </c>
    </row>
    <row r="35" spans="1:6" x14ac:dyDescent="0.3">
      <c r="A35" s="11">
        <v>19.84</v>
      </c>
      <c r="B35" s="30">
        <v>2.0099999999999998</v>
      </c>
      <c r="C35" s="11">
        <v>9.2899999999999991</v>
      </c>
      <c r="D35" s="11">
        <v>2.27</v>
      </c>
      <c r="E35" s="11">
        <v>9.25</v>
      </c>
      <c r="F35" s="11">
        <v>2.4300000000000002</v>
      </c>
    </row>
    <row r="36" spans="1:6" x14ac:dyDescent="0.3">
      <c r="A36" s="11">
        <v>20.48</v>
      </c>
      <c r="B36" s="30">
        <v>1.99</v>
      </c>
      <c r="C36" s="11">
        <v>9.59</v>
      </c>
      <c r="D36" s="11">
        <v>2.2599999999999998</v>
      </c>
      <c r="E36" s="11">
        <v>9.5399999999999991</v>
      </c>
      <c r="F36" s="11">
        <v>2.42</v>
      </c>
    </row>
    <row r="37" spans="1:6" x14ac:dyDescent="0.3">
      <c r="A37" s="11">
        <v>21.11</v>
      </c>
      <c r="B37" s="30">
        <v>1.97</v>
      </c>
      <c r="C37" s="11">
        <v>9.8800000000000008</v>
      </c>
      <c r="D37" s="11">
        <v>2.25</v>
      </c>
      <c r="E37" s="11">
        <v>9.84</v>
      </c>
      <c r="F37" s="11">
        <v>2.42</v>
      </c>
    </row>
    <row r="38" spans="1:6" x14ac:dyDescent="0.3">
      <c r="A38" s="11">
        <v>21.73</v>
      </c>
      <c r="B38" s="30">
        <v>1.95</v>
      </c>
      <c r="C38" s="11">
        <v>10.18</v>
      </c>
      <c r="D38" s="11">
        <v>2.2400000000000002</v>
      </c>
      <c r="E38" s="11">
        <v>10.130000000000001</v>
      </c>
      <c r="F38" s="11">
        <v>2.41</v>
      </c>
    </row>
    <row r="39" spans="1:6" x14ac:dyDescent="0.3">
      <c r="A39" s="11">
        <v>22.43</v>
      </c>
      <c r="B39" s="30">
        <v>1.93</v>
      </c>
      <c r="C39" s="11">
        <v>10.47</v>
      </c>
      <c r="D39" s="11">
        <v>2.2200000000000002</v>
      </c>
      <c r="E39" s="11">
        <v>10.43</v>
      </c>
      <c r="F39" s="11">
        <v>2.4</v>
      </c>
    </row>
    <row r="40" spans="1:6" x14ac:dyDescent="0.3">
      <c r="A40" s="11">
        <v>23.05</v>
      </c>
      <c r="B40" s="30">
        <v>1.91</v>
      </c>
      <c r="C40" s="11">
        <v>10.77</v>
      </c>
      <c r="D40" s="11">
        <v>2.21</v>
      </c>
      <c r="E40" s="11">
        <v>10.73</v>
      </c>
      <c r="F40" s="11">
        <v>2.39</v>
      </c>
    </row>
    <row r="41" spans="1:6" x14ac:dyDescent="0.3">
      <c r="A41" s="11">
        <v>23.69</v>
      </c>
      <c r="B41" s="30">
        <v>1.89</v>
      </c>
      <c r="C41" s="11">
        <v>11.06</v>
      </c>
      <c r="D41" s="11">
        <v>2.2000000000000002</v>
      </c>
      <c r="E41" s="11">
        <v>11.02</v>
      </c>
      <c r="F41" s="11">
        <v>2.39</v>
      </c>
    </row>
    <row r="42" spans="1:6" x14ac:dyDescent="0.3">
      <c r="A42" s="11">
        <v>24.32</v>
      </c>
      <c r="B42" s="30">
        <v>1.87</v>
      </c>
      <c r="C42" s="11">
        <v>11.36</v>
      </c>
      <c r="D42" s="11">
        <v>2.1800000000000002</v>
      </c>
      <c r="E42" s="11">
        <v>11.32</v>
      </c>
      <c r="F42" s="11">
        <v>2.38</v>
      </c>
    </row>
    <row r="43" spans="1:6" x14ac:dyDescent="0.3">
      <c r="A43" s="11">
        <v>24.61</v>
      </c>
      <c r="B43" s="30">
        <v>1.86</v>
      </c>
      <c r="C43" s="11">
        <v>11.65</v>
      </c>
      <c r="D43" s="11">
        <v>2.17</v>
      </c>
      <c r="E43" s="11">
        <v>11.62</v>
      </c>
      <c r="F43" s="11">
        <v>2.37</v>
      </c>
    </row>
    <row r="44" spans="1:6" x14ac:dyDescent="0.3">
      <c r="A44" s="11">
        <v>25.01</v>
      </c>
      <c r="B44" s="30">
        <v>1.84</v>
      </c>
      <c r="C44" s="11">
        <v>11.95</v>
      </c>
      <c r="D44" s="11">
        <v>2.16</v>
      </c>
      <c r="E44" s="11">
        <v>11.91</v>
      </c>
      <c r="F44" s="11">
        <v>2.36</v>
      </c>
    </row>
    <row r="45" spans="1:6" x14ac:dyDescent="0.3">
      <c r="A45" s="11">
        <v>25.21</v>
      </c>
      <c r="B45" s="30">
        <v>1.83</v>
      </c>
      <c r="C45" s="11">
        <v>12.24</v>
      </c>
      <c r="D45" s="11">
        <v>2.14</v>
      </c>
      <c r="E45" s="11">
        <v>12.21</v>
      </c>
      <c r="F45" s="11">
        <v>2.35</v>
      </c>
    </row>
    <row r="46" spans="1:6" x14ac:dyDescent="0.3">
      <c r="A46" s="11">
        <v>25.6</v>
      </c>
      <c r="B46" s="30">
        <v>1.82</v>
      </c>
      <c r="C46" s="11">
        <v>12.54</v>
      </c>
      <c r="D46" s="11">
        <v>2.13</v>
      </c>
      <c r="E46" s="11">
        <v>12.5</v>
      </c>
      <c r="F46" s="11">
        <v>2.35</v>
      </c>
    </row>
    <row r="47" spans="1:6" x14ac:dyDescent="0.3">
      <c r="A47" s="11">
        <v>25.81</v>
      </c>
      <c r="B47" s="30">
        <v>1.8</v>
      </c>
      <c r="C47" s="11">
        <v>12.83</v>
      </c>
      <c r="D47" s="11">
        <v>2.11</v>
      </c>
      <c r="E47" s="11">
        <v>12.8</v>
      </c>
      <c r="F47" s="11">
        <v>2.34</v>
      </c>
    </row>
    <row r="48" spans="1:6" x14ac:dyDescent="0.3">
      <c r="A48" s="11">
        <v>26.27</v>
      </c>
      <c r="B48" s="30">
        <v>1.8</v>
      </c>
      <c r="C48" s="11">
        <v>13.13</v>
      </c>
      <c r="D48" s="11">
        <v>2.1</v>
      </c>
      <c r="E48" s="11">
        <v>13.1</v>
      </c>
      <c r="F48" s="11">
        <v>2.33</v>
      </c>
    </row>
    <row r="49" spans="1:6" x14ac:dyDescent="0.3">
      <c r="A49" s="11">
        <v>26.42</v>
      </c>
      <c r="B49" s="30">
        <v>1.79</v>
      </c>
      <c r="C49" s="11">
        <v>13.42</v>
      </c>
      <c r="D49" s="11">
        <v>2.09</v>
      </c>
      <c r="E49" s="11">
        <v>13.39</v>
      </c>
      <c r="F49" s="11">
        <v>2.3199999999999998</v>
      </c>
    </row>
    <row r="50" spans="1:6" x14ac:dyDescent="0.3">
      <c r="A50" s="11">
        <v>26.89</v>
      </c>
      <c r="B50" s="30">
        <v>1.78</v>
      </c>
      <c r="C50" s="11">
        <v>13.72</v>
      </c>
      <c r="D50" s="11">
        <v>2.0699999999999998</v>
      </c>
      <c r="E50" s="11">
        <v>13.69</v>
      </c>
      <c r="F50" s="11">
        <v>2.31</v>
      </c>
    </row>
    <row r="51" spans="1:6" x14ac:dyDescent="0.3">
      <c r="A51" s="11">
        <v>27.52</v>
      </c>
      <c r="B51" s="30">
        <v>1.76</v>
      </c>
      <c r="C51" s="11">
        <v>14.01</v>
      </c>
      <c r="D51" s="11">
        <v>2.06</v>
      </c>
      <c r="E51" s="11">
        <v>13.99</v>
      </c>
      <c r="F51" s="11">
        <v>2.31</v>
      </c>
    </row>
    <row r="52" spans="1:6" x14ac:dyDescent="0.3">
      <c r="A52" s="11">
        <v>28.16</v>
      </c>
      <c r="B52" s="30">
        <v>1.74</v>
      </c>
      <c r="C52" s="11">
        <v>14.31</v>
      </c>
      <c r="D52" s="11">
        <v>2.04</v>
      </c>
      <c r="E52" s="11">
        <v>14.28</v>
      </c>
      <c r="F52" s="11">
        <v>2.2999999999999998</v>
      </c>
    </row>
    <row r="53" spans="1:6" x14ac:dyDescent="0.3">
      <c r="A53" s="11">
        <v>28.79</v>
      </c>
      <c r="B53" s="30">
        <v>1.72</v>
      </c>
      <c r="C53" s="11">
        <v>14.6</v>
      </c>
      <c r="D53" s="11">
        <v>2.0299999999999998</v>
      </c>
      <c r="E53" s="11">
        <v>14.58</v>
      </c>
      <c r="F53" s="11">
        <v>2.29</v>
      </c>
    </row>
    <row r="54" spans="1:6" x14ac:dyDescent="0.3">
      <c r="A54" s="11">
        <v>29.41</v>
      </c>
      <c r="B54" s="30">
        <v>1.69</v>
      </c>
      <c r="C54" s="11">
        <v>14.9</v>
      </c>
      <c r="D54" s="11">
        <v>2.02</v>
      </c>
      <c r="E54" s="11">
        <v>14.87</v>
      </c>
      <c r="F54" s="11">
        <v>2.2799999999999998</v>
      </c>
    </row>
    <row r="55" spans="1:6" x14ac:dyDescent="0.3">
      <c r="A55" s="11">
        <v>30.11</v>
      </c>
      <c r="B55" s="30">
        <v>1.67</v>
      </c>
      <c r="C55" s="11">
        <v>15.19</v>
      </c>
      <c r="D55" s="11">
        <v>2</v>
      </c>
      <c r="E55" s="11">
        <v>15.17</v>
      </c>
      <c r="F55" s="11">
        <v>2.27</v>
      </c>
    </row>
    <row r="56" spans="1:6" x14ac:dyDescent="0.3">
      <c r="A56" s="11">
        <v>30.73</v>
      </c>
      <c r="B56" s="30">
        <v>1.65</v>
      </c>
      <c r="C56" s="11">
        <v>15.49</v>
      </c>
      <c r="D56" s="11">
        <v>1.99</v>
      </c>
      <c r="E56" s="11">
        <v>15.47</v>
      </c>
      <c r="F56" s="11">
        <v>2.2599999999999998</v>
      </c>
    </row>
    <row r="57" spans="1:6" x14ac:dyDescent="0.3">
      <c r="A57" s="11">
        <v>31.36</v>
      </c>
      <c r="B57" s="30">
        <v>1.63</v>
      </c>
      <c r="C57" s="11">
        <v>15.78</v>
      </c>
      <c r="D57" s="11">
        <v>1.97</v>
      </c>
      <c r="E57" s="11">
        <v>15.76</v>
      </c>
      <c r="F57" s="11">
        <v>2.2599999999999998</v>
      </c>
    </row>
    <row r="58" spans="1:6" x14ac:dyDescent="0.3">
      <c r="A58" s="11">
        <v>31.99</v>
      </c>
      <c r="B58" s="30">
        <v>1.61</v>
      </c>
      <c r="C58" s="11">
        <v>16.079999999999998</v>
      </c>
      <c r="D58" s="11">
        <v>1.96</v>
      </c>
      <c r="E58" s="11">
        <v>16.059999999999999</v>
      </c>
      <c r="F58" s="11">
        <v>2.25</v>
      </c>
    </row>
    <row r="59" spans="1:6" x14ac:dyDescent="0.3">
      <c r="A59" s="11">
        <v>32.619999999999997</v>
      </c>
      <c r="B59" s="30">
        <v>1.59</v>
      </c>
      <c r="C59" s="11">
        <v>16.37</v>
      </c>
      <c r="D59" s="11">
        <v>1.94</v>
      </c>
      <c r="E59" s="11">
        <v>16.350000000000001</v>
      </c>
      <c r="F59" s="11">
        <v>2.2400000000000002</v>
      </c>
    </row>
    <row r="60" spans="1:6" x14ac:dyDescent="0.3">
      <c r="A60" s="11">
        <v>33.25</v>
      </c>
      <c r="B60" s="30">
        <v>1.56</v>
      </c>
      <c r="C60" s="11">
        <v>16.66</v>
      </c>
      <c r="D60" s="11">
        <v>1.93</v>
      </c>
      <c r="E60" s="11">
        <v>16.649999999999999</v>
      </c>
      <c r="F60" s="11">
        <v>2.23</v>
      </c>
    </row>
    <row r="61" spans="1:6" x14ac:dyDescent="0.3">
      <c r="A61" s="11">
        <v>33.89</v>
      </c>
      <c r="B61" s="30">
        <v>1.54</v>
      </c>
      <c r="C61" s="11">
        <v>16.96</v>
      </c>
      <c r="D61" s="11">
        <v>1.91</v>
      </c>
      <c r="E61" s="11">
        <v>16.95</v>
      </c>
      <c r="F61" s="11">
        <v>2.2200000000000002</v>
      </c>
    </row>
    <row r="62" spans="1:6" x14ac:dyDescent="0.3">
      <c r="A62" s="11">
        <v>34.520000000000003</v>
      </c>
      <c r="B62" s="30">
        <v>1.52</v>
      </c>
      <c r="C62" s="11">
        <v>17.25</v>
      </c>
      <c r="D62" s="11">
        <v>1.9</v>
      </c>
      <c r="E62" s="11">
        <v>17.239999999999998</v>
      </c>
      <c r="F62" s="11">
        <v>2.21</v>
      </c>
    </row>
    <row r="63" spans="1:6" x14ac:dyDescent="0.3">
      <c r="A63" s="11">
        <v>35.15</v>
      </c>
      <c r="B63" s="30">
        <v>1.5</v>
      </c>
      <c r="C63" s="11">
        <v>17.55</v>
      </c>
      <c r="D63" s="11">
        <v>1.88</v>
      </c>
      <c r="E63" s="11">
        <v>17.54</v>
      </c>
      <c r="F63" s="11">
        <v>2.2000000000000002</v>
      </c>
    </row>
    <row r="64" spans="1:6" x14ac:dyDescent="0.3">
      <c r="A64" s="11">
        <v>35.72</v>
      </c>
      <c r="B64" s="30">
        <v>1.48</v>
      </c>
      <c r="C64" s="11">
        <v>17.84</v>
      </c>
      <c r="D64" s="11">
        <v>1.86</v>
      </c>
      <c r="E64" s="11">
        <v>17.84</v>
      </c>
      <c r="F64" s="11">
        <v>2.19</v>
      </c>
    </row>
    <row r="65" spans="1:6" x14ac:dyDescent="0.3">
      <c r="A65" s="19"/>
      <c r="B65" s="19"/>
      <c r="C65" s="11">
        <v>18.14</v>
      </c>
      <c r="D65" s="11">
        <v>1.85</v>
      </c>
      <c r="E65" s="11">
        <v>18.13</v>
      </c>
      <c r="F65" s="11">
        <v>2.19</v>
      </c>
    </row>
    <row r="66" spans="1:6" x14ac:dyDescent="0.3">
      <c r="A66" s="19"/>
      <c r="B66" s="19"/>
      <c r="C66" s="11">
        <v>18.43</v>
      </c>
      <c r="D66" s="11">
        <v>1.83</v>
      </c>
      <c r="E66" s="11">
        <v>18.43</v>
      </c>
      <c r="F66" s="11">
        <v>2.1800000000000002</v>
      </c>
    </row>
    <row r="67" spans="1:6" x14ac:dyDescent="0.3">
      <c r="A67" s="19"/>
      <c r="B67" s="19"/>
      <c r="C67" s="11">
        <v>18.73</v>
      </c>
      <c r="D67" s="11">
        <v>1.82</v>
      </c>
      <c r="E67" s="11">
        <v>18.72</v>
      </c>
      <c r="F67" s="11">
        <v>2.17</v>
      </c>
    </row>
    <row r="68" spans="1:6" x14ac:dyDescent="0.3">
      <c r="A68" s="19"/>
      <c r="B68" s="19"/>
      <c r="C68" s="11">
        <v>19.02</v>
      </c>
      <c r="D68" s="11">
        <v>1.8</v>
      </c>
      <c r="E68" s="11">
        <v>19.02</v>
      </c>
      <c r="F68" s="11">
        <v>2.16</v>
      </c>
    </row>
    <row r="69" spans="1:6" x14ac:dyDescent="0.3">
      <c r="A69" s="19"/>
      <c r="B69" s="19"/>
      <c r="C69" s="11">
        <v>19.32</v>
      </c>
      <c r="D69" s="11">
        <v>1.78</v>
      </c>
      <c r="E69" s="11">
        <v>19.32</v>
      </c>
      <c r="F69" s="11">
        <v>2.15</v>
      </c>
    </row>
    <row r="70" spans="1:6" x14ac:dyDescent="0.3">
      <c r="A70" s="19"/>
      <c r="B70" s="19"/>
      <c r="C70" s="11">
        <v>19.61</v>
      </c>
      <c r="D70" s="11">
        <v>1.77</v>
      </c>
      <c r="E70" s="11">
        <v>19.61</v>
      </c>
      <c r="F70" s="11">
        <v>2.14</v>
      </c>
    </row>
    <row r="71" spans="1:6" x14ac:dyDescent="0.3">
      <c r="A71" s="19"/>
      <c r="B71" s="19"/>
      <c r="C71" s="11">
        <v>19.91</v>
      </c>
      <c r="D71" s="11">
        <v>1.75</v>
      </c>
      <c r="E71" s="11">
        <v>19.91</v>
      </c>
      <c r="F71" s="11">
        <v>2.13</v>
      </c>
    </row>
    <row r="72" spans="1:6" x14ac:dyDescent="0.3">
      <c r="A72" s="19"/>
      <c r="B72" s="19"/>
      <c r="C72" s="11">
        <v>20.2</v>
      </c>
      <c r="D72" s="11">
        <v>1.73</v>
      </c>
      <c r="E72" s="11">
        <v>20.21</v>
      </c>
      <c r="F72" s="11">
        <v>2.12</v>
      </c>
    </row>
    <row r="73" spans="1:6" x14ac:dyDescent="0.3">
      <c r="A73" s="19"/>
      <c r="B73" s="19"/>
      <c r="C73" s="11">
        <v>20.5</v>
      </c>
      <c r="D73" s="11">
        <v>1.71</v>
      </c>
      <c r="E73" s="11">
        <v>20.5</v>
      </c>
      <c r="F73" s="11">
        <v>2.11</v>
      </c>
    </row>
    <row r="74" spans="1:6" x14ac:dyDescent="0.3">
      <c r="A74" s="19"/>
      <c r="B74" s="19"/>
      <c r="C74" s="11">
        <v>20.79</v>
      </c>
      <c r="D74" s="11">
        <v>1.7</v>
      </c>
      <c r="E74" s="11">
        <v>20.8</v>
      </c>
      <c r="F74" s="11">
        <v>2.1</v>
      </c>
    </row>
    <row r="75" spans="1:6" x14ac:dyDescent="0.3">
      <c r="A75" s="19"/>
      <c r="B75" s="19"/>
      <c r="C75" s="11">
        <v>21.09</v>
      </c>
      <c r="D75" s="11">
        <v>1.68</v>
      </c>
      <c r="E75" s="11">
        <v>21.09</v>
      </c>
      <c r="F75" s="11">
        <v>2.09</v>
      </c>
    </row>
    <row r="76" spans="1:6" x14ac:dyDescent="0.3">
      <c r="A76" s="19"/>
      <c r="B76" s="19"/>
      <c r="C76" s="11">
        <v>21.38</v>
      </c>
      <c r="D76" s="11">
        <v>1.66</v>
      </c>
      <c r="E76" s="11">
        <v>21.39</v>
      </c>
      <c r="F76" s="11">
        <v>2.09</v>
      </c>
    </row>
    <row r="77" spans="1:6" x14ac:dyDescent="0.3">
      <c r="A77" s="19"/>
      <c r="B77" s="19"/>
      <c r="C77" s="11">
        <v>21.68</v>
      </c>
      <c r="D77" s="11">
        <v>1.64</v>
      </c>
      <c r="E77" s="11">
        <v>21.69</v>
      </c>
      <c r="F77" s="11">
        <v>2.08</v>
      </c>
    </row>
    <row r="78" spans="1:6" x14ac:dyDescent="0.3">
      <c r="A78" s="19"/>
      <c r="B78" s="19"/>
      <c r="C78" s="11">
        <v>21.97</v>
      </c>
      <c r="D78" s="11">
        <v>1.63</v>
      </c>
      <c r="E78" s="11">
        <v>21.98</v>
      </c>
      <c r="F78" s="11">
        <v>2.0699999999999998</v>
      </c>
    </row>
    <row r="79" spans="1:6" x14ac:dyDescent="0.3">
      <c r="A79" s="19"/>
      <c r="B79" s="19"/>
      <c r="C79" s="11">
        <v>22.27</v>
      </c>
      <c r="D79" s="11">
        <v>1.61</v>
      </c>
      <c r="E79" s="11">
        <v>22.28</v>
      </c>
      <c r="F79" s="11">
        <v>2.06</v>
      </c>
    </row>
    <row r="80" spans="1:6" x14ac:dyDescent="0.3">
      <c r="A80" s="19"/>
      <c r="B80" s="19"/>
      <c r="C80" s="11">
        <v>22.56</v>
      </c>
      <c r="D80" s="11">
        <v>1.59</v>
      </c>
      <c r="E80" s="11">
        <v>22.58</v>
      </c>
      <c r="F80" s="11">
        <v>2.0499999999999998</v>
      </c>
    </row>
    <row r="81" spans="1:6" x14ac:dyDescent="0.3">
      <c r="A81" s="19"/>
      <c r="B81" s="19"/>
      <c r="C81" s="11">
        <v>22.86</v>
      </c>
      <c r="D81" s="11">
        <v>1.57</v>
      </c>
      <c r="E81" s="11">
        <v>22.87</v>
      </c>
      <c r="F81" s="11">
        <v>2.04</v>
      </c>
    </row>
    <row r="82" spans="1:6" x14ac:dyDescent="0.3">
      <c r="A82" s="19"/>
      <c r="B82" s="19"/>
      <c r="C82" s="11">
        <v>23.15</v>
      </c>
      <c r="D82" s="11">
        <v>1.55</v>
      </c>
      <c r="E82" s="11">
        <v>23.17</v>
      </c>
      <c r="F82" s="11">
        <v>2.0299999999999998</v>
      </c>
    </row>
    <row r="83" spans="1:6" x14ac:dyDescent="0.3">
      <c r="A83" s="19"/>
      <c r="B83" s="19"/>
      <c r="C83" s="11">
        <v>23.45</v>
      </c>
      <c r="D83" s="11">
        <v>1.53</v>
      </c>
      <c r="E83" s="11">
        <v>23.46</v>
      </c>
      <c r="F83" s="11">
        <v>2.02</v>
      </c>
    </row>
    <row r="84" spans="1:6" x14ac:dyDescent="0.3">
      <c r="A84" s="19"/>
      <c r="B84" s="19"/>
      <c r="C84" s="11">
        <v>23.74</v>
      </c>
      <c r="D84" s="11">
        <v>1.51</v>
      </c>
      <c r="E84" s="11">
        <v>23.76</v>
      </c>
      <c r="F84" s="11">
        <v>2.0099999999999998</v>
      </c>
    </row>
    <row r="85" spans="1:6" x14ac:dyDescent="0.3">
      <c r="A85" s="19"/>
      <c r="B85" s="19"/>
      <c r="C85" s="11">
        <v>24.04</v>
      </c>
      <c r="D85" s="11">
        <v>1.49</v>
      </c>
      <c r="E85" s="11">
        <v>24.06</v>
      </c>
      <c r="F85" s="11">
        <v>2</v>
      </c>
    </row>
    <row r="86" spans="1:6" x14ac:dyDescent="0.3">
      <c r="A86" s="19"/>
      <c r="B86" s="19"/>
      <c r="C86" s="11">
        <v>24.33</v>
      </c>
      <c r="D86" s="11">
        <v>1.47</v>
      </c>
      <c r="E86" s="11">
        <v>24.35</v>
      </c>
      <c r="F86" s="11">
        <v>1.99</v>
      </c>
    </row>
    <row r="87" spans="1:6" x14ac:dyDescent="0.3">
      <c r="A87" s="19"/>
      <c r="B87" s="19"/>
      <c r="C87" s="11">
        <v>24.63</v>
      </c>
      <c r="D87" s="11">
        <v>1.45</v>
      </c>
      <c r="E87" s="11">
        <v>24.65</v>
      </c>
      <c r="F87" s="11">
        <v>1.98</v>
      </c>
    </row>
    <row r="88" spans="1:6" x14ac:dyDescent="0.3">
      <c r="A88" s="19"/>
      <c r="B88" s="19"/>
      <c r="C88" s="11">
        <v>24.92</v>
      </c>
      <c r="D88" s="11">
        <v>1.43</v>
      </c>
      <c r="E88" s="11">
        <v>24.95</v>
      </c>
      <c r="F88" s="11">
        <v>1.97</v>
      </c>
    </row>
    <row r="89" spans="1:6" x14ac:dyDescent="0.3">
      <c r="A89" s="19"/>
      <c r="B89" s="19"/>
      <c r="C89" s="11">
        <v>25.22</v>
      </c>
      <c r="D89" s="11">
        <v>1.41</v>
      </c>
      <c r="E89" s="11">
        <v>25.24</v>
      </c>
      <c r="F89" s="11">
        <v>1.96</v>
      </c>
    </row>
    <row r="90" spans="1:6" x14ac:dyDescent="0.3">
      <c r="A90" s="19"/>
      <c r="B90" s="19"/>
      <c r="C90" s="11">
        <v>25.51</v>
      </c>
      <c r="D90" s="11">
        <v>1.39</v>
      </c>
      <c r="E90" s="11">
        <v>25.54</v>
      </c>
      <c r="F90" s="11">
        <v>1.95</v>
      </c>
    </row>
    <row r="91" spans="1:6" x14ac:dyDescent="0.3">
      <c r="A91" s="19"/>
      <c r="B91" s="19"/>
      <c r="C91" s="11">
        <v>25.8</v>
      </c>
      <c r="D91" s="11">
        <v>1.36</v>
      </c>
      <c r="E91" s="11">
        <v>25.84</v>
      </c>
      <c r="F91" s="11">
        <v>1.94</v>
      </c>
    </row>
    <row r="92" spans="1:6" x14ac:dyDescent="0.3">
      <c r="A92" s="19"/>
      <c r="B92" s="19"/>
      <c r="C92" s="11">
        <v>26.1</v>
      </c>
      <c r="D92" s="11">
        <v>1.34</v>
      </c>
      <c r="E92" s="11">
        <v>26.13</v>
      </c>
      <c r="F92" s="11">
        <v>1.93</v>
      </c>
    </row>
    <row r="93" spans="1:6" x14ac:dyDescent="0.3">
      <c r="A93" s="19"/>
      <c r="B93" s="19"/>
      <c r="C93" s="11">
        <v>26.39</v>
      </c>
      <c r="D93" s="11">
        <v>1.32</v>
      </c>
      <c r="E93" s="11">
        <v>26.43</v>
      </c>
      <c r="F93" s="11">
        <v>1.91</v>
      </c>
    </row>
    <row r="94" spans="1:6" x14ac:dyDescent="0.3">
      <c r="A94" s="19"/>
      <c r="B94" s="19"/>
      <c r="C94" s="11">
        <v>26.69</v>
      </c>
      <c r="D94" s="11">
        <v>1.3</v>
      </c>
      <c r="E94" s="11">
        <v>26.72</v>
      </c>
      <c r="F94" s="11">
        <v>1.9</v>
      </c>
    </row>
    <row r="95" spans="1:6" x14ac:dyDescent="0.3">
      <c r="A95" s="19"/>
      <c r="B95" s="19"/>
      <c r="C95" s="11">
        <v>26.98</v>
      </c>
      <c r="D95" s="11">
        <v>1.27</v>
      </c>
      <c r="E95" s="11">
        <v>27.02</v>
      </c>
      <c r="F95" s="11">
        <v>1.89</v>
      </c>
    </row>
    <row r="96" spans="1:6" x14ac:dyDescent="0.3">
      <c r="A96" s="19"/>
      <c r="B96" s="19"/>
      <c r="C96" s="11">
        <v>27.28</v>
      </c>
      <c r="D96" s="11">
        <v>1.25</v>
      </c>
      <c r="E96" s="11">
        <v>27.32</v>
      </c>
      <c r="F96" s="11">
        <v>1.88</v>
      </c>
    </row>
    <row r="97" spans="1:6" x14ac:dyDescent="0.3">
      <c r="A97" s="19"/>
      <c r="B97" s="19"/>
      <c r="C97" s="11">
        <v>27.57</v>
      </c>
      <c r="D97" s="11">
        <v>1.22</v>
      </c>
      <c r="E97" s="11">
        <v>27.61</v>
      </c>
      <c r="F97" s="11">
        <v>1.87</v>
      </c>
    </row>
    <row r="98" spans="1:6" x14ac:dyDescent="0.3">
      <c r="A98" s="19"/>
      <c r="B98" s="19"/>
      <c r="C98" s="11">
        <v>27.87</v>
      </c>
      <c r="D98" s="11">
        <v>1.2</v>
      </c>
      <c r="E98" s="11">
        <v>27.91</v>
      </c>
      <c r="F98" s="11">
        <v>1.86</v>
      </c>
    </row>
    <row r="99" spans="1:6" x14ac:dyDescent="0.3">
      <c r="A99" s="19"/>
      <c r="B99" s="19"/>
      <c r="C99" s="11">
        <v>28.16</v>
      </c>
      <c r="D99" s="11">
        <v>1.17</v>
      </c>
      <c r="E99" s="11">
        <v>28.21</v>
      </c>
      <c r="F99" s="11">
        <v>1.85</v>
      </c>
    </row>
    <row r="100" spans="1:6" x14ac:dyDescent="0.3">
      <c r="A100" s="19"/>
      <c r="B100" s="19"/>
      <c r="C100" s="11">
        <v>28.46</v>
      </c>
      <c r="D100" s="11">
        <v>1.1399999999999999</v>
      </c>
      <c r="E100" s="11">
        <v>28.5</v>
      </c>
      <c r="F100" s="11">
        <v>1.84</v>
      </c>
    </row>
    <row r="101" spans="1:6" x14ac:dyDescent="0.3">
      <c r="A101" s="19"/>
      <c r="B101" s="19"/>
      <c r="C101" s="11">
        <v>28.75</v>
      </c>
      <c r="D101" s="11">
        <v>1.1100000000000001</v>
      </c>
      <c r="E101" s="11">
        <v>28.8</v>
      </c>
      <c r="F101" s="11">
        <v>1.83</v>
      </c>
    </row>
    <row r="102" spans="1:6" x14ac:dyDescent="0.3">
      <c r="A102" s="19"/>
      <c r="B102" s="19"/>
      <c r="C102" s="11">
        <v>29.05</v>
      </c>
      <c r="D102" s="11">
        <v>1.08</v>
      </c>
      <c r="E102" s="11">
        <v>29.09</v>
      </c>
      <c r="F102" s="11">
        <v>1.82</v>
      </c>
    </row>
    <row r="103" spans="1:6" x14ac:dyDescent="0.3">
      <c r="A103" s="19"/>
      <c r="B103" s="19"/>
      <c r="C103" s="11">
        <v>29.34</v>
      </c>
      <c r="D103" s="11">
        <v>1.05</v>
      </c>
      <c r="E103" s="11">
        <v>29.39</v>
      </c>
      <c r="F103" s="11">
        <v>1.8</v>
      </c>
    </row>
    <row r="104" spans="1:6" x14ac:dyDescent="0.3">
      <c r="A104" s="19"/>
      <c r="B104" s="19"/>
      <c r="C104" s="11">
        <v>29.64</v>
      </c>
      <c r="D104" s="11">
        <v>1.02</v>
      </c>
      <c r="E104" s="11">
        <v>29.69</v>
      </c>
      <c r="F104" s="11">
        <v>1.79</v>
      </c>
    </row>
    <row r="105" spans="1:6" x14ac:dyDescent="0.3">
      <c r="A105" s="19"/>
      <c r="B105" s="19"/>
      <c r="C105" s="11">
        <v>29.93</v>
      </c>
      <c r="D105" s="11">
        <v>0.99</v>
      </c>
      <c r="E105" s="11">
        <v>29.98</v>
      </c>
      <c r="F105" s="11">
        <v>1.78</v>
      </c>
    </row>
    <row r="106" spans="1:6" x14ac:dyDescent="0.3">
      <c r="A106" s="19"/>
      <c r="B106" s="19"/>
      <c r="C106" s="11">
        <v>30.23</v>
      </c>
      <c r="D106" s="11">
        <v>0.96</v>
      </c>
      <c r="E106" s="11">
        <v>30.28</v>
      </c>
      <c r="F106" s="11">
        <v>1.77</v>
      </c>
    </row>
    <row r="107" spans="1:6" x14ac:dyDescent="0.3">
      <c r="A107" s="19"/>
      <c r="B107" s="19"/>
      <c r="C107" s="11">
        <v>30.52</v>
      </c>
      <c r="D107" s="11">
        <v>0.92</v>
      </c>
      <c r="E107" s="11">
        <v>30.58</v>
      </c>
      <c r="F107" s="11">
        <v>1.76</v>
      </c>
    </row>
    <row r="108" spans="1:6" x14ac:dyDescent="0.3">
      <c r="A108" s="19"/>
      <c r="B108" s="19"/>
      <c r="C108" s="11">
        <v>30.81</v>
      </c>
      <c r="D108" s="11">
        <v>0.88</v>
      </c>
      <c r="E108" s="11">
        <v>30.87</v>
      </c>
      <c r="F108" s="11">
        <v>1.74</v>
      </c>
    </row>
    <row r="109" spans="1:6" x14ac:dyDescent="0.3">
      <c r="A109" s="19"/>
      <c r="B109" s="19"/>
      <c r="C109" s="11">
        <v>31.11</v>
      </c>
      <c r="D109" s="11">
        <v>0.84</v>
      </c>
      <c r="E109" s="11">
        <v>31.17</v>
      </c>
      <c r="F109" s="11">
        <v>1.73</v>
      </c>
    </row>
    <row r="110" spans="1:6" x14ac:dyDescent="0.3">
      <c r="A110" s="19"/>
      <c r="B110" s="19"/>
      <c r="C110" s="11">
        <v>31.39</v>
      </c>
      <c r="D110" s="11">
        <v>0.81</v>
      </c>
      <c r="E110" s="11">
        <v>31.47</v>
      </c>
      <c r="F110" s="11">
        <v>1.72</v>
      </c>
    </row>
    <row r="111" spans="1:6" x14ac:dyDescent="0.3">
      <c r="A111" s="19"/>
      <c r="B111" s="19"/>
      <c r="C111" s="11">
        <v>31.66</v>
      </c>
      <c r="D111" s="11">
        <v>0.77</v>
      </c>
      <c r="E111" s="11">
        <v>31.76</v>
      </c>
      <c r="F111" s="11">
        <v>1.71</v>
      </c>
    </row>
    <row r="112" spans="1:6" x14ac:dyDescent="0.3">
      <c r="A112" s="19"/>
      <c r="B112" s="19"/>
      <c r="C112" s="11">
        <v>31.93</v>
      </c>
      <c r="D112" s="11">
        <v>0.73</v>
      </c>
      <c r="E112" s="11">
        <v>32.06</v>
      </c>
      <c r="F112" s="11">
        <v>1.7</v>
      </c>
    </row>
    <row r="113" spans="1:6" x14ac:dyDescent="0.3">
      <c r="A113" s="19"/>
      <c r="B113" s="19"/>
      <c r="C113" s="11">
        <v>32.18</v>
      </c>
      <c r="D113" s="11">
        <v>0.69</v>
      </c>
      <c r="E113" s="11">
        <v>32.35</v>
      </c>
      <c r="F113" s="11">
        <v>1.68</v>
      </c>
    </row>
    <row r="114" spans="1:6" x14ac:dyDescent="0.3">
      <c r="A114" s="19"/>
      <c r="B114" s="19"/>
      <c r="C114" s="11">
        <v>32.369999999999997</v>
      </c>
      <c r="D114" s="11">
        <v>0.65</v>
      </c>
      <c r="E114" s="11">
        <v>32.65</v>
      </c>
      <c r="F114" s="11">
        <v>1.67</v>
      </c>
    </row>
    <row r="115" spans="1:6" x14ac:dyDescent="0.3">
      <c r="A115" s="19"/>
      <c r="B115" s="19"/>
      <c r="C115" s="11">
        <v>32.51</v>
      </c>
      <c r="D115" s="11">
        <v>0.6</v>
      </c>
      <c r="E115" s="11">
        <v>32.950000000000003</v>
      </c>
      <c r="F115" s="11">
        <v>1.66</v>
      </c>
    </row>
    <row r="116" spans="1:6" x14ac:dyDescent="0.3">
      <c r="A116" s="19"/>
      <c r="B116" s="19"/>
      <c r="C116" s="11">
        <v>32.659999999999997</v>
      </c>
      <c r="D116" s="11">
        <v>0.56000000000000005</v>
      </c>
      <c r="E116" s="11">
        <v>33.24</v>
      </c>
      <c r="F116" s="11">
        <v>1.64</v>
      </c>
    </row>
    <row r="117" spans="1:6" x14ac:dyDescent="0.3">
      <c r="A117" s="19"/>
      <c r="B117" s="19"/>
      <c r="C117" s="11">
        <v>32.79</v>
      </c>
      <c r="D117" s="11">
        <v>0.52</v>
      </c>
      <c r="E117" s="11">
        <v>33.54</v>
      </c>
      <c r="F117" s="11">
        <v>1.63</v>
      </c>
    </row>
    <row r="118" spans="1:6" x14ac:dyDescent="0.3">
      <c r="A118" s="19"/>
      <c r="B118" s="19"/>
      <c r="C118" s="11">
        <v>32.9</v>
      </c>
      <c r="D118" s="11">
        <v>0.48</v>
      </c>
      <c r="E118" s="11">
        <v>33.840000000000003</v>
      </c>
      <c r="F118" s="11">
        <v>1.62</v>
      </c>
    </row>
    <row r="119" spans="1:6" x14ac:dyDescent="0.3">
      <c r="A119" s="19"/>
      <c r="B119" s="19"/>
      <c r="C119" s="11">
        <v>32.979999999999997</v>
      </c>
      <c r="D119" s="11">
        <v>0.44</v>
      </c>
      <c r="E119" s="11">
        <v>34.130000000000003</v>
      </c>
      <c r="F119" s="11">
        <v>1.6</v>
      </c>
    </row>
    <row r="120" spans="1:6" x14ac:dyDescent="0.3">
      <c r="A120" s="19"/>
      <c r="B120" s="19"/>
      <c r="C120" s="11">
        <v>33.15</v>
      </c>
      <c r="D120" s="11">
        <v>0.36</v>
      </c>
      <c r="E120" s="11">
        <v>34.43</v>
      </c>
      <c r="F120" s="11">
        <v>1.59</v>
      </c>
    </row>
    <row r="121" spans="1:6" x14ac:dyDescent="0.3">
      <c r="A121" s="19"/>
      <c r="B121" s="19"/>
      <c r="C121" s="11">
        <v>33.44</v>
      </c>
      <c r="D121" s="11">
        <v>0.34</v>
      </c>
      <c r="E121" s="11">
        <v>34.729999999999997</v>
      </c>
      <c r="F121" s="11">
        <v>1.58</v>
      </c>
    </row>
    <row r="122" spans="1:6" x14ac:dyDescent="0.3">
      <c r="A122" s="19"/>
      <c r="B122" s="19"/>
      <c r="C122" s="11">
        <v>33.729999999999997</v>
      </c>
      <c r="D122" s="11">
        <v>0.34</v>
      </c>
      <c r="E122" s="11">
        <v>35.020000000000003</v>
      </c>
      <c r="F122" s="11">
        <v>1.56</v>
      </c>
    </row>
    <row r="123" spans="1:6" x14ac:dyDescent="0.3">
      <c r="A123" s="19"/>
      <c r="B123" s="19"/>
      <c r="C123" s="11">
        <v>34.03</v>
      </c>
      <c r="D123" s="11">
        <v>0.32</v>
      </c>
      <c r="E123" s="11">
        <v>35.32</v>
      </c>
      <c r="F123" s="11">
        <v>1.55</v>
      </c>
    </row>
    <row r="124" spans="1:6" x14ac:dyDescent="0.3">
      <c r="A124" s="19"/>
      <c r="B124" s="19"/>
      <c r="C124" s="11">
        <v>34.32</v>
      </c>
      <c r="D124" s="11">
        <v>0.31</v>
      </c>
      <c r="E124" s="11">
        <v>35.619999999999997</v>
      </c>
      <c r="F124" s="11">
        <v>1.53</v>
      </c>
    </row>
    <row r="125" spans="1:6" x14ac:dyDescent="0.3">
      <c r="A125" s="19"/>
      <c r="B125" s="19"/>
      <c r="C125" s="11">
        <v>34.549999999999997</v>
      </c>
      <c r="D125" s="11">
        <v>0.31</v>
      </c>
      <c r="E125" s="11">
        <v>35.78</v>
      </c>
      <c r="F125" s="11">
        <v>1.53</v>
      </c>
    </row>
    <row r="126" spans="1:6" x14ac:dyDescent="0.3">
      <c r="A126" s="19"/>
      <c r="B126" s="19"/>
      <c r="C126" s="11">
        <v>34.61</v>
      </c>
      <c r="D126" s="11">
        <v>0.3</v>
      </c>
      <c r="E126" s="19"/>
      <c r="F126" s="19"/>
    </row>
    <row r="127" spans="1:6" x14ac:dyDescent="0.3">
      <c r="A127" s="19"/>
      <c r="B127" s="19"/>
      <c r="C127" s="11">
        <v>34.840000000000003</v>
      </c>
      <c r="D127" s="11">
        <v>0.28999999999999998</v>
      </c>
      <c r="E127" s="19"/>
      <c r="F127" s="19"/>
    </row>
    <row r="128" spans="1:6" x14ac:dyDescent="0.3">
      <c r="A128" s="19"/>
      <c r="B128" s="19"/>
      <c r="C128" s="11">
        <v>34.909999999999997</v>
      </c>
      <c r="D128" s="11">
        <v>0.28000000000000003</v>
      </c>
      <c r="E128" s="19"/>
      <c r="F128" s="19"/>
    </row>
    <row r="129" spans="1:6" x14ac:dyDescent="0.3">
      <c r="A129" s="19"/>
      <c r="B129" s="19"/>
      <c r="C129" s="11">
        <v>35.14</v>
      </c>
      <c r="D129" s="11">
        <v>0.28000000000000003</v>
      </c>
      <c r="E129" s="19"/>
      <c r="F129" s="19"/>
    </row>
    <row r="130" spans="1:6" x14ac:dyDescent="0.3">
      <c r="A130" s="19"/>
      <c r="B130" s="19"/>
      <c r="C130" s="11">
        <v>35.200000000000003</v>
      </c>
      <c r="D130" s="11">
        <v>0.27</v>
      </c>
      <c r="E130" s="19"/>
      <c r="F130" s="19"/>
    </row>
    <row r="131" spans="1:6" x14ac:dyDescent="0.3">
      <c r="A131" s="19"/>
      <c r="B131" s="19"/>
      <c r="C131" s="11">
        <v>35.43</v>
      </c>
      <c r="D131" s="11">
        <v>0.27</v>
      </c>
      <c r="E131" s="19"/>
      <c r="F131" s="19"/>
    </row>
    <row r="132" spans="1:6" x14ac:dyDescent="0.3">
      <c r="A132" s="19"/>
      <c r="B132" s="19"/>
      <c r="C132" s="11">
        <v>35.5</v>
      </c>
      <c r="D132" s="11">
        <v>0.27</v>
      </c>
      <c r="E132" s="19"/>
      <c r="F132" s="19"/>
    </row>
    <row r="133" spans="1:6" x14ac:dyDescent="0.3">
      <c r="A133" s="19"/>
      <c r="B133" s="19"/>
      <c r="C133" s="11">
        <v>35.68</v>
      </c>
      <c r="D133" s="11">
        <v>0.26</v>
      </c>
      <c r="E133" s="19"/>
      <c r="F133" s="19"/>
    </row>
    <row r="134" spans="1:6" x14ac:dyDescent="0.3">
      <c r="A134" s="19"/>
      <c r="B134" s="19"/>
      <c r="C134" s="11">
        <v>35.770000000000003</v>
      </c>
      <c r="D134" s="11">
        <v>0.26</v>
      </c>
      <c r="E134" s="19"/>
      <c r="F134" s="19"/>
    </row>
  </sheetData>
  <mergeCells count="1">
    <mergeCell ref="A1:X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DEDB-D5BF-440A-A52F-18F3515F50F4}">
  <dimension ref="B3:R30"/>
  <sheetViews>
    <sheetView topLeftCell="A8" workbookViewId="0">
      <selection activeCell="K30" sqref="K30"/>
    </sheetView>
  </sheetViews>
  <sheetFormatPr defaultRowHeight="14.4" x14ac:dyDescent="0.3"/>
  <cols>
    <col min="4" max="4" width="15.44140625" bestFit="1" customWidth="1"/>
    <col min="5" max="5" width="14.5546875" bestFit="1" customWidth="1"/>
    <col min="6" max="6" width="16.5546875" customWidth="1"/>
  </cols>
  <sheetData>
    <row r="3" spans="2:18" ht="23.4" x14ac:dyDescent="0.45">
      <c r="D3" s="18" t="s">
        <v>39</v>
      </c>
    </row>
    <row r="9" spans="2:18" ht="15.6" x14ac:dyDescent="0.3">
      <c r="C9" s="51" t="s">
        <v>34</v>
      </c>
      <c r="D9" s="51"/>
      <c r="K9" s="51" t="s">
        <v>35</v>
      </c>
      <c r="L9" s="51"/>
      <c r="Q9" s="51" t="s">
        <v>36</v>
      </c>
      <c r="R9" s="51"/>
    </row>
    <row r="10" spans="2:18" x14ac:dyDescent="0.3">
      <c r="B10" s="17" t="s">
        <v>31</v>
      </c>
      <c r="C10" s="17">
        <v>72.040000000000006</v>
      </c>
      <c r="J10" s="17" t="s">
        <v>31</v>
      </c>
      <c r="K10" s="17">
        <v>483.09</v>
      </c>
      <c r="P10" s="17" t="s">
        <v>31</v>
      </c>
      <c r="Q10" s="17">
        <v>34.799999999999997</v>
      </c>
    </row>
    <row r="11" spans="2:18" x14ac:dyDescent="0.3">
      <c r="B11" s="17" t="s">
        <v>32</v>
      </c>
      <c r="C11" s="17">
        <v>71.959999999999994</v>
      </c>
      <c r="J11" s="17" t="s">
        <v>32</v>
      </c>
      <c r="K11" s="17">
        <v>449.64</v>
      </c>
      <c r="P11" s="17" t="s">
        <v>32</v>
      </c>
      <c r="Q11" s="17">
        <v>32.35</v>
      </c>
    </row>
    <row r="28" spans="4:6" ht="15.6" x14ac:dyDescent="0.3">
      <c r="E28" s="51" t="s">
        <v>33</v>
      </c>
      <c r="F28" s="51"/>
    </row>
    <row r="29" spans="4:6" x14ac:dyDescent="0.3">
      <c r="D29" s="17" t="s">
        <v>31</v>
      </c>
      <c r="E29" s="17">
        <v>51.75</v>
      </c>
    </row>
    <row r="30" spans="4:6" x14ac:dyDescent="0.3">
      <c r="D30" s="17" t="s">
        <v>32</v>
      </c>
      <c r="E30" s="17">
        <v>53.08</v>
      </c>
    </row>
  </sheetData>
  <mergeCells count="4">
    <mergeCell ref="C9:D9"/>
    <mergeCell ref="K9:L9"/>
    <mergeCell ref="Q9:R9"/>
    <mergeCell ref="E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Non-ideal model</vt:lpstr>
      <vt:lpstr>Non-ideal validation</vt:lpstr>
      <vt:lpstr>Two branch validation</vt:lpstr>
      <vt:lpstr>Exp vs NI vs TB</vt:lpstr>
      <vt:lpstr>Non-ideal Compari. with 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Gopal Addagarala</dc:creator>
  <cp:lastModifiedBy>Sai Gopal Addagarala [Student-PECS]</cp:lastModifiedBy>
  <dcterms:created xsi:type="dcterms:W3CDTF">2015-06-05T18:17:20Z</dcterms:created>
  <dcterms:modified xsi:type="dcterms:W3CDTF">2024-01-08T11:37:15Z</dcterms:modified>
</cp:coreProperties>
</file>